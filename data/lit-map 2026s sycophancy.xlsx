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MAP" sheetId="1" r:id="rId5"/>
    <sheet state="visible" name="All Papers" sheetId="2" r:id="rId6"/>
    <sheet state="visible" name="INCEXC A" sheetId="3" r:id="rId7"/>
    <sheet state="visible" name="INCEXC B" sheetId="4" r:id="rId8"/>
    <sheet state="visible" name="Query Validation" sheetId="5" r:id="rId9"/>
    <sheet state="visible" name="INCEXC Disc" sheetId="6" r:id="rId10"/>
    <sheet state="visible" name="Mapping A" sheetId="7" r:id="rId11"/>
    <sheet state="visible" name="Mapping B" sheetId="8" r:id="rId12"/>
    <sheet state="hidden" name="Mapping Test" sheetId="9" r:id="rId13"/>
    <sheet state="hidden" name="Category Clustering" sheetId="10" r:id="rId14"/>
    <sheet state="hidden" name="INCEXC Discrepancies" sheetId="11" r:id="rId15"/>
    <sheet state="hidden" name="Copy of INCEXC A" sheetId="12" r:id="rId16"/>
    <sheet state="hidden" name="Copy of INCEXC B" sheetId="13" r:id="rId17"/>
    <sheet state="hidden" name="Discrepancies Early" sheetId="14" r:id="rId18"/>
    <sheet state="visible" name="Mapping Discrepancies" sheetId="15" r:id="rId19"/>
  </sheets>
  <definedNames>
    <definedName hidden="1" localSheetId="4" name="_xlnm._FilterDatabase">'Query Validation'!$C$1:$C$1000</definedName>
    <definedName hidden="1" localSheetId="5" name="_xlnm._FilterDatabase">'INCEXC Disc'!$K$1:$K$1000</definedName>
    <definedName hidden="1" localSheetId="13" name="_xlnm._FilterDatabase">'Discrepancies Early'!$K$1:$K$1000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tc={13a273fa-8a46-485b-930e-e5321c8dff93}</author>
    <author>tc={1c6fe86d-a2ec-49a6-8acf-11224920b823}</author>
    <author>tc={1eccf9e6-5f07-4bf1-ab19-e3e01616da98}</author>
    <author>tc={22e7d109-ceec-401c-9555-c02c05668a10}</author>
    <author>tc={2dd58433-3634-46f5-b69f-c1c77c732d26}</author>
    <author>tc={6a2bbb5f-3a19-4de2-b036-efacebbb6f14}</author>
    <author>tc={74a9ff81-2ac9-4fc7-bda5-f5b9b70cefd4}</author>
    <author>tc={79e32492-5bc9-44bd-8d29-ff0f828bb631}</author>
    <author>tc={85ff2310-1c12-4a93-ae41-76ff227f9874}</author>
    <author>tc={8d8146a9-e6fb-44b2-95f8-9ac1fbcb643d}</author>
    <author>tc={99dc1db9-3c41-4e7f-835c-6cff3264381f}</author>
    <author>tc={bc59abb7-009a-470a-8fe2-f1b0cd1fc5d6}</author>
    <author>tc={fb2dfd5b-e74f-43bd-8c5c-bf10fa7f61fb}</author>
    <author>tc={fbb6cf34-00a1-445b-9143-8a77b013e16f}</author>
    <author>tc={ff2172d1-9c93-478a-adc1-573eb607154e}</author>
  </authors>
  <commentList>
    <comment authorId="0" xr:uid="{13a273fa-8a46-485b-930e-e5321c8dff93}" ref="C235">
      <text>
        <t xml:space="preserve">[Threaded comment]
 Your version of Excel allows you to read this threaded comment; however, any edits to it will get removed if the file is opened in a newer version of Excel. Learn more: https://go.microsoft.com/fwlink/?linkid=870924
Comment:
	I think the paper is more about misinformation from LLMs that can harm animals instead of sycophancy itself, which is why I excluded it.
Reply:
	I see where you're coming from, at first when I read the paper I believed part of the misinformation stemmed from syophantic issues but now that I read more of it, it seems more misinformation based
</t>
      </text>
    </comment>
    <comment authorId="1" xr:uid="{1c6fe86d-a2ec-49a6-8acf-11224920b823}" ref="C222">
      <text>
        <t xml:space="preserve">[Threaded comment]
 Your version of Excel allows you to read this threaded comment; however, any edits to it will get removed if the file is opened in a newer version of Excel. Learn more: https://go.microsoft.com/fwlink/?linkid=870924
Comment:
	Its not about sycophancy though it seems
</t>
      </text>
    </comment>
    <comment authorId="2" xr:uid="{1eccf9e6-5f07-4bf1-ab19-e3e01616da98}" ref="C59">
      <text>
        <t xml:space="preserve">[Threaded comment]
 Your version of Excel allows you to read this threaded comment; however, any edits to it will get removed if the file is opened in a newer version of Excel. Learn more: https://go.microsoft.com/fwlink/?linkid=870924
Comment:
	This one is about looking at the agreeability of AI, which connects into sycophancy imo
Reply:
	Yeah I agree as well, I believe I mistook this paper for another one
</t>
      </text>
    </comment>
    <comment authorId="3" xr:uid="{22e7d109-ceec-401c-9555-c02c05668a10}" ref="C359">
      <text>
        <t xml:space="preserve">[Threaded comment]
 Your version of Excel allows you to read this threaded comment; however, any edits to it will get removed if the file is opened in a newer version of Excel. Learn more: https://go.microsoft.com/fwlink/?linkid=870924
Comment:
	It is about sycophancy partially
</t>
      </text>
    </comment>
    <comment authorId="4" xr:uid="{2dd58433-3634-46f5-b69f-c1c77c732d26}" ref="C312">
      <text>
        <t xml:space="preserve">[Threaded comment]
 Your version of Excel allows you to read this threaded comment; however, any edits to it will get removed if the file is opened in a newer version of Excel. Learn more: https://go.microsoft.com/fwlink/?linkid=870924
Comment:
	This one looks into sycophancy a little bit, but not a focus
Reply:
	Yeah, thats how I felt as well, I believe the focus of this research paper is how disclosing if an individual has autism affects the LLM's response. I do not think this paper is directly about sycophancy
Reply:
	I agree with that, ill update
</t>
      </text>
    </comment>
    <comment authorId="5" xr:uid="{6a2bbb5f-3a19-4de2-b036-efacebbb6f14}" ref="D298">
      <text>
        <t xml:space="preserve">[Threaded comment]
 Your version of Excel allows you to read this threaded comment; however, any edits to it will get removed if the file is opened in a newer version of Excel. Learn more: https://go.microsoft.com/fwlink/?linkid=870924
Comment:
	I excluded it because it mainly focuses on metacognitive struggles which is about awareness rather than sycophancy.
</t>
      </text>
    </comment>
    <comment authorId="6" xr:uid="{74a9ff81-2ac9-4fc7-bda5-f5b9b70cefd4}" ref="D39">
      <text>
        <t xml:space="preserve">[Threaded comment]
 Your version of Excel allows you to read this threaded comment; however, any edits to it will get removed if the file is opened in a newer version of Excel. Learn more: https://go.microsoft.com/fwlink/?linkid=870924
Comment:
	I included this because it touches on sycophancy by saying that it causes some vulnerabilities.
Reply:
	I see that this paper touches on sycophancy but I think it just mentions it as a problem, but it doesn't really talk about how AI disagrees, etc.
</t>
      </text>
    </comment>
    <comment authorId="7" xr:uid="{79e32492-5bc9-44bd-8d29-ff0f828bb631}" ref="C320">
      <text>
        <t xml:space="preserve">[Threaded comment]
 Your version of Excel allows you to read this threaded comment; however, any edits to it will get removed if the file is opened in a newer version of Excel. Learn more: https://go.microsoft.com/fwlink/?linkid=870924
Comment:
	I excluded this paper because I don't think it's about sycophancy. It's mostly about divination and AI, and sycophancy was briefly mentioned as a side note/concern.
</t>
      </text>
    </comment>
    <comment authorId="8" xr:uid="{85ff2310-1c12-4a93-ae41-76ff227f9874}" ref="C250">
      <text>
        <t xml:space="preserve">[Threaded comment]
 Your version of Excel allows you to read this threaded comment; however, any edits to it will get removed if the file is opened in a newer version of Excel. Learn more: https://go.microsoft.com/fwlink/?linkid=870924
Comment:
	I excluded this because I think the paper is more about LLMs (through the CUAs) and their susceptibility to being tricked by the "dark patterns" instead of the LLMs acting sycophantic.
</t>
      </text>
    </comment>
    <comment authorId="9" xr:uid="{8d8146a9-e6fb-44b2-95f8-9ac1fbcb643d}" ref="C233">
      <text>
        <t xml:space="preserve">[Threaded comment]
 Your version of Excel allows you to read this threaded comment; however, any edits to it will get removed if the file is opened in a newer version of Excel. Learn more: https://go.microsoft.com/fwlink/?linkid=870924
Comment:
	This one is about sycophancy
Reply:
	I think this research paper is more about LLM as therapist. LLM tend to exhibit sycophancy but it's not a study on sycophancy itself
Reply:
	Do we think that it still counts if it skirts around it? Im fine either way to code it in either way
Reply:
	We can include it for now and once we read the paper we can decide
</t>
      </text>
    </comment>
    <comment authorId="10" xr:uid="{99dc1db9-3c41-4e7f-835c-6cff3264381f}" ref="C321">
      <text>
        <t xml:space="preserve">[Threaded comment]
 Your version of Excel allows you to read this threaded comment; however, any edits to it will get removed if the file is opened in a newer version of Excel. Learn more: https://go.microsoft.com/fwlink/?linkid=870924
Comment:
	Feedback is a key part of sycophancy, as its talking about unhelpful feedback and relates to it not wanting to criticize human work
Reply:
	I agree, but find that this paper focuses much more on user feedback. Sycophancy is only mentioned once in the paper.
Reply:
	I mean yeah, that is a fair point, but it kinda skirts around the idea without landing a hit, but yeah its not about it for these criteria
</t>
      </text>
    </comment>
    <comment authorId="11" xr:uid="{bc59abb7-009a-470a-8fe2-f1b0cd1fc5d6}" ref="C317">
      <text>
        <t xml:space="preserve">[Threaded comment]
 Your version of Excel allows you to read this threaded comment; however, any edits to it will get removed if the file is opened in a newer version of Excel. Learn more: https://go.microsoft.com/fwlink/?linkid=870924
Comment:
	I excluded this because I thought the paper focused more on how LLMs can be used to deliver conversational news. It did mention sycophancy as a credibility/accuracy concern, but it felt more like a side note because it didn't study or analyze it further.
Reply:
	I felt like sycophancy was analyzed in some detail, for example, "We observed two credibility-related tendencies in the conversation logs that deserve attention. The first concerns sycophancy, where the agent prioritizes user agreement over independent reasoning [7]. In one case, a simple word mix-up between “lime,” the fruit, and “lim,” meaning “glue,” led the agent to affirm an incorrect statement about pricing to Astrid."
</t>
      </text>
    </comment>
    <comment authorId="12" xr:uid="{fb2dfd5b-e74f-43bd-8c5c-bf10fa7f61fb}" ref="C347">
      <text>
        <t xml:space="preserve">[Threaded comment]
 Your version of Excel allows you to read this threaded comment; however, any edits to it will get removed if the file is opened in a newer version of Excel. Learn more: https://go.microsoft.com/fwlink/?linkid=870924
Comment:
	Is an extended abstract a research paper? it has basically the same parts imo
</t>
      </text>
    </comment>
    <comment authorId="13" xr:uid="{fbb6cf34-00a1-445b-9143-8a77b013e16f}" ref="C336">
      <text>
        <t xml:space="preserve">[Threaded comment]
 Your version of Excel allows you to read this threaded comment; however, any edits to it will get removed if the file is opened in a newer version of Excel. Learn more: https://go.microsoft.com/fwlink/?linkid=870924
Comment:
	Not about sycophancy?
</t>
      </text>
    </comment>
    <comment authorId="14" xr:uid="{ff2172d1-9c93-478a-adc1-573eb607154e}" ref="C318">
      <text>
        <t xml:space="preserve">[Threaded comment]
 Your version of Excel allows you to read this threaded comment; however, any edits to it will get removed if the file is opened in a newer version of Excel. Learn more: https://go.microsoft.com/fwlink/?linkid=870924
Comment:
	I can see how LLMs used for mental health can bring up sycophancy concerns in general, but I think the paper mostly focuses on the responsible use and design of mental health LLM tools instead of giving insight on sycophancy.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tc={4fcc97c9-d4ec-4e72-8cba-0b332681935c}</author>
    <author>tc={5ff81198-d4ee-4412-aec3-1a3f0a8fbd9f}</author>
    <author>tc={84d3666c-cd19-40e7-a83e-68a69af61a2a}</author>
    <author>tc={ade33b8b-cb60-4816-a0d5-0d855b6e8390}</author>
    <author>tc={c3dd857e-a699-4367-bca1-2d38b51138a4}</author>
    <author>tc={c9152bd6-73ea-4d78-b3c8-1d4b99c82716}</author>
  </authors>
  <commentList>
    <comment authorId="0" xr:uid="{4fcc97c9-d4ec-4e72-8cba-0b332681935c}" ref="C347">
      <text>
        <t xml:space="preserve">[Threaded comment]
 Your version of Excel allows you to read this threaded comment; however, any edits to it will get removed if the file is opened in a newer version of Excel. Learn more: https://go.microsoft.com/fwlink/?linkid=870924
Comment:
	&lt;&lt; extended-abstract, not research paper
</t>
      </text>
    </comment>
    <comment authorId="1" xr:uid="{5ff81198-d4ee-4412-aec3-1a3f0a8fbd9f}" ref="C230">
      <text>
        <t xml:space="preserve">[Threaded comment]
 Your version of Excel allows you to read this threaded comment; however, any edits to it will get removed if the file is opened in a newer version of Excel. Learn more: https://go.microsoft.com/fwlink/?linkid=870924
Comment:
	I excluded this one because this is categorized as a poster
Reply:
	:thumbsup:
</t>
      </text>
    </comment>
    <comment authorId="2" xr:uid="{84d3666c-cd19-40e7-a83e-68a69af61a2a}" ref="C218">
      <text>
        <t xml:space="preserve">[Threaded comment]
 Your version of Excel allows you to read this threaded comment; however, any edits to it will get removed if the file is opened in a newer version of Excel. Learn more: https://go.microsoft.com/fwlink/?linkid=870924
Comment:
	I excluded this one because this is categorized as a survey
</t>
      </text>
    </comment>
    <comment authorId="3" xr:uid="{ade33b8b-cb60-4816-a0d5-0d855b6e8390}" ref="C367">
      <text>
        <t xml:space="preserve">[Threaded comment]
 Your version of Excel allows you to read this threaded comment; however, any edits to it will get removed if the file is opened in a newer version of Excel. Learn more: https://go.microsoft.com/fwlink/?linkid=870924
Comment:
	I excluded this because it's a survey, not a research paper
</t>
      </text>
    </comment>
    <comment authorId="4" xr:uid="{c3dd857e-a699-4367-bca1-2d38b51138a4}" ref="C342">
      <text>
        <t xml:space="preserve">[Threaded comment]
 Your version of Excel allows you to read this threaded comment; however, any edits to it will get removed if the file is opened in a newer version of Excel. Learn more: https://go.microsoft.com/fwlink/?linkid=870924
Comment:
	I excluded this one because this is categorized as a extended abstract
Reply:
	is an extended abstract count as a research paper?
it has most of the same parts imo
Reply:
	From the Slack, "Is it an actual research article/paper (not a keynote speech, extended abstract, panel session, podcast, etc)"
Reply:
	copy
</t>
      </text>
    </comment>
    <comment authorId="5" xr:uid="{c9152bd6-73ea-4d78-b3c8-1d4b99c82716}" ref="C347">
      <text>
        <t xml:space="preserve">[Threaded comment]
 Your version of Excel allows you to read this threaded comment; however, any edits to it will get removed if the file is opened in a newer version of Excel. Learn more: https://go.microsoft.com/fwlink/?linkid=870924
Comment:
	I excluded this because it's an extended-abstract, not a research paper
Reply:
	is extended abstract the same thing?
Reply:
	The professor's slack message on June 1st said: Is it an actual research article/paper (not a keynote speech, extended abstract, panel session, podcast, etc)
^ So I don't think we include extended abstract
Reply:
	copy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tc={10f72270-0f14-4c70-8531-d0c69284e901}</author>
    <author>tc={2839e3af-758d-46e8-b0d8-9db0c1b2591c}</author>
    <author>tc={33c95b5b-3b83-452d-ac2b-b4fb8e9037b0}</author>
    <author>tc={69563d68-5e07-4ddb-b275-6635a5529c19}</author>
    <author>tc={e30e3a65-be0c-4c96-97d0-8a7169c1cd30}</author>
  </authors>
  <commentList>
    <comment authorId="0" xr:uid="{10f72270-0f14-4c70-8531-d0c69284e901}" ref="L35">
      <text>
        <t xml:space="preserve">[Threaded comment]
 Your version of Excel allows you to read this threaded comment; however, any edits to it will get removed if the file is opened in a newer version of Excel. Learn more: https://go.microsoft.com/fwlink/?linkid=870924
Comment:
	In the paper, they defined sycophancy as "a tendency for model responses to match user beliefs rather than truthful ones". I decided to choose only "bias agreement" as it was the closest to that definition.
</t>
      </text>
    </comment>
    <comment authorId="1" xr:uid="{2839e3af-758d-46e8-b0d8-9db0c1b2591c}" ref="L14">
      <text>
        <t xml:space="preserve">[Threaded comment]
 Your version of Excel allows you to read this threaded comment; however, any edits to it will get removed if the file is opened in a newer version of Excel. Learn more: https://go.microsoft.com/fwlink/?linkid=870924
Comment:
	Since the paper mentioned sycophancy as "This aligns with previous findings on the sycophantic tendencies of LLMs [31], characterized by excessive agreement with the user"  I ticked this in as well
</t>
      </text>
    </comment>
    <comment authorId="2" xr:uid="{33c95b5b-3b83-452d-ac2b-b4fb8e9037b0}" ref="Q5">
      <text>
        <t xml:space="preserve">[Threaded comment]
 Your version of Excel allows you to read this threaded comment; however, any edits to it will get removed if the file is opened in a newer version of Excel. Learn more: https://go.microsoft.com/fwlink/?linkid=870924
Comment:
	The paper says on page 3:
Which is how they felt during the interaction, so I marked it. 
"However, users appeared more balanced in
their sentiment, with 23.6 % positive, 40.6 % negative, and 36.0
% neutral statements, whereas the chatbot debriefer barely made
any negative assessments (2.9 %)."
Reply:
	Marked as resolved
Reply:
	Reopened
</t>
      </text>
    </comment>
    <comment authorId="3" xr:uid="{69563d68-5e07-4ddb-b275-6635a5529c19}" ref="D14">
      <text>
        <t xml:space="preserve">[Threaded comment]
 Your version of Excel allows you to read this threaded comment; however, any edits to it will get removed if the file is opened in a newer version of Excel. Learn more: https://go.microsoft.com/fwlink/?linkid=870924
Comment:
	I didn't think this paper focused much on sycophancy, let me know what you think
Reply:
	I think this paper still touches on sycophancy although the emphasis is somewhere else. E.g. page 2 mentions the Agreeable personality can sometimes be perceived as sycophantic; page 3 mentions metrics shows high levels of agreeableness were found in all personality types, suggesting sycophantic tendencies of LLM.
</t>
      </text>
    </comment>
    <comment authorId="4" xr:uid="{e30e3a65-be0c-4c96-97d0-8a7169c1cd30}" ref="G25">
      <text>
        <t xml:space="preserve">[Threaded comment]
 Your version of Excel allows you to read this threaded comment; however, any edits to it will get removed if the file is opened in a newer version of Excel. Learn more: https://go.microsoft.com/fwlink/?linkid=870924
Comment:
	In section 4, User Study Methods, the article mentions the study recruited 34 adults, but didn't specify whether they are students.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tc={00c78eaf-8d35-468b-8073-9cc44051b4c0}</author>
    <author>tc={0506ed3d-fdaf-487c-b83b-f5b1d17c353e}</author>
    <author>tc={114264c0-4966-40f9-b530-c31dda0357d5}</author>
    <author>tc={1d4c5ad7-47b1-4776-8564-afe491e4cf58}</author>
    <author>tc={28225238-e106-47a5-ae5f-709b97a7d3df}</author>
    <author>tc={40ae72b8-d2e5-4dd5-a412-b07c701ff6b0}</author>
    <author>tc={6257f994-953f-4ed6-af00-153e8fef4730}</author>
    <author>tc={76575e8d-12de-4eb8-b80e-017d20aa43a6}</author>
    <author>tc={8212c47a-30e5-446a-8864-50cc131c909a}</author>
    <author>tc={8bee91c0-e436-4e48-9152-a3e64d768060}</author>
    <author>tc={9cac2ba6-6203-41d9-84b9-33e59f7e0cdb}</author>
    <author>tc={a9d976da-5b27-4316-b6b4-cc2d9e9d4beb}</author>
    <author>tc={abb812d2-ecd2-4bbf-ab19-9f483a23cd49}</author>
    <author>tc={adbe3bb7-dd9a-4e46-9000-8012f3dfef50}</author>
    <author>tc={aff59c00-e633-48ba-ade5-5d749a1bf983}</author>
    <author>tc={b63082b4-4ba7-4ddc-a8e5-ac3a08dafc6e}</author>
    <author>tc={baf01fa2-0200-4aa1-8227-5576ae0c378c}</author>
    <author>tc={d62939ef-16a0-49bd-8e66-d64913ccdec0}</author>
    <author>tc={f129d19b-d33f-4522-9c07-5e4f261fd398}</author>
    <author>tc={fc5f7fb5-c322-42c1-95d1-aa4b55f856ed}</author>
  </authors>
  <commentList>
    <comment authorId="0" xr:uid="{00c78eaf-8d35-468b-8073-9cc44051b4c0}" ref="M24">
      <text>
        <t xml:space="preserve">[Threaded comment]
 Your version of Excel allows you to read this threaded comment; however, any edits to it will get removed if the file is opened in a newer version of Excel. Learn more: https://go.microsoft.com/fwlink/?linkid=870924
Comment:
	I marked this as an X because some agents were made to have “complimentary” demeanor! They expressed praise and positive emotions when prompted by participants.
</t>
      </text>
    </comment>
    <comment authorId="1" xr:uid="{0506ed3d-fdaf-487c-b83b-f5b1d17c353e}" ref="Q24">
      <text>
        <t xml:space="preserve">[Threaded comment]
 Your version of Excel allows you to read this threaded comment; however, any edits to it will get removed if the file is opened in a newer version of Excel. Learn more: https://go.microsoft.com/fwlink/?linkid=870924
Comment:
	I marked this instead of user action because under the “Measurements” section, the paper measured how participants felt/reacted to interacting with the agents using a Likert scale.
</t>
      </text>
    </comment>
    <comment authorId="2" xr:uid="{114264c0-4966-40f9-b530-c31dda0357d5}" ref="L30">
      <text>
        <t xml:space="preserve">[Threaded comment]
 Your version of Excel allows you to read this threaded comment; however, any edits to it will get removed if the file is opened in a newer version of Excel. Learn more: https://go.microsoft.com/fwlink/?linkid=870924
Comment:
	The paper says, "Sycophancy refers to a broad class of mirroring behaviors in inter-
actions where one party reflects the other’s perspective, values, or
self-image". I believe bias agreement is the closest to that defination
Reply:
	Marked as resolved
Reply:
	Reopened
</t>
      </text>
    </comment>
    <comment authorId="3" xr:uid="{1d4c5ad7-47b1-4776-8564-afe491e4cf58}" ref="M37">
      <text>
        <t xml:space="preserve">[Threaded comment]
 Your version of Excel allows you to read this threaded comment; however, any edits to it will get removed if the file is opened in a newer version of Excel. Learn more: https://go.microsoft.com/fwlink/?linkid=870924
Comment:
	I based off my definition of sycophancy as "Models aligned with reinforcement learning from human feedback display sycophantic behavior, mirroring known user beliefs over prioritizing critical engagement." So I thought the last two satisfied the definition.
Reply:
	Actually now reading this I feel it aligns more closely with Bias Agreement, as it focuses on the LLM overly aligning with the user's opinions rather than changing its stance in response to the user.
</t>
      </text>
    </comment>
    <comment authorId="4" xr:uid="{28225238-e106-47a5-ae5f-709b97a7d3df}" ref="S30">
      <text>
        <t xml:space="preserve">[Threaded comment]
 Your version of Excel allows you to read this threaded comment; however, any edits to it will get removed if the file is opened in a newer version of Excel. Learn more: https://go.microsoft.com/fwlink/?linkid=870924
Comment:
	I put system performance because this paper is about whether interaction contect changes how sycophantic the LLM is. Please let me know if you agree.
</t>
      </text>
    </comment>
    <comment authorId="5" xr:uid="{40ae72b8-d2e5-4dd5-a412-b07c701ff6b0}" ref="F29">
      <text>
        <t xml:space="preserve">[Threaded comment]
 Your version of Excel allows you to read this threaded comment; however, any edits to it will get removed if the file is opened in a newer version of Excel. Learn more: https://go.microsoft.com/fwlink/?linkid=870924
Comment:
	In this study they had 238 participants but I can't find info on them being authors.
</t>
      </text>
    </comment>
    <comment authorId="6" xr:uid="{6257f994-953f-4ed6-af00-153e8fef4730}" ref="E21">
      <text>
        <t xml:space="preserve">[Threaded comment]
 Your version of Excel allows you to read this threaded comment; however, any edits to it will get removed if the file is opened in a newer version of Excel. Learn more: https://go.microsoft.com/fwlink/?linkid=870924
Comment:
	I also don’t think this is a sycophancy paper and brought it up on the Slack channel, but I mapped it anyway! Just wanted to let you know
</t>
      </text>
    </comment>
    <comment authorId="7" xr:uid="{76575e8d-12de-4eb8-b80e-017d20aa43a6}" ref="R16">
      <text>
        <t xml:space="preserve">[Threaded comment]
 Your version of Excel allows you to read this threaded comment; however, any edits to it will get removed if the file is opened in a newer version of Excel. Learn more: https://go.microsoft.com/fwlink/?linkid=870924
Comment:
	I was mainly looking at section 5 for Outcomes, but I didn't find user action is measured in this section.
</t>
      </text>
    </comment>
    <comment authorId="8" xr:uid="{8212c47a-30e5-446a-8864-50cc131c909a}" ref="Q17">
      <text>
        <t xml:space="preserve">[Threaded comment]
 Your version of Excel allows you to read this threaded comment; however, any edits to it will get removed if the file is opened in a newer version of Excel. Learn more: https://go.microsoft.com/fwlink/?linkid=870924
Comment:
	I marked user opinion as in the Finding section, the paper references user opinions from interviews. e.g. pg 8, the paper mentions that a participant thinks LLM changing stances in their response is annoying
</t>
      </text>
    </comment>
    <comment authorId="9" xr:uid="{8bee91c0-e436-4e48-9152-a3e64d768060}" ref="F24">
      <text>
        <t xml:space="preserve">[Threaded comment]
 Your version of Excel allows you to read this threaded comment; however, any edits to it will get removed if the file is opened in a newer version of Excel. Learn more: https://go.microsoft.com/fwlink/?linkid=870924
Comment:
	I marked this instead of the “authors” option because their participants were picked on some research recruitment platform. However, I see how the authors are technically judging the sycophancy since the participants didn’t assess sycophancy directly in their responses, but they do mention the agents being “yes-men” or overly validating which could count as them labeling the agents as sycophantic? I’m open to changing my mapping though if you have another perspective!!
</t>
      </text>
    </comment>
    <comment authorId="10" xr:uid="{9cac2ba6-6203-41d9-84b9-33e59f7e0cdb}" ref="I20">
      <text>
        <t xml:space="preserve">[Threaded comment]
 Your version of Excel allows you to read this threaded comment; however, any edits to it will get removed if the file is opened in a newer version of Excel. Learn more: https://go.microsoft.com/fwlink/?linkid=870924
Comment:
	I picked this over the AI option based off how they used the SyEval benchmark to evaluate whether an LVLM was sycophantic. I don’t think AI is involved in the benchmark itself and how it evaluates (I think it’s more of a dataset/test?), but please let me know if you have a different opinion!!
Reply:
	Marked as resolved
Reply:
	Reopened
</t>
      </text>
    </comment>
    <comment authorId="11" xr:uid="{a9d976da-5b27-4316-b6b4-cc2d9e9d4beb}" ref="L29">
      <text>
        <t xml:space="preserve">[Threaded comment]
 Your version of Excel allows you to read this threaded comment; however, any edits to it will get removed if the file is opened in a newer version of Excel. Learn more: https://go.microsoft.com/fwlink/?linkid=870924
Comment:
	In the paper, it says "phenomenon of "sycophancy" observed in Large Language Models (LLMs), where the use of human feedback to fine-tune AI assistants inadvertently encourages responses that align with users’ preferences rather than truthful information, creating generative echo-chambers". I believe "bias agreement" is the closest to that definition
</t>
      </text>
    </comment>
    <comment authorId="12" xr:uid="{abb812d2-ecd2-4bbf-ab19-9f483a23cd49}" ref="Q25">
      <text>
        <t xml:space="preserve">[Threaded comment]
 Your version of Excel allows you to read this threaded comment; however, any edits to it will get removed if the file is opened in a newer version of Excel. Learn more: https://go.microsoft.com/fwlink/?linkid=870924
Comment:
	I also included user opinion because in the paper it says "Participants assessed their preferences, perceived dark pattern, emotional
responses, mitigation strategies, and views on responsibility.
</t>
      </text>
    </comment>
    <comment authorId="13" xr:uid="{adbe3bb7-dd9a-4e46-9000-8012f3dfef50}" ref="S17">
      <text>
        <t xml:space="preserve">[Threaded comment]
 Your version of Excel allows you to read this threaded comment; however, any edits to it will get removed if the file is opened in a newer version of Excel. Learn more: https://go.microsoft.com/fwlink/?linkid=870924
Comment:
	I was mainly looking at the Findings sections for outcomes. I didn't see system performance mentioned, so I didn't mark it.
</t>
      </text>
    </comment>
    <comment authorId="14" xr:uid="{aff59c00-e633-48ba-ade5-5d749a1bf983}" ref="E22">
      <text>
        <t xml:space="preserve">[Threaded comment]
 Your version of Excel allows you to read this threaded comment; however, any edits to it will get removed if the file is opened in a newer version of Excel. Learn more: https://go.microsoft.com/fwlink/?linkid=870924
Comment:
	I coded mine, and our mappings match! I initially left it blank though because I thought this wasn’t a sycophancy paper. I thought that it focused more on getting AI agents to influence/change human decision-making/opinion instead of the other way around where the agent changes its stance to please the user, but let me know what you think!! I brought this up in the Slack channel, but I think one of the INC/EXC people for this paper was inactive.
</t>
      </text>
    </comment>
    <comment authorId="15" xr:uid="{b63082b4-4ba7-4ddc-a8e5-ac3a08dafc6e}" ref="F37">
      <text>
        <t xml:space="preserve">[Threaded comment]
 Your version of Excel allows you to read this threaded comment; however, any edits to it will get removed if the file is opened in a newer version of Excel. Learn more: https://go.microsoft.com/fwlink/?linkid=870924
Comment:
	Hi, I think the judges should go under students and a prompted AI as in Section B.2 it says " All human annotators were students either currently in law school or pursuing graduate research at the intersection of AI and Law." and in Section B.1 where it says "we use Qwen3-32B as a judge model to classify...". Let me know what you think
</t>
      </text>
    </comment>
    <comment authorId="16" xr:uid="{baf01fa2-0200-4aa1-8227-5576ae0c378c}" ref="L31">
      <text>
        <t xml:space="preserve">[Threaded comment]
 Your version of Excel allows you to read this threaded comment; however, any edits to it will get removed if the file is opened in a newer version of Excel. Learn more: https://go.microsoft.com/fwlink/?linkid=870924
Comment:
	One of the references this paper uses [17], defined sycophancy as "Sycophancy refers to the tendency of a large language model to align its outputs with the user's perceived preferences, beliefs, or opinions, in order to look favorable, regardless of whether those statements are factually correct"
</t>
      </text>
    </comment>
    <comment authorId="17" xr:uid="{d62939ef-16a0-49bd-8e66-d64913ccdec0}" ref="O11">
      <text>
        <t xml:space="preserve">[Threaded comment]
 Your version of Excel allows you to read this threaded comment; however, any edits to it will get removed if the file is opened in a newer version of Excel. Learn more: https://go.microsoft.com/fwlink/?linkid=870924
Comment:
	On page 3, the article says "it became clear over time thatChatGPT would apologize and agree with any correction provided by the user, even an erroneous correction". I think it falls under failure to challenge ideas. What do you think?
</t>
      </text>
    </comment>
    <comment authorId="18" xr:uid="{f129d19b-d33f-4522-9c07-5e4f261fd398}" ref="S27">
      <text>
        <t xml:space="preserve">[Threaded comment]
 Your version of Excel allows you to read this threaded comment; however, any edits to it will get removed if the file is opened in a newer version of Excel. Learn more: https://go.microsoft.com/fwlink/?linkid=870924
Comment:
	I believe it should be system performance because this study evaluates how well an LLM is as a peer reviewer.
</t>
      </text>
    </comment>
    <comment authorId="19" xr:uid="{fc5f7fb5-c322-42c1-95d1-aa4b55f856ed}" ref="O13">
      <text>
        <t xml:space="preserve">[Threaded comment]
 Your version of Excel allows you to read this threaded comment; however, any edits to it will get removed if the file is opened in a newer version of Excel. Learn more: https://go.microsoft.com/fwlink/?linkid=870924
Comment:
	I marked this because in section 2, one of the definitions is Faithfulness Hallucination. But let me know what you think!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tc={2b909a10-6ca1-445e-b705-67f61b1650d4}</author>
  </authors>
  <commentList>
    <comment authorId="0" xr:uid="{2b909a10-6ca1-445e-b705-67f61b1650d4}" ref="U19">
      <text>
        <t xml:space="preserve">[Threaded comment]
 Your version of Excel allows you to read this threaded comment; however, any edits to it will get removed if the file is opened in a newer version of Excel. Learn more: https://go.microsoft.com/fwlink/?linkid=870924
Comment:
	Unsure about this if my comment and this are equivalent
</t>
      </text>
    </comment>
  </commentList>
</comments>
</file>

<file path=xl/sharedStrings.xml><?xml version="1.0" encoding="utf-8"?>
<sst xmlns="http://schemas.openxmlformats.org/spreadsheetml/2006/main" count="12482" uniqueCount="1695">
  <si>
    <t>URL</t>
  </si>
  <si>
    <t>Title</t>
  </si>
  <si>
    <t>Key</t>
  </si>
  <si>
    <t xml:space="preserve"> </t>
  </si>
  <si>
    <t>Definition of Sycophancy (what exactly do they mean by sycophancy)</t>
  </si>
  <si>
    <t>Outcomes (Are they measuring the impact of sycophancy on something else?)</t>
  </si>
  <si>
    <t>Human - Specialist</t>
  </si>
  <si>
    <t>Human - Authors</t>
  </si>
  <si>
    <t>AI - prompted</t>
  </si>
  <si>
    <t>Hallucination Agreement</t>
  </si>
  <si>
    <t>Bias Agreement</t>
  </si>
  <si>
    <t xml:space="preserve">Obsequiousness </t>
  </si>
  <si>
    <t>Stance Change</t>
  </si>
  <si>
    <t>Failure to challenge/trying to get along</t>
  </si>
  <si>
    <t>None</t>
  </si>
  <si>
    <t>User opinion</t>
  </si>
  <si>
    <t>User action</t>
  </si>
  <si>
    <t>System performance</t>
  </si>
  <si>
    <t>User performance</t>
  </si>
  <si>
    <t>Having someone with expertise (psychologist, conversation expert, etc) judge</t>
  </si>
  <si>
    <t>Authors judging</t>
  </si>
  <si>
    <t>Some sort of prompted AI doing the judging</t>
  </si>
  <si>
    <t>Saying something objectively wrong/harmful becuase the user wants it to be so</t>
  </si>
  <si>
    <t>The LLM choosing something that isn't objectively wrong, but siding towards the version that it believes user would want</t>
  </si>
  <si>
    <t>Fawning or overly positive language</t>
  </si>
  <si>
    <t>Getting the LLM to change opinions/stance/viewpoint to please/mirror user</t>
  </si>
  <si>
    <t>LLM failing to push back or challenge user or just going along with user's suggestion despite potential problems</t>
  </si>
  <si>
    <t>Just measuing sycophancy directly with no impact</t>
  </si>
  <si>
    <t>Measuring how users feel/react in some way</t>
  </si>
  <si>
    <t>Measuring something about how users behave while/after interacting with sycophantic LLMS</t>
  </si>
  <si>
    <t>Some measure of how sycophantic LLMs perform on some task</t>
  </si>
  <si>
    <t>Some measure of how well the user is able to accomplish a task with sycophantic/non-sycophantic agents</t>
  </si>
  <si>
    <t>https://ieeexplore.ieee.org/stamp/stamp.jsp?arnumber=11449950</t>
  </si>
  <si>
    <t>Too Positive to Be True? Sentiment Analysis of AI-Guided vs. Human-Led Debriefings in Virtual Reality Counseling Training</t>
  </si>
  <si>
    <t>10.1109/AIxVR67263.2026.00026</t>
  </si>
  <si>
    <t/>
  </si>
  <si>
    <t>X</t>
  </si>
  <si>
    <t>https://ieeexplore.ieee.org/stamp/stamp.jsp?arnumber=10825538</t>
  </si>
  <si>
    <t>Mitigating Sycophancy in Large Language Models via Direct Preference Optimization</t>
  </si>
  <si>
    <t>10.1109/BigData62323.2024.10825538</t>
  </si>
  <si>
    <t>https://ieeexplore.ieee.org/stamp/stamp.jsp?arnumber=11460702</t>
  </si>
  <si>
    <t>Towards Self-Evaluation of Sycophantic Hallucinations in Mathematical Reasoning</t>
  </si>
  <si>
    <t>10.1109/ICASSP55912.2026.11460702</t>
  </si>
  <si>
    <t>https://ieeexplore.ieee.org/stamp/stamp.jsp?arnumber=10820709</t>
  </si>
  <si>
    <t>SciTrust: Evaluating the Trustworthiness of Large Language Models for Science</t>
  </si>
  <si>
    <t>10.1109/SCW63240.2024.00017</t>
  </si>
  <si>
    <t>https://doi.org/10.1145/1518701.1519021</t>
  </si>
  <si>
    <t>I'm sorry</t>
  </si>
  <si>
    <t>10.1145/1518701.1519021</t>
  </si>
  <si>
    <t>https://doi.org/10.1145/3660650.3660656</t>
  </si>
  <si>
    <t>Faceless Adversary</t>
  </si>
  <si>
    <t>10.1145/3660650.3660656</t>
  </si>
  <si>
    <t>https://doi.org/10.1145/3663547.3746319</t>
  </si>
  <si>
    <t>Probing the Gaps in ChatGPT's Live Video Chat for Real-World Assistance for People who are Blind or Visually Impaired</t>
  </si>
  <si>
    <t>10.1145/3663547.3746319</t>
  </si>
  <si>
    <t>https://doi.org/10.1145/3703155</t>
  </si>
  <si>
    <t>A Survey on Hallucination in Large Language Models: Principles</t>
  </si>
  <si>
    <t>10.1145/3703155</t>
  </si>
  <si>
    <t>https://doi.org/10.1145/3706599.3719976</t>
  </si>
  <si>
    <t>Exploring Older Adults Personality Preferences for LLM-powered Conversational Companions</t>
  </si>
  <si>
    <t>10.1145/3706599.3719976</t>
  </si>
  <si>
    <t>https://doi.org/10.1145/3715275.3732039</t>
  </si>
  <si>
    <t>Expressing stigma and inappropriate responses prevents LLMs from safely replacing mental health providers.</t>
  </si>
  <si>
    <t>10.1145/3715275.3732039</t>
  </si>
  <si>
    <t>https://doi.org/10.1145/3717511.3747073</t>
  </si>
  <si>
    <t>Interactive Social Agent Behaviors of Politeness and Compromise in Collaborative Decision-making</t>
  </si>
  <si>
    <t>10.1145/3717511.3747073</t>
  </si>
  <si>
    <t>https://doi.org/10.1145/3719160.3736618</t>
  </si>
  <si>
    <t>Navigating the Fog: How University Students Recalibrate Sensemaking Practices to Address Plausible Falsehoods in LLM Outputs</t>
  </si>
  <si>
    <t>10.1145/3719160.3736618</t>
  </si>
  <si>
    <t>https://doi.org/10.1145/3742413.3789120</t>
  </si>
  <si>
    <t>Neural Transparency: Mechanistic Interpretability Interfaces for Anticipating Model Behaviors for Personalized AI</t>
  </si>
  <si>
    <t>10.1145/3742413.3789120</t>
  </si>
  <si>
    <t>https://doi.org/10.1145/3744169.3744194</t>
  </si>
  <si>
    <t>Reading the Praise/Prompt Machine: An Interface Criticism Approach to ChatGPT</t>
  </si>
  <si>
    <t>10.1145/3744169.3744194</t>
  </si>
  <si>
    <t>https://doi.org/10.1145/3746027.3755778</t>
  </si>
  <si>
    <t>Evaluating and Mitigating Sycophancy in Large Vision-Language Models</t>
  </si>
  <si>
    <t>10.1145/3746027.3755778</t>
  </si>
  <si>
    <t>https://doi.org/10.1145/3772318.3790385</t>
  </si>
  <si>
    <t>Understanding Compliance and Conversion Dynamics in Multi-Agent Collectives</t>
  </si>
  <si>
    <t>10.1145/3772318.3790385</t>
  </si>
  <si>
    <t>https://doi.org/10.1145/3772318.3790934</t>
  </si>
  <si>
    <t>Does Sycophancy Change Decisions? Effect of LLM Sycophancy on AI-Assisted Decision-Making</t>
  </si>
  <si>
    <t>10.1145/3772318.3790934</t>
  </si>
  <si>
    <t>https://doi.org/10.1145/3772318.3791079</t>
  </si>
  <si>
    <t>Be Friendly</t>
  </si>
  <si>
    <t>10.1145/3772318.3791079</t>
  </si>
  <si>
    <t>https://doi.org/10.1145/3772318.3791149</t>
  </si>
  <si>
    <t>The Siren Song of LLMs: How Users Perceive and Respond to Dark Patterns in Large Language Models</t>
  </si>
  <si>
    <t>10.1145/3772318.3791149</t>
  </si>
  <si>
    <t>https://doi.org/10.1145/3772318.3791233</t>
  </si>
  <si>
    <t>When AI Gives Advice: Evaluating AI and Human Responses to Online Advice-Seeking for Well-Being</t>
  </si>
  <si>
    <t>10.1145/3772318.3791233</t>
  </si>
  <si>
    <t>https://doi.org/10.1145/3772318.3791300</t>
  </si>
  <si>
    <t>All Accept</t>
  </si>
  <si>
    <t>10.1145/3772318.3791300</t>
  </si>
  <si>
    <t>https://doi.org/10.1145/3772318.3791365</t>
  </si>
  <si>
    <t>Invisible Saboteurs: Sycophantic LLMs Mislead Novices in Problem-Solving Tasks</t>
  </si>
  <si>
    <t>10.1145/3772318.3791365</t>
  </si>
  <si>
    <t>https://doi.org/10.1145/3772318.3791851</t>
  </si>
  <si>
    <t>Personal Validation Effect in LLMs: Positive AI Responses Bias Perceptions of Validity</t>
  </si>
  <si>
    <t>10.1145/3772318.3791851</t>
  </si>
  <si>
    <t>https://doi.org/10.1145/3772318.3791915</t>
  </si>
  <si>
    <t>Interaction Context Often Increases Sycophancy in LLMs</t>
  </si>
  <si>
    <t>10.1145/3772318.3791915</t>
  </si>
  <si>
    <t>https://doi.org/10.1145/3772363.3798705</t>
  </si>
  <si>
    <t>When AI Agrees</t>
  </si>
  <si>
    <t>10.1145/3772363.3798705</t>
  </si>
  <si>
    <t>https://doi.org/10.1145/3772363.3799334</t>
  </si>
  <si>
    <t>Maintaining Stable Personas? Examining Temporal Stability in LLM-Based Human Simulation</t>
  </si>
  <si>
    <t>10.1145/3772363.3799334</t>
  </si>
  <si>
    <t>https://doi.org/10.1145/3774904.3792506</t>
  </si>
  <si>
    <t>Acting Flatterers via LLMs Sycophancy: Combating Clickbait with LLMs Opposing-Stance Reasoning</t>
  </si>
  <si>
    <t>10.1145/3774904.3792506</t>
  </si>
  <si>
    <t>https://doi.org/10.1145/3776734.3794532</t>
  </si>
  <si>
    <t>Robotic Sycophancy: A Scoping Review</t>
  </si>
  <si>
    <t>10.1145/3776734.3794532</t>
  </si>
  <si>
    <t>https://doi.org/10.1145/3786304.3787879</t>
  </si>
  <si>
    <t>Confirmation</t>
  </si>
  <si>
    <t>10.1145/3786304.3787879</t>
  </si>
  <si>
    <t>https://doi.org/10.1145/3786335.3813137</t>
  </si>
  <si>
    <t>The Cost of Consensus: Isolated Self-Correction Prevails Over Unguided Homogeneous Multi-Agent Debate</t>
  </si>
  <si>
    <t>10.1145/3786335.3813137</t>
  </si>
  <si>
    <t>https://doi.org/10.1145/3788646.3789536</t>
  </si>
  <si>
    <t>AI-Assisted Moot Courts: Simulating Justice-Specific Questioning in Oral Arguments</t>
  </si>
  <si>
    <t>10.1145/3788646.3789536</t>
  </si>
  <si>
    <t>DOI</t>
  </si>
  <si>
    <t>https://ieeexplore.ieee.org/stamp/stamp.jsp?arnumber=11424465</t>
  </si>
  <si>
    <t>10.1109/RAMS50514.2026.11424465</t>
  </si>
  <si>
    <t>Autonomous AI-Driven FMEA Optimization For Safety And Reliability In Healthcare</t>
  </si>
  <si>
    <t>https://ieeexplore.ieee.org/stamp/stamp.jsp?arnumber=1431446</t>
  </si>
  <si>
    <t>10.1109/IRI.2004.1431446</t>
  </si>
  <si>
    <t>Context learning can improve user interaction</t>
  </si>
  <si>
    <t>https://ieeexplore.ieee.org/stamp/stamp.jsp?arnumber=4299963</t>
  </si>
  <si>
    <t>10.1109/ICSEA.2007.67</t>
  </si>
  <si>
    <t>Sycophant: An API for Research in Context-Aware User Interfaces</t>
  </si>
  <si>
    <t>https://ieeexplore.ieee.org/stamp/stamp.jsp?arnumber=735370</t>
  </si>
  <si>
    <t>10.1109/47.735370</t>
  </si>
  <si>
    <t>The letter of submission: avoiding the promotional genre</t>
  </si>
  <si>
    <t>https://ieeexplore.ieee.org/stamp/stamp.jsp?arnumber=10771051</t>
  </si>
  <si>
    <t>10.1109/AIxSET62544.2024.00047</t>
  </si>
  <si>
    <t>Towards Transparent Artificial Intelligence: Exploring Modern Approaches and Future Directions</t>
  </si>
  <si>
    <t>https://ieeexplore.ieee.org/stamp/stamp.jsp?arnumber=10590666</t>
  </si>
  <si>
    <t>10.1109/HPSC62738.2024.00012</t>
  </si>
  <si>
    <t>Studying the Knowledge and Behavior of ChatGPT via Journey to the West</t>
  </si>
  <si>
    <t>https://ieeexplore.ieee.org/stamp/stamp.jsp?arnumber=11508939</t>
  </si>
  <si>
    <t>10.1109/ICAACE69793.2026.11508939</t>
  </si>
  <si>
    <t>Tiny-Critic RAG: Empowering Agentic Fallback with Parameter-Efficient Small Language Models</t>
  </si>
  <si>
    <t>https://ieeexplore.ieee.org/stamp/stamp.jsp?arnumber=11345775</t>
  </si>
  <si>
    <t>10.1109/NKCon66957.2025.11345775</t>
  </si>
  <si>
    <t>Improving Argumentative Reasoning in LLMs Using Online Debates and Agent-Based Interaction</t>
  </si>
  <si>
    <t>https://ieeexplore.ieee.org/stamp/stamp.jsp?arnumber=11462217</t>
  </si>
  <si>
    <t>10.1109/ICASSP55912.2026.11462217</t>
  </si>
  <si>
    <t>FinLumen: A Game-Theoretic Multi-Agent Framework for Rational Portfolio Management</t>
  </si>
  <si>
    <t>https://ieeexplore.ieee.org/stamp/stamp.jsp?arnumber=8372225</t>
  </si>
  <si>
    <t>10.1049/cp.2016.1548</t>
  </si>
  <si>
    <t>A SOFC based autonomous microgrid performance analysis using adaptive PI and PI controller</t>
  </si>
  <si>
    <t>https://ieeexplore.ieee.org/stamp/stamp.jsp?arnumber=6056911</t>
  </si>
  <si>
    <t>10.1109/ICECENG.2011.6056911</t>
  </si>
  <si>
    <t>Cohesive subgroups analysis of asynchronous cognitive interactive network in collaborative learning</t>
  </si>
  <si>
    <t>https://ieeexplore.ieee.org/stamp/stamp.jsp?arnumber=11519295</t>
  </si>
  <si>
    <t>10.1109/GAIIS69281.2026.11519295</t>
  </si>
  <si>
    <t>PI-Embedding: Scientific Idea Representation Learning via Citation Intent and Paper Provenance</t>
  </si>
  <si>
    <t>https://ieeexplore.ieee.org/stamp/stamp.jsp?arnumber=4580542</t>
  </si>
  <si>
    <t>10.1109/MIS.2008.55</t>
  </si>
  <si>
    <t>A Computational Approach to Etiquette: Operationalizing Brown and Levinson's Politeness Model</t>
  </si>
  <si>
    <t>https://ieeexplore.ieee.org/stamp/stamp.jsp?arnumber=9381292</t>
  </si>
  <si>
    <t>10.1109/ASONAM49781.2020.9381292</t>
  </si>
  <si>
    <t>Aspect Based Abusive Sentiment Detection in Nepali Social Media Texts</t>
  </si>
  <si>
    <t>https://ieeexplore.ieee.org/stamp/stamp.jsp?arnumber=5427110</t>
  </si>
  <si>
    <t>10.1109/TEVC.2009.2021466</t>
  </si>
  <si>
    <t>XCS for Personalizing Desktop Interfaces</t>
  </si>
  <si>
    <t>https://ieeexplore.ieee.org/stamp/stamp.jsp?arnumber=5409737</t>
  </si>
  <si>
    <t>10.1109/ICASTECH.2009.5409737</t>
  </si>
  <si>
    <t>Tracking a Sycophant Wireless Sensor Network for its seamless integration to mobile Wireless Sensor Networks</t>
  </si>
  <si>
    <t>https://ieeexplore.ieee.org/stamp/stamp.jsp?arnumber=10585495</t>
  </si>
  <si>
    <t>10.1109/GEM61861.2024.10585495</t>
  </si>
  <si>
    <t>Leveraging Large Language Models for Enhanced VR Development: Insights and Challenges</t>
  </si>
  <si>
    <t>https://ieeexplore.ieee.org/stamp/stamp.jsp?arnumber=11029593</t>
  </si>
  <si>
    <t>10.1109/TTS.2025.3573875</t>
  </si>
  <si>
    <t>Emulated Empathy: Can Risks Be Countered by a Soft-Law Standard?</t>
  </si>
  <si>
    <t>https://ieeexplore.ieee.org/stamp/stamp.jsp?arnumber=1554950</t>
  </si>
  <si>
    <t>10.1109/CEC.2005.1554950</t>
  </si>
  <si>
    <t>Learning classifier systems for user context learning</t>
  </si>
  <si>
    <t>https://ieeexplore.ieee.org/xpl/ebooks/bookPdfWithBanner.jsp?fileName=8646901.pdf&amp;bkn=8646803&amp;pdfType=chapter</t>
  </si>
  <si>
    <t>7 Empowered by Games: Games as a Means of Self-Expression and Activism</t>
  </si>
  <si>
    <t>https://ieeexplore.ieee.org/stamp/stamp.jsp?arnumber=11400739</t>
  </si>
  <si>
    <t>10.1109/BigData66926.2025.11400739</t>
  </si>
  <si>
    <t>Towards Uncertainty-Aware Low-Bit Quantized LLMs for On-Device Inference</t>
  </si>
  <si>
    <t>https://ieeexplore.ieee.org/stamp/stamp.jsp?arnumber=11189226</t>
  </si>
  <si>
    <t>10.1109/UV63228.2024.11189226</t>
  </si>
  <si>
    <t>Hallucination in Large Language Models: From Mechanistic Understanding to Novel Control Frameworks</t>
  </si>
  <si>
    <t>https://ieeexplore.ieee.org/stamp/stamp.jsp?arnumber=11521627</t>
  </si>
  <si>
    <t>10.1109/ICEIT68991.2026.11521627</t>
  </si>
  <si>
    <t>The design of a GAI-supported research topic selection system for novice researchers: From the SECI perspective</t>
  </si>
  <si>
    <t>https://ieeexplore.ieee.org/stamp/stamp.jsp?arnumber=11270034</t>
  </si>
  <si>
    <t>IEEE Approved Draft Recommended Practice for Ethical Considerations of Emulated Empathy in Partner-based General-Purpose Artificial Intelligence Systems</t>
  </si>
  <si>
    <t>https://ieeexplore.ieee.org/stamp/stamp.jsp?arnumber=6921105</t>
  </si>
  <si>
    <t>Exploring the national role and position of international technology diffusion: A technological embeddedness perspective</t>
  </si>
  <si>
    <t>https://ieeexplore.ieee.org/stamp/stamp.jsp?arnumber=11269633</t>
  </si>
  <si>
    <t>10.1109/ISTAS65609.2025.11269633</t>
  </si>
  <si>
    <t>AI Detection and Risk Estimation in Family Violence: Challenges and Governance</t>
  </si>
  <si>
    <t>https://ieeexplore.ieee.org/stamp/stamp.jsp?arnumber=11334577</t>
  </si>
  <si>
    <t>10.1109/ASE63991.2025.00043</t>
  </si>
  <si>
    <t>Why AI Agents Still Need You: Findings from Developer-Agent Collaborations in the Wild</t>
  </si>
  <si>
    <t>https://ieeexplore.ieee.org/stamp/stamp.jsp?arnumber=11037824</t>
  </si>
  <si>
    <t>10.1109/OJCS.2025.3580498</t>
  </si>
  <si>
    <t>LLMs on a Budget: System-Level Approaches to Power-Efficient and Scalable Fine-Tuning</t>
  </si>
  <si>
    <t>https://ieeexplore.ieee.org/stamp/stamp.jsp?arnumber=11467909</t>
  </si>
  <si>
    <t>10.1109/ACDSA67686.2026.11467909</t>
  </si>
  <si>
    <t>Evaluating LLM-Induced Investment Biases via Persona Design and Prompt Analysis: A Quantitative Study of Post-Retirement Asset Depletion Risk Through Social Simulation</t>
  </si>
  <si>
    <t>https://ieeexplore.ieee.org/stamp/stamp.jsp?arnumber=11531012</t>
  </si>
  <si>
    <t>10.1109/TDSC.2026.3695553</t>
  </si>
  <si>
    <t>MCPXKIT: the Unified Toolkit for Analyzing Model Context Protocol Security</t>
  </si>
  <si>
    <t>Not Friends: How LLM Sycophancy Shapes User Trust</t>
  </si>
  <si>
    <t>https://doi.org/10.1145/3772363.3798611</t>
  </si>
  <si>
    <t>10.1145/3772363.3798611</t>
  </si>
  <si>
    <t>Verbalizing LLMs' Assumptions About the User to Calibrate Expectations and Reduce Sycophancy</t>
  </si>
  <si>
    <t>https://doi.org/10.1145/3772363.3798575</t>
  </si>
  <si>
    <t>10.1145/3772363.3798575</t>
  </si>
  <si>
    <t>When Flattery Backfires: How Sycophancy and Interaction Context Shape Perceived Authenticity and Trust in Large Language AI Models</t>
  </si>
  <si>
    <t>https://doi.org/10.1145/3772363.3798923</t>
  </si>
  <si>
    <t>10.1145/3772363.3798923</t>
  </si>
  <si>
    <t>ChatGPT Is a People Pleaser</t>
  </si>
  <si>
    <t>Especially When Taking Human vs. AI Advice</t>
  </si>
  <si>
    <t>https://doi.org/10.1145/3772363.3799156</t>
  </si>
  <si>
    <t>10.1145/3772363.3799156</t>
  </si>
  <si>
    <t>Demoing Stochastic Parrot: A Candid AI Cohabitant</t>
  </si>
  <si>
    <t>https://doi.org/10.1145/3772318.3790739</t>
  </si>
  <si>
    <t>10.1145/3772318.3790739</t>
  </si>
  <si>
    <t>Chat	Should I Leave Him? Risks</t>
  </si>
  <si>
    <t>Rewards</t>
  </si>
  <si>
    <t>and Roles for AI in Relationship Advice</t>
  </si>
  <si>
    <t>https://doi.org/10.1109/SCW63240.2024.00017</t>
  </si>
  <si>
    <t>https://doi.org/10.1145/3715070.3749272</t>
  </si>
  <si>
    <t>10.1145/3715070.3749272</t>
  </si>
  <si>
    <t>Was there Bias in your Response?: LLM Anthropomorphic Traits in Context of Ability Bias Questioning</t>
  </si>
  <si>
    <t>https://doi.org/10.1145/3772318.3790279</t>
  </si>
  <si>
    <t>10.1145/3772318.3790279</t>
  </si>
  <si>
    <t>Futuring Social Assemblages: How Enmeshing AIs into Social Life Challenges the Individual and the Interpersonal</t>
  </si>
  <si>
    <t>https://doi.org/10.1145/3772363.3798453</t>
  </si>
  <si>
    <t>10.1145/3772363.3798453</t>
  </si>
  <si>
    <t>AI-Induced Delusional Spirals: Understanding Lived Experiences During Maladaptive Human-Chatbot Interactions</t>
  </si>
  <si>
    <t>Reliability</t>
  </si>
  <si>
    <t>Personalization</t>
  </si>
  <si>
    <t>and Usefulness of Fictitious Predictions</t>
  </si>
  <si>
    <t>No Reject: Evaluating LLMs as “Peer” Reviewers</t>
  </si>
  <si>
    <t>https://doi.org/10.1145/3736731.3786118</t>
  </si>
  <si>
    <t>10.1145/3736731.3786118</t>
  </si>
  <si>
    <t>Session Summary Podcast: Session 3: Posters</t>
  </si>
  <si>
    <t>https://doi.org/10.1145/3772318.3791775</t>
  </si>
  <si>
    <t>10.1145/3772318.3791775</t>
  </si>
  <si>
    <t>From Symptoms to Systems: An Expert-Guided Approach to Understanding Risks of Generative AI for Eating Disorders</t>
  </si>
  <si>
    <t>Taxonomy</t>
  </si>
  <si>
    <t>Challenges</t>
  </si>
  <si>
    <t>and Open Questions</t>
  </si>
  <si>
    <t>https://doi.org/10.1145/3765766.3765852</t>
  </si>
  <si>
    <t>10.1145/3765766.3765852</t>
  </si>
  <si>
    <t>How Do People Evaluate Their Interactions with AI: A Qualitative Study of Emotionally Motivated AI Use and User Evaluation</t>
  </si>
  <si>
    <t>https://doi.org/10.1145/3746252.3761151</t>
  </si>
  <si>
    <t>10.1145/3746252.3761151</t>
  </si>
  <si>
    <t>Where Does Legal AI Fail? Evaluating RAG Pipelines</t>
  </si>
  <si>
    <t>https://doi.org/10.1145/3772318.3808894</t>
  </si>
  <si>
    <t>10.1145/3772318.3808894</t>
  </si>
  <si>
    <t>Session Summary Podcast: Session 14: AI for Youth Learning</t>
  </si>
  <si>
    <t>https://doi.org/10.1145/3774904.3792976</t>
  </si>
  <si>
    <t>10.1145/3774904.3792976</t>
  </si>
  <si>
    <t>Belief-Driven Multi-Agent Collaboration via Approximate Perfect Bayesian Equilibrium for Social Simulation</t>
  </si>
  <si>
    <t>https://doi.org/10.1145/3772318.3791571</t>
  </si>
  <si>
    <t>10.1145/3772318.3791571</t>
  </si>
  <si>
    <t>Interpretive Cultures: Resonance</t>
  </si>
  <si>
    <t>randomness</t>
  </si>
  <si>
    <t>and negotiated meaning for AI-assisted tarot divination</t>
  </si>
  <si>
    <t>Polarization Sticks: Private AI Consulting May Increase Confidence and Reduces Depolarization</t>
  </si>
  <si>
    <t>https://doi.org/10.1145/3701188</t>
  </si>
  <si>
    <t>10.1145/3701188</t>
  </si>
  <si>
    <t>Conversate: Supporting Reflective Learning in Interview Practice Through Interactive Simulation and Dialogic Feedback</t>
  </si>
  <si>
    <t>https://doi.org/10.1145/3708359.3712145</t>
  </si>
  <si>
    <t>10.1145/3708359.3712145</t>
  </si>
  <si>
    <t>Enhancing Visitor Engagement in Interactive Art Exhibitions with Visual-Enhanced Conversational Agents</t>
  </si>
  <si>
    <t>https://doi.org/10.1145/3772318.3791556</t>
  </si>
  <si>
    <t>10.1145/3772318.3791556</t>
  </si>
  <si>
    <t>Framing Responsible Design of AI for Mental Well-Being: AI as Primary Care</t>
  </si>
  <si>
    <t>Nutritional Supplement</t>
  </si>
  <si>
    <t>or Yoga Instructor?</t>
  </si>
  <si>
    <t>https://doi.org/10.1145/3772318.3809104</t>
  </si>
  <si>
    <t>10.1145/3772318.3809104</t>
  </si>
  <si>
    <t>Session Summary Podcast: Session 216: The Dark Sides of AI</t>
  </si>
  <si>
    <t>https://doi.org/10.1145/3706468.3706564</t>
  </si>
  <si>
    <t>10.1145/3706468.3706564</t>
  </si>
  <si>
    <t>When the Prompt becomes the Codebook: Grounded Prompt Engineering (GROPROE) and its application to Belonging Analytics</t>
  </si>
  <si>
    <t>https://doi.org/10.1145/3793679</t>
  </si>
  <si>
    <t>10.1145/3793679</t>
  </si>
  <si>
    <t>Who’s Sorry Now: User Preferences Among Rote</t>
  </si>
  <si>
    <t>Empathic</t>
  </si>
  <si>
    <t>and Explanatory Apologies from LLM Chatbots</t>
  </si>
  <si>
    <t>https://doi.org/10.1145/3772318.3791363</t>
  </si>
  <si>
    <t>10.1145/3772318.3791363</t>
  </si>
  <si>
    <t>How Generative AI Empowers Attackers and Defenders Across the Trust &amp;amp; Safety Landscape</t>
  </si>
  <si>
    <t>https://doi.org/10.1145/3800687</t>
  </si>
  <si>
    <t>10.1145/3800687</t>
  </si>
  <si>
    <t>Must Read: A Comprehensive Survey of Computational Persuasion</t>
  </si>
  <si>
    <t>https://doi.org/10.1145/3742413.3789218</t>
  </si>
  <si>
    <t>10.1145/3742413.3789218</t>
  </si>
  <si>
    <t>Guiding</t>
  </si>
  <si>
    <t>Not Railroading: Design and Evaluation of a Multi-Agent System for Narrative Redirection in Role-playing Games</t>
  </si>
  <si>
    <t>https://doi.org/10.1145/3714394.3756275</t>
  </si>
  <si>
    <t>10.1145/3714394.3756275</t>
  </si>
  <si>
    <t>Evaluating Large Language Models in Traditional Chinese Medicine with Enhanced Misinformation Detection</t>
  </si>
  <si>
    <t>https://doi.org/10.1145/3715073.3715075</t>
  </si>
  <si>
    <t>10.1145/3715073.3715075</t>
  </si>
  <si>
    <t>Blockchain for Large Language Model Security and Safety: A Holistic Survey</t>
  </si>
  <si>
    <t>https://doi.org/10.1145/3716628</t>
  </si>
  <si>
    <t>10.1145/3716628</t>
  </si>
  <si>
    <t>AI Agents Under Threat: A Survey of Key Security Challenges and Future Pathways</t>
  </si>
  <si>
    <t>https://doi.org/10.1145/3772318.3790340</t>
  </si>
  <si>
    <t>10.1145/3772318.3790340</t>
  </si>
  <si>
    <t>Polite But Boring? Trade-offs Between Engagement and Psychological Reactance to Chatbot Feedback Styles</t>
  </si>
  <si>
    <t>https://doi.org/10.1145/3772363.3778745</t>
  </si>
  <si>
    <t>10.1145/3772363.3778745</t>
  </si>
  <si>
    <t>From Generation to Simulation: Responsible Use of AI Personas in Human-Centered Design and Research</t>
  </si>
  <si>
    <t>https://doi.org/10.1145/3802598</t>
  </si>
  <si>
    <t>10.1145/3802598</t>
  </si>
  <si>
    <t>Chatbots’ Downward Spiral</t>
  </si>
  <si>
    <t>https://doi.org/10.1145/3786167.3788413</t>
  </si>
  <si>
    <t>10.1145/3786167.3788413</t>
  </si>
  <si>
    <t>Not All Problems Are Nails</t>
  </si>
  <si>
    <t>Not All Tools Should Be Hammers: A Position Paper on Agent Usage in Software Engineering Tasks</t>
  </si>
  <si>
    <t>https://doi.org/10.1145/3772363.3798812</t>
  </si>
  <si>
    <t>10.1145/3772363.3798812</t>
  </si>
  <si>
    <t>I'm Thinking of Ending Things: Use of LLMs for Support During Break-ups</t>
  </si>
  <si>
    <t>https://doi.org/10.1145/3630106.3659037</t>
  </si>
  <si>
    <t>10.1145/3630106.3659037</t>
  </si>
  <si>
    <t>Black-Box Access is Insufficient for Rigorous AI Audits</t>
  </si>
  <si>
    <t>https://doi.org/10.1145/3772363.3798995</t>
  </si>
  <si>
    <t>10.1145/3772363.3798995</t>
  </si>
  <si>
    <t>Codex Relatio: A Descriptive Framework for Analyzing Relational Dynamics in Human–AI Interaction</t>
  </si>
  <si>
    <t>https://doi.org/10.1145/3769686</t>
  </si>
  <si>
    <t>10.1145/3769686</t>
  </si>
  <si>
    <t>Rolling in the Deep of Cognitive and AI Biases</t>
  </si>
  <si>
    <t>https://doi.org/10.1145/3643834.3661525</t>
  </si>
  <si>
    <t>10.1145/3643834.3661525</t>
  </si>
  <si>
    <t>Imagining a Future of Designing with AI: Dynamic Grounding</t>
  </si>
  <si>
    <t>Constructive Negotiation</t>
  </si>
  <si>
    <t>and Sustainable Motivation</t>
  </si>
  <si>
    <t>https://doi.org/10.1145/3772363.3798685</t>
  </si>
  <si>
    <t>10.1145/3772363.3798685</t>
  </si>
  <si>
    <t>Who wants to be nagged by AI?: Investigating the Effects of Agreeableness on Older Adults' Perception of LLM-Based Voice Assistants' Explanations</t>
  </si>
  <si>
    <t>https://doi.org/10.1145/3772318.3790586</t>
  </si>
  <si>
    <t>10.1145/3772318.3790586</t>
  </si>
  <si>
    <t>“Tinged with Heartbreak”: An Ethnographic Account of Navigating Autistic Loneliness and the Fragile Promise of AI Companionship: “Tinged with Heartbreak”: “Tinged with Heartbreak”</t>
  </si>
  <si>
    <t>https://doi.org/10.1145/3762989</t>
  </si>
  <si>
    <t>10.1145/3762989</t>
  </si>
  <si>
    <t>Unsolved Problems in MLOps: Either find a better paradigm or fix the ones we're using now.</t>
  </si>
  <si>
    <t>https://doi.org/10.1145/3764687.3764716</t>
  </si>
  <si>
    <t>10.1145/3764687.3764716</t>
  </si>
  <si>
    <t>Co-creating Vocal Imaginaries with Conversational AIs</t>
  </si>
  <si>
    <t>https://doi.org/10.1145/3772318.3791834</t>
  </si>
  <si>
    <t>10.1145/3772318.3791834</t>
  </si>
  <si>
    <t>Say It My Way: Exploring Control in Conversational Visual Question Answering with Blind Users</t>
  </si>
  <si>
    <t>https://doi.org/10.1145/3720554.3735862</t>
  </si>
  <si>
    <t>10.1145/3720554.3735862</t>
  </si>
  <si>
    <t>GenAI &amp;amp; The Dual-Deception Process in Web Science</t>
  </si>
  <si>
    <t>https://doi.org/10.1145/3772318.3791068</t>
  </si>
  <si>
    <t>10.1145/3772318.3791068</t>
  </si>
  <si>
    <t>LLM-based Embodied Conversational Agent for Reducing Foreign Language Speaking Anxiety in Social VR</t>
  </si>
  <si>
    <t>https://doi.org/10.1145/3742413.3789136</t>
  </si>
  <si>
    <t>10.1145/3742413.3789136</t>
  </si>
  <si>
    <t>Adjust for Trust: Mitigating Trust-Induced Inappropriate Reliance on AI Assistance</t>
  </si>
  <si>
    <t>https://doi.org/10.1145/3772318.3790461</t>
  </si>
  <si>
    <t>10.1145/3772318.3790461</t>
  </si>
  <si>
    <t>Rememo: A Research-through-Design Inquiry Towards an AI-in-the-loop Therapist’s Tool for Dementia Reminiscence</t>
  </si>
  <si>
    <t>https://doi.org/10.1145/3772318.3790812</t>
  </si>
  <si>
    <t>10.1145/3772318.3790812</t>
  </si>
  <si>
    <t>Sometimes You Need Facts</t>
  </si>
  <si>
    <t>and Sometimes a Hug: Understanding Older Adults' Preferences for Explanations in LLM-Based Conversational AI Systems</t>
  </si>
  <si>
    <t>Framing</t>
  </si>
  <si>
    <t>and Position Biases in LLM Responses</t>
  </si>
  <si>
    <t>https://doi.org/10.1145/3772318.3791484</t>
  </si>
  <si>
    <t>10.1145/3772318.3791484</t>
  </si>
  <si>
    <t>Retelling the News: Exploring AI-Driven Conversational News Interactions</t>
  </si>
  <si>
    <t>https://doi.org/10.1145/3815195</t>
  </si>
  <si>
    <t>10.1145/3815195</t>
  </si>
  <si>
    <t>Imperfect AI</t>
  </si>
  <si>
    <t>Imperfect Humans</t>
  </si>
  <si>
    <t>Effective Teams: Challenges and Opportunities of Human-AI Collaboration</t>
  </si>
  <si>
    <t>https://doi.org/10.1145/3772318.3790907</t>
  </si>
  <si>
    <t>10.1145/3772318.3790907</t>
  </si>
  <si>
    <t>Generative AI in Children's Creative Collaboration: Impact</t>
  </si>
  <si>
    <t>Perception</t>
  </si>
  <si>
    <t>and Design Guidelines</t>
  </si>
  <si>
    <t>https://doi.org/10.1145/3742413.3789223</t>
  </si>
  <si>
    <t>10.1145/3742413.3789223</t>
  </si>
  <si>
    <t>Mental Models in Human-AI Interaction: Systematic Review of Empirical Methodologies and Guidelines</t>
  </si>
  <si>
    <t>https://doi.org/10.1145/3799914.3799919</t>
  </si>
  <si>
    <t>10.1145/3799914.3799919</t>
  </si>
  <si>
    <t>About Authenticity in Information Retrieval: A Keynote at ICTIR 2025</t>
  </si>
  <si>
    <t>https://doi.org/10.1145/3772318.3790697</t>
  </si>
  <si>
    <t>10.1145/3772318.3790697</t>
  </si>
  <si>
    <t>Scaffolding Metacognition with GenAI: Exploring Design Opportunities to Support Task Management for University Students with ADHD</t>
  </si>
  <si>
    <t>https://doi.org/10.1145/3711896.3736563</t>
  </si>
  <si>
    <t>10.1145/3711896.3736563</t>
  </si>
  <si>
    <t>A Survey on Small Language Models in the Era of Large Language Models: Architecture</t>
  </si>
  <si>
    <t>Capabilities</t>
  </si>
  <si>
    <t>and Trustworthiness</t>
  </si>
  <si>
    <t>https://doi.org/10.1145/3772318.3791760</t>
  </si>
  <si>
    <t>10.1145/3772318.3791760</t>
  </si>
  <si>
    <t>OceanChat: The Effect of Virtual Conversational AI Agents on Sustainable Attitude and Behavior Change</t>
  </si>
  <si>
    <t>https://doi.org/10.1145/3786304.3787865</t>
  </si>
  <si>
    <t>10.1145/3786304.3787865</t>
  </si>
  <si>
    <t>Although Powerful	it's not Infallible: Investigating Academic Researchers' Verification Challenges with LLMs</t>
  </si>
  <si>
    <t>https://doi.org/10.1145/3772318.3791319</t>
  </si>
  <si>
    <t>10.1145/3772318.3791319</t>
  </si>
  <si>
    <t>Are we writing an advice column for Spock here? Understanding Stereotypes in AI Advice for Autistic Users</t>
  </si>
  <si>
    <t>https://doi.org/10.1145/3786304.3787891</t>
  </si>
  <si>
    <t>10.1145/3786304.3787891</t>
  </si>
  <si>
    <t>Offscript: Agentic Auditing of Instruction Adherence in LLMs</t>
  </si>
  <si>
    <t>https://doi.org/10.1145/3772318.3809068</t>
  </si>
  <si>
    <t>10.1145/3772318.3809068</t>
  </si>
  <si>
    <t>Session Summary Podcast: Session 180: Relationships with AI</t>
  </si>
  <si>
    <t>https://doi.org/10.1145/3772363.3778699</t>
  </si>
  <si>
    <t>10.1145/3772363.3778699</t>
  </si>
  <si>
    <t>Social and Emotional Uses of AI</t>
  </si>
  <si>
    <t>https://doi.org/10.1145/3772363.3798919</t>
  </si>
  <si>
    <t>10.1145/3772363.3798919</t>
  </si>
  <si>
    <t>When Objects Gossip: Exploring Object-to-Object Conversation with GAI</t>
  </si>
  <si>
    <t>https://doi.org/10.1145/3757619</t>
  </si>
  <si>
    <t>10.1145/3757619</t>
  </si>
  <si>
    <t>Large Language Model Agents for Improving Engagement with Behavior Change Interventions: Application to Digital Mindfulness</t>
  </si>
  <si>
    <t>https://doi.org/10.1145/3772318.3790388</t>
  </si>
  <si>
    <t>10.1145/3772318.3790388</t>
  </si>
  <si>
    <t>Vibe Check: Understanding the Effects of LLM-Based Conversational Agents' Personality and Alignment on User Perceptions in Goal-Oriented Tasks</t>
  </si>
  <si>
    <t>https://doi.org/10.1145/3706598.3713220</t>
  </si>
  <si>
    <t>10.1145/3706598.3713220</t>
  </si>
  <si>
    <t>Simulacrum of Stories: Examining Large Language Models as Qualitative Research Participants</t>
  </si>
  <si>
    <t>https://doi.org/10.1145/3746059.3747680</t>
  </si>
  <si>
    <t>10.1145/3746059.3747680</t>
  </si>
  <si>
    <t>Policy Maps: Tools for Guiding the Unbounded Space of LLM Behaviors</t>
  </si>
  <si>
    <t>https://doi.org/10.1145/3772363.3798562</t>
  </si>
  <si>
    <t>10.1145/3772363.3798562</t>
  </si>
  <si>
    <t>The Multilingual Safety Divide: Cross-Lingual Disparities in LLM Climate Misinformation Detection</t>
  </si>
  <si>
    <t>https://doi.org/10.1145/3793638.3793643</t>
  </si>
  <si>
    <t>10.1145/3793638.3793643</t>
  </si>
  <si>
    <t>How Linguistic Variation Shapes Hallucination Risk in Large Language Models: A Psychometric Perspective</t>
  </si>
  <si>
    <t>https://doi.org/10.1145/3706598.3713675</t>
  </si>
  <si>
    <t>10.1145/3706598.3713675</t>
  </si>
  <si>
    <t>Plurals: A System for Guiding LLMs via Simulated Social Ensembles</t>
  </si>
  <si>
    <t>https://doi.org/10.1145/3800580</t>
  </si>
  <si>
    <t>10.1145/3800580</t>
  </si>
  <si>
    <t>Novice Developers’ Perspectives on Adopting LLMs for Software Development: A Systematic Literature Review</t>
  </si>
  <si>
    <t>https://doi.org/10.1145/3671016.3674821</t>
  </si>
  <si>
    <t>10.1145/3671016.3674821</t>
  </si>
  <si>
    <t>An Exploratory Evaluation of Large Language Models Using Empirical Software Engineering Tasks</t>
  </si>
  <si>
    <t>https://doi.org/10.1145/3800683</t>
  </si>
  <si>
    <t>10.1145/3800683</t>
  </si>
  <si>
    <t>From Individual to Society: A Survey on Social Simulation Driven by Large Language Model-based Agents</t>
  </si>
  <si>
    <t>https://doi.org/10.1145/3746058.3758468</t>
  </si>
  <si>
    <t>10.1145/3746058.3758468</t>
  </si>
  <si>
    <t>Enabling Real-World Assistive Agents: From Live Vision to Proactive Context-Aware Information Delivery</t>
  </si>
  <si>
    <t>https://doi.org/10.1145/3757442</t>
  </si>
  <si>
    <t>10.1145/3757442</t>
  </si>
  <si>
    <t>Mango Mango	How to Let The Lettuce Dry Without A Spinner?: Exploring User Perceptions of Using An LLM-Based Conversational Assistant Toward Cooking Partner</t>
  </si>
  <si>
    <t>https://doi.org/10.1145/3746252.3761448</t>
  </si>
  <si>
    <t>10.1145/3746252.3761448</t>
  </si>
  <si>
    <t>Socially Responsible and Trustworthy Generative Foundation Models: Principles</t>
  </si>
  <si>
    <t>and Practices</t>
  </si>
  <si>
    <t>https://doi.org/10.1145/3772363.3798512</t>
  </si>
  <si>
    <t>10.1145/3772363.3798512</t>
  </si>
  <si>
    <t>“Just Listening Was Enough—Until It Wasn't”: Relationship-Stage-Aware Cognitive Scaffolding in AI Companions</t>
  </si>
  <si>
    <t>https://doi.org/10.1145/3706598.3713406</t>
  </si>
  <si>
    <t>10.1145/3706598.3713406</t>
  </si>
  <si>
    <t>Abstraction Alignment: Comparing Model-Learned and Human-Encoded Conceptual Relationships</t>
  </si>
  <si>
    <t>https://doi.org/10.1145/3736425.3770093</t>
  </si>
  <si>
    <t>10.1145/3736425.3770093</t>
  </si>
  <si>
    <t>An LLM Framework for Inferring Household Energy Consumption Through Behaviour Simulation</t>
  </si>
  <si>
    <t>https://doi.org/10.1145/3708359.3712104</t>
  </si>
  <si>
    <t>10.1145/3708359.3712104</t>
  </si>
  <si>
    <t>Exploring the Design Space of Cognitive Engagement Techniques with AI-Generated Code for Enhanced Learning</t>
  </si>
  <si>
    <t>https://doi.org/10.1145/3736731.3746137</t>
  </si>
  <si>
    <t>10.1145/3736731.3746137</t>
  </si>
  <si>
    <t>LLMs in Citation Intent Classification: Progress</t>
  </si>
  <si>
    <t>Precision</t>
  </si>
  <si>
    <t>and Reproducibility Challenges</t>
  </si>
  <si>
    <t>https://doi.org/10.1145/3772318.3791428</t>
  </si>
  <si>
    <t>10.1145/3772318.3791428</t>
  </si>
  <si>
    <t>Who Does What? Archetypes of Roles Assigned to LLMs During Human-AI Decision-Making</t>
  </si>
  <si>
    <t>https://doi.org/10.1145/3772318.3790292</t>
  </si>
  <si>
    <t>10.1145/3772318.3790292</t>
  </si>
  <si>
    <t>From Crafting Text to Crafting Thought: Grounding AI Writing Support to Writing Center Pedagogy</t>
  </si>
  <si>
    <t>https://doi.org/10.1145/3715275.3732094</t>
  </si>
  <si>
    <t>10.1145/3715275.3732094</t>
  </si>
  <si>
    <t>What do Large Language Models Say About Animals? Investigating Risks of Animal Harm in Generated Text</t>
  </si>
  <si>
    <t>https://doi.org/10.1145/3757279.3785553</t>
  </si>
  <si>
    <t>10.1145/3757279.3785553</t>
  </si>
  <si>
    <t>Should Robots Comply with Our Instructions or Intentions?</t>
  </si>
  <si>
    <t>https://doi.org/10.1145/3810945</t>
  </si>
  <si>
    <t>10.1145/3810945</t>
  </si>
  <si>
    <t>Participatory Research with Youth for Responsible AI in the Netherlands: the perspective and design requirements of youth from diverse backgrounds for an AI-based digital mental health app</t>
  </si>
  <si>
    <t>https://doi.org/10.1145/3772318.3790271</t>
  </si>
  <si>
    <t>10.1145/3772318.3790271</t>
  </si>
  <si>
    <t>LLM-box vs. Thinking-box: Designing for Deliberate User Engagement with Distorted Information in Conversational Search</t>
  </si>
  <si>
    <t>https://doi.org/10.1145/3774904.3792671</t>
  </si>
  <si>
    <t>10.1145/3774904.3792671</t>
  </si>
  <si>
    <t>The Algorithmic Self-Portrait:Deconstructing Memory in ChatGPT</t>
  </si>
  <si>
    <t>https://doi.org/10.1145/3676536.3698390</t>
  </si>
  <si>
    <t>10.1145/3676536.3698390</t>
  </si>
  <si>
    <t>Generative AI Agents in Autonomous Machines: A Safety Perspective</t>
  </si>
  <si>
    <t>https://doi.org/10.1145/3769689</t>
  </si>
  <si>
    <t>10.1145/3769689</t>
  </si>
  <si>
    <t>Communication Bias in Large Language Models: A Regulatory Perspective</t>
  </si>
  <si>
    <t>https://doi.org/10.1613/jair.1.17654</t>
  </si>
  <si>
    <t>10.1613/jair.1.17654</t>
  </si>
  <si>
    <t>Against The Achilles' Heel: A Survey on Red Teaming for Generative Models</t>
  </si>
  <si>
    <t>https://doi.org/10.1145/3757886</t>
  </si>
  <si>
    <t>10.1145/3757886</t>
  </si>
  <si>
    <t>When Our Kid Has a Human and an AI Lover: A Conversation with Alexandra Diening on the Future of Relationships</t>
  </si>
  <si>
    <t>https://doi.org/10.1145/3768165</t>
  </si>
  <si>
    <t>10.1145/3768165</t>
  </si>
  <si>
    <t>A Comprehensive Survey of Small Language Models in the Era of Large Language Models: Techniques</t>
  </si>
  <si>
    <t>Enhancements</t>
  </si>
  <si>
    <t>Applications</t>
  </si>
  <si>
    <t>Collaboration with LLMs</t>
  </si>
  <si>
    <t>https://doi.org/10.1145/3772318.3791600</t>
  </si>
  <si>
    <t>10.1145/3772318.3791600</t>
  </si>
  <si>
    <t>Feedback by Design: Understanding and Overcoming User Feedback Barriers in Conversational Agents</t>
  </si>
  <si>
    <t>https://doi.org/10.1145/3657604.3662042</t>
  </si>
  <si>
    <t>10.1145/3657604.3662042</t>
  </si>
  <si>
    <t>Supporting Self-Reflection at Scale with Large Language Models: Insights from Randomized Field Experiments in Classrooms</t>
  </si>
  <si>
    <t>https://doi.org/10.1145/3772318.3791560</t>
  </si>
  <si>
    <t>10.1145/3772318.3791560</t>
  </si>
  <si>
    <t>Perspectra: Choosing Your Experts Enhances Critical Thinking in Multi-Agent Research Ideation</t>
  </si>
  <si>
    <t>https://doi.org/10.1145/3719160.3736611</t>
  </si>
  <si>
    <t>10.1145/3719160.3736611</t>
  </si>
  <si>
    <t>Learn</t>
  </si>
  <si>
    <t>Explore and Reflect by Chatting: Understanding the Value of an LLM-Based Voting Advice Application Chatbot</t>
  </si>
  <si>
    <t>https://doi.org/10.1145/3772318.3791060</t>
  </si>
  <si>
    <t>10.1145/3772318.3791060</t>
  </si>
  <si>
    <t>'It Hasn’t Lived in Our Society”: Investigating Cultural Sensitivity in LLM Chatbots for Emotional Support</t>
  </si>
  <si>
    <t>https://doi.org/10.1145/3742413.3789111</t>
  </si>
  <si>
    <t>10.1145/3742413.3789111</t>
  </si>
  <si>
    <t>SusBench: An Online Benchmark for Evaluating Dark Pattern Susceptibility of Computer-Use Agents</t>
  </si>
  <si>
    <t>https://doi.org/10.1145/3705294</t>
  </si>
  <si>
    <t>10.1145/3705294</t>
  </si>
  <si>
    <t>The AI Alignment Paradox</t>
  </si>
  <si>
    <t>https://doi.org/10.1145/3613904.3642159</t>
  </si>
  <si>
    <t>10.1145/3613904.3642159</t>
  </si>
  <si>
    <t>Rehearsal: Simulating Conflict to Teach Conflict Resolution</t>
  </si>
  <si>
    <t>https://doi.org/10.1145/3772318.3790303</t>
  </si>
  <si>
    <t>10.1145/3772318.3790303</t>
  </si>
  <si>
    <t>When Workout Buddies Are Virtual: AI Agents and Human Peers in a Longitudinal Physical Activity Study</t>
  </si>
  <si>
    <t>https://doi.org/10.1145/3772318.3791632</t>
  </si>
  <si>
    <t>10.1145/3772318.3791632</t>
  </si>
  <si>
    <t>What is Safety? Corporate Discourse</t>
  </si>
  <si>
    <t>Power</t>
  </si>
  <si>
    <t>and the Politics of Generative AI Safety</t>
  </si>
  <si>
    <t>https://doi.org/10.1145/3742413.3789147</t>
  </si>
  <si>
    <t>10.1145/3742413.3789147</t>
  </si>
  <si>
    <t>Rules or Weights? Comparing User Understanding of Explainable AI Techniques with the Cognitive XAI-Adaptive Model</t>
  </si>
  <si>
    <t>https://doi.org/10.1145/3772318.3790859</t>
  </si>
  <si>
    <t>10.1145/3772318.3790859</t>
  </si>
  <si>
    <t>AI-Facilitated Coercive Control: An Experimental Study</t>
  </si>
  <si>
    <t>https://doi.org/10.1145/3772318.3791880</t>
  </si>
  <si>
    <t>10.1145/3772318.3791880</t>
  </si>
  <si>
    <t>SeeSawBot: An LLM-Driven Chatbot Mediating Across Private and Shared Slack Channels to Support Team Dynamics</t>
  </si>
  <si>
    <t>https://doi.org/10.1145/3772318.3790456</t>
  </si>
  <si>
    <t>10.1145/3772318.3790456</t>
  </si>
  <si>
    <t>ReVisor: A Reflective Design Tool for Instructional Designers to Improve Teacher Training Materials via AI Discussions</t>
  </si>
  <si>
    <t>https://doi.org/10.1145/3640543.3645148</t>
  </si>
  <si>
    <t>10.1145/3640543.3645148</t>
  </si>
  <si>
    <t>Understanding Users’ Dissatisfaction with ChatGPT Responses: Types</t>
  </si>
  <si>
    <t>Resolving Tactics</t>
  </si>
  <si>
    <t>and the Effect of Knowledge Level</t>
  </si>
  <si>
    <t>https://doi.org/10.14236/ewic/BCSHCI2025.10</t>
  </si>
  <si>
    <t>10.14236/ewic/BCSHCI2025.10</t>
  </si>
  <si>
    <t>‘Chattable’ Avatars: Using LLMs to Power Visitor Engagement with Historical Persons</t>
  </si>
  <si>
    <t>https://doi.org/10.1145/3637528.3671481</t>
  </si>
  <si>
    <t>10.1145/3637528.3671481</t>
  </si>
  <si>
    <t>KDD workshop on Evaluation and Trustworthiness of Generative AI Models</t>
  </si>
  <si>
    <t>https://doi.org/10.1145/3772318.3790332</t>
  </si>
  <si>
    <t>10.1145/3772318.3790332</t>
  </si>
  <si>
    <t>Behavioral Indicators of Overreliance During Interaction with Conversational Language Models</t>
  </si>
  <si>
    <t>https://doi.org/10.1145/3772318.3790358</t>
  </si>
  <si>
    <t>10.1145/3772318.3790358</t>
  </si>
  <si>
    <t>From Overload to Convergence: Supporting Multi-Issue Human–AI Negotiation with Bayesian Visualization</t>
  </si>
  <si>
    <t>https://doi.org/10.1145/3715275.3732063</t>
  </si>
  <si>
    <t>10.1145/3715275.3732063</t>
  </si>
  <si>
    <t>From Lived Experience to Insight: Unpacking the Psychological Risks of Using AI Conversational Agents</t>
  </si>
  <si>
    <t>https://doi.org/10.1145/3772318.3790529</t>
  </si>
  <si>
    <t>10.1145/3772318.3790529</t>
  </si>
  <si>
    <t>MIND: Empowering Mental Health Clinicians with Multimodal Data Insights through a Narrative Dashboard</t>
  </si>
  <si>
    <t>https://doi.org/10.1145/3772318.3791381</t>
  </si>
  <si>
    <t>10.1145/3772318.3791381</t>
  </si>
  <si>
    <t>Autiverse: Eliciting Autistic Adolescents' Daily Narratives through AI-guided Multimodal Journaling</t>
  </si>
  <si>
    <t>https://doi.org/10.1145/3772318.3791640</t>
  </si>
  <si>
    <t>10.1145/3772318.3791640</t>
  </si>
  <si>
    <t>Forage: Understanding LLM-facilitated sensemaking of conversation data</t>
  </si>
  <si>
    <t>https://doi.org/10.1145/3703454</t>
  </si>
  <si>
    <t>10.1145/3703454</t>
  </si>
  <si>
    <t>Open-Ethical AI: Advancements in Open-Source Human-Centric Neural Language Models</t>
  </si>
  <si>
    <t>https://doi.org/10.1145/3721201.3721385</t>
  </si>
  <si>
    <t>10.1145/3721201.3721385</t>
  </si>
  <si>
    <t>HALO: Hallucination Analysis and Learning Optimization to Empower LLMs with Retrieval-Augmented Context for Guided Clinical Decision Making</t>
  </si>
  <si>
    <t>https://doi.org/10.1145/3778354</t>
  </si>
  <si>
    <t>10.1145/3778354</t>
  </si>
  <si>
    <t>Exploring the Human-LLM Synergy in Advancing Theory-driven Qualitative Analysis</t>
  </si>
  <si>
    <t>https://doi.org/10.1145/3757424</t>
  </si>
  <si>
    <t>10.1145/3757424</t>
  </si>
  <si>
    <t>Should ChatGPT Write Your Breakup Text? Exploring the Role of AI in Relationship Dissolution</t>
  </si>
  <si>
    <t>https://doi.org/10.1145/3772318.3793266</t>
  </si>
  <si>
    <t>10.1145/3772318.3793266</t>
  </si>
  <si>
    <t>How Multimodal Large Language Models Support Access to Visual Information: A Diary Study With Blind and Low Vision People</t>
  </si>
  <si>
    <t>https://doi.org/10.1145/3770749</t>
  </si>
  <si>
    <t>10.1145/3770749</t>
  </si>
  <si>
    <t>AI Alignment: A Contemporary Survey</t>
  </si>
  <si>
    <t>https://doi.org/10.1145/3769126.3769241</t>
  </si>
  <si>
    <t>10.1145/3769126.3769241</t>
  </si>
  <si>
    <t>From Legal Text to Tech Specs: Generative AI’s Interpretation of Consent in Privacy Law</t>
  </si>
  <si>
    <t>https://doi.org/10.1145/3772318.3791248</t>
  </si>
  <si>
    <t>10.1145/3772318.3791248</t>
  </si>
  <si>
    <t>InnerPond: Fostering Inter-Self Dialogue with a Multi-Agent Approach for Introspection</t>
  </si>
  <si>
    <t>https://doi.org/10.1145/3757544</t>
  </si>
  <si>
    <t>10.1145/3757544</t>
  </si>
  <si>
    <t>A Risk Taxonomy and Reflection Tool for Large Language Model Adoption in Public Health</t>
  </si>
  <si>
    <t>https://doi.org/10.1145/3744169.3744195</t>
  </si>
  <si>
    <t>10.1145/3744169.3744195</t>
  </si>
  <si>
    <t>From Bullshit to Cognition: Computing Within the Epistemic Crisis of Large Language Models in Systematic Literature Review</t>
  </si>
  <si>
    <t>https://doi.org/10.1145/3779295</t>
  </si>
  <si>
    <t>10.1145/3779295</t>
  </si>
  <si>
    <t>“Robot Emotions Are Not Real!”: Future Factory Workers’ Perceptions</t>
  </si>
  <si>
    <t>Attitudes</t>
  </si>
  <si>
    <t>and Experience of Collaborative Robots</t>
  </si>
  <si>
    <t>Conversational AIs</t>
  </si>
  <si>
    <t>and AI-Empowered</t>
  </si>
  <si>
    <t>Voice-Enabled Collaborative Robots</t>
  </si>
  <si>
    <t>https://doi.org/10.1145/3772318.3791726</t>
  </si>
  <si>
    <t>10.1145/3772318.3791726</t>
  </si>
  <si>
    <t>Who Controls the Conversation? User Perspectives on Generative AI (LLM) System Prompts</t>
  </si>
  <si>
    <t>https://doi.org/10.1145/3715275.3732146</t>
  </si>
  <si>
    <t>10.1145/3715275.3732146</t>
  </si>
  <si>
    <t>The Value of Disagreement in AI Design</t>
  </si>
  <si>
    <t>Evaluation</t>
  </si>
  <si>
    <t>and Alignment</t>
  </si>
  <si>
    <t>https://doi.org/10.1145/3715275.3732038</t>
  </si>
  <si>
    <t>10.1145/3715275.3732038</t>
  </si>
  <si>
    <t>Position is Power: System Prompts as a Mechanism of Bias in Large Language Models (LLMs)</t>
  </si>
  <si>
    <t>https://doi.org/10.1145/3772318.3791845</t>
  </si>
  <si>
    <t>10.1145/3772318.3791845</t>
  </si>
  <si>
    <t>Are We Automating the Joy Out of Work? Designing AI to Augment Work</t>
  </si>
  <si>
    <t>Not Meaning</t>
  </si>
  <si>
    <t>https://doi.org/10.1145/3706598.3713408</t>
  </si>
  <si>
    <t>10.1145/3706598.3713408</t>
  </si>
  <si>
    <t>Deceptive Explanations by Large Language Models Lead People to Change their Beliefs About Misinformation More Often than Honest Explanations</t>
  </si>
  <si>
    <t>https://doi.org/10.1145/3610073</t>
  </si>
  <si>
    <t>10.1145/3610073</t>
  </si>
  <si>
    <t>It Takes Two to Avoid Pregnancy: Addressing Conflicting Perceptions of Birth Control Pill Responsibility in Romantic Relationships</t>
  </si>
  <si>
    <t>https://doi.org/10.1145/3642979.3642984</t>
  </si>
  <si>
    <t>10.1145/3642979.3642984</t>
  </si>
  <si>
    <t>Evaluating Parrots and Sociopathic Liars: A keynote at ICTIR 2023</t>
  </si>
  <si>
    <t>https://doi.org/10.1145/3748620</t>
  </si>
  <si>
    <t>10.1145/3748620</t>
  </si>
  <si>
    <t>First Contact with Dark Patterns and Deceptive Designs in Chinese and Japanese Free-to-Play Mobile Games</t>
  </si>
  <si>
    <t>https://doi.org/10.1145/3605764.3623985</t>
  </si>
  <si>
    <t>10.1145/3605764.3623985</t>
  </si>
  <si>
    <t>Not What You've Signed Up For: Compromising Real-World LLM-Integrated Applications with Indirect Prompt Injection</t>
  </si>
  <si>
    <t>https://doi.org/10.1145/3639372</t>
  </si>
  <si>
    <t>10.1145/3639372</t>
  </si>
  <si>
    <t>Explainability for Large Language Models: A Survey</t>
  </si>
  <si>
    <t>https://doi.org/10.1145/3528381</t>
  </si>
  <si>
    <t>10.1145/3528381</t>
  </si>
  <si>
    <t>Government as a Brain: How Can Governments Better Understand</t>
  </si>
  <si>
    <t>Think</t>
  </si>
  <si>
    <t>Create</t>
  </si>
  <si>
    <t>and Remember</t>
  </si>
  <si>
    <t>and Avoid the Traps of Collective Stupidity Both in Emergencies and Normal Times</t>
  </si>
  <si>
    <t>https://doi.org/10.1145/1216295.1216357</t>
  </si>
  <si>
    <t>10.1145/1216295.1216357</t>
  </si>
  <si>
    <t>User-context for adaptive user interfaces</t>
  </si>
  <si>
    <t>https://doi.org/10.1145/1276958.1277335</t>
  </si>
  <si>
    <t>10.1145/1276958.1277335</t>
  </si>
  <si>
    <t>XCS for adaptive user-interfaces</t>
  </si>
  <si>
    <t>https://doi.org/10.1145/3758871.3758905</t>
  </si>
  <si>
    <t>10.1145/3758871.3758905</t>
  </si>
  <si>
    <t>Analysing Absurd Style in Chinese Social Media Language: a Framework Leveraging Prompt-Based Large Language Models and Interactive Visualization</t>
  </si>
  <si>
    <t>Dave: i'm afraid i won't do that: social aspects of human-agent conflict</t>
  </si>
  <si>
    <t>https://doi.org/10.1145/3007210</t>
  </si>
  <si>
    <t>10.1145/3007210</t>
  </si>
  <si>
    <t>Debating Technology for Dialogical Argument: Sensemaking</t>
  </si>
  <si>
    <t>Engagement</t>
  </si>
  <si>
    <t>and Analytics</t>
  </si>
  <si>
    <t>https://doi.org/10.1109/ASONAM49781.2020.9381292</t>
  </si>
  <si>
    <t>10.1109/asonam49781.2020.9381292</t>
  </si>
  <si>
    <t>Aspect based abusive sentiment detection in nepali social media texts</t>
  </si>
  <si>
    <t>https://doi.org/10.1145/3511047.3536406</t>
  </si>
  <si>
    <t>10.1145/3511047.3536406</t>
  </si>
  <si>
    <t>Optimizing the User Experience in VR-based Anti-Bullying Education</t>
  </si>
  <si>
    <t>https://doi.org/10.1145/2124295.2124300</t>
  </si>
  <si>
    <t>10.1145/2124295.2124300</t>
  </si>
  <si>
    <t>Auralist: introducing serendipity into music recommendation</t>
  </si>
  <si>
    <t>https://doi.org/10.1145/1978942.1979209</t>
  </si>
  <si>
    <t>10.1145/1978942.1979209</t>
  </si>
  <si>
    <t>Evaluating longitudinal projects combining technology with temporal arts</t>
  </si>
  <si>
    <t>https://doi.org/10.1145/1037911.1037917</t>
  </si>
  <si>
    <t>10.1145/1037911.1037917</t>
  </si>
  <si>
    <t>Fits and starts</t>
  </si>
  <si>
    <t>https://doi.org/10.1145/1965724.1965747</t>
  </si>
  <si>
    <t>10.1145/1965724.1965747</t>
  </si>
  <si>
    <t>FAWN: a fast array of wimpy nodes</t>
  </si>
  <si>
    <t>https://doi.org/10.1145/1945023.1945029</t>
  </si>
  <si>
    <t>10.1145/1945023.1945029</t>
  </si>
  <si>
    <t>Challenges and opportunities for efficient computing with FAWN</t>
  </si>
  <si>
    <t>https://doi.org/10.1145/1791314.1791347</t>
  </si>
  <si>
    <t>10.1145/1791314.1791347</t>
  </si>
  <si>
    <t>Energy-efficient cluster computing with FAWN: workloads and implications</t>
  </si>
  <si>
    <t>https://doi.org/10.1145/1629575.1629577</t>
  </si>
  <si>
    <t>10.1145/1629575.1629577</t>
  </si>
  <si>
    <t>https://doi.org/10.1145/1965724.1965746</t>
  </si>
  <si>
    <t>10.1145/1965724.1965746</t>
  </si>
  <si>
    <t>FAWN: a fast array of wimpy nodes: technical perspective</t>
  </si>
  <si>
    <t>https://doi.org/10.1145/1274000.1274062</t>
  </si>
  <si>
    <t>10.1145/1274000.1274062</t>
  </si>
  <si>
    <t>Cascaded generic XCS to learn about reminding preferences</t>
  </si>
  <si>
    <t>https://doi.org/10.1145/3698896.3722209</t>
  </si>
  <si>
    <t>10.1145/3698896.3722209</t>
  </si>
  <si>
    <t>Animation Theater In Conversation: Inkwo for When the Starving Return</t>
  </si>
  <si>
    <t>https://doi.org/10.1145/1141880.1523452</t>
  </si>
  <si>
    <t>10.1145/1141880.1523452</t>
  </si>
  <si>
    <t>Richard F. Hespos Interview: August 18-19</t>
  </si>
  <si>
    <t>https://doi.org/10.1145/764008.763957</t>
  </si>
  <si>
    <t>10.1145/764008.763957</t>
  </si>
  <si>
    <t>Persuasive technology: using computers to change what we think and do</t>
  </si>
  <si>
    <t>https://doi.org/10.1145/332040.332406</t>
  </si>
  <si>
    <t>10.1145/332040.332406</t>
  </si>
  <si>
    <t>The effects of animated characters on anxiety</t>
  </si>
  <si>
    <t>task performance</t>
  </si>
  <si>
    <t>and evaluations of user interfaces</t>
  </si>
  <si>
    <t>https://doi.org/10.1145/1120212.1120419</t>
  </si>
  <si>
    <t>10.1145/1120212.1120419</t>
  </si>
  <si>
    <t>How users reciprocate to computers: an experiment that demonstrates behavior change</t>
  </si>
  <si>
    <t>https://doi.org/10.1145/274644.274667</t>
  </si>
  <si>
    <t>10.1145/274644.274667</t>
  </si>
  <si>
    <t>When my face is the interface: an experimental comparison of interacting with one's own face or someone else's face</t>
  </si>
  <si>
    <t>https://doi.org/10.3115/991886.991938</t>
  </si>
  <si>
    <t>10.3115/991886.991938</t>
  </si>
  <si>
    <t>Co-occurrence vectors from corpora vs. distance vectors from dictionaries</t>
  </si>
  <si>
    <t>https://doi.org/10.1145/174690.174697</t>
  </si>
  <si>
    <t>10.1145/174690.174697</t>
  </si>
  <si>
    <t>On Julius Caesar</t>
  </si>
  <si>
    <t>Queen Eanfleda</t>
  </si>
  <si>
    <t>and the lessons of time past</t>
  </si>
  <si>
    <t>https://doi.org/10.1145/1088222.1088226</t>
  </si>
  <si>
    <t>10.1145/1088222.1088226</t>
  </si>
  <si>
    <t>Some aspects of symbolic integration via predicate logic programming</t>
  </si>
  <si>
    <t>https://doi.org/10.1145/3331543.3342580</t>
  </si>
  <si>
    <t>10.1145/3331543.3342580</t>
  </si>
  <si>
    <t>Mobile game programming in Haskell</t>
  </si>
  <si>
    <t>https://doi.org/10.1145/3078468.3078471</t>
  </si>
  <si>
    <t>10.1145/3078468.3078471</t>
  </si>
  <si>
    <t>Freewrite: creating (almost) zero-cost writes to SSD in applications</t>
  </si>
  <si>
    <t>https://doi.org/10.1145/3735402</t>
  </si>
  <si>
    <t>10.1145/3735402</t>
  </si>
  <si>
    <t>Culture</t>
  </si>
  <si>
    <t>Language</t>
  </si>
  <si>
    <t>and Generative Language Models</t>
  </si>
  <si>
    <t>https://doi.org/10.1145/3742413.3789123</t>
  </si>
  <si>
    <t>10.1145/3742413.3789123</t>
  </si>
  <si>
    <t>PersonaMail: Learning and Adapting Personal Communication Preferences for Context-Aware Email Writing</t>
  </si>
  <si>
    <t>https://doi.org/10.1145/3658644.3691638</t>
  </si>
  <si>
    <t>10.1145/3658644.3691638</t>
  </si>
  <si>
    <t>Modern problems require modern solutions: Community-Developed Techniques for Online Exam Proctoring Evasion</t>
  </si>
  <si>
    <t>https://doi.org/10.1145/3757659</t>
  </si>
  <si>
    <t>10.1145/3757659</t>
  </si>
  <si>
    <t>Staking a Claim in Data: Expertise and Participation in a Rural Open Government Data Initiative</t>
  </si>
  <si>
    <t>https://doi.org/10.1145/3716553.3750784</t>
  </si>
  <si>
    <t>10.1145/3716553.3750784</t>
  </si>
  <si>
    <t>Seeing</t>
  </si>
  <si>
    <t>Hearing</t>
  </si>
  <si>
    <t>Feeling: Designing Multimodal Alerts for Critical Drone Scenarios</t>
  </si>
  <si>
    <t>https://doi.org/10.1145/3772318.3791012</t>
  </si>
  <si>
    <t>10.1145/3772318.3791012</t>
  </si>
  <si>
    <t>Mapping the Landscape of Affective Extended Reality: A Scoping Review of Biodata-Driven Systems for Understanding and Sharing Emotions</t>
  </si>
  <si>
    <t>https://doi.org/10.1145/3731459.3786222</t>
  </si>
  <si>
    <t>10.1145/3731459.3786222</t>
  </si>
  <si>
    <t>Wish You Were Here: Psychological and Sensory First Aid for Invisible Emergencies in Trauma and Neurodiversity</t>
  </si>
  <si>
    <t>https://doi.org/10.1145/3772318.3790685</t>
  </si>
  <si>
    <t>10.1145/3772318.3790685</t>
  </si>
  <si>
    <t>PuppetChat: Fostering Intimate Communication through Bidirectional Actions and Micronarratives</t>
  </si>
  <si>
    <t>https://doi.org/10.1145/3767154</t>
  </si>
  <si>
    <t>10.1145/3767154</t>
  </si>
  <si>
    <t>Innovative Approaches to Addressing Challenges in 3D Macro Placement</t>
  </si>
  <si>
    <t>https://doi.org/10.1145/3767695.3769511</t>
  </si>
  <si>
    <t>10.1145/3767695.3769511</t>
  </si>
  <si>
    <t>Synthetic Prefixes to Mitigate Bias in Real-Time Neural Query Autocomplete</t>
  </si>
  <si>
    <t>https://doi.org/10.1145/3613904.3642038</t>
  </si>
  <si>
    <t>10.1145/3613904.3642038</t>
  </si>
  <si>
    <t>Giving Robots a Voice: Human-in-the-Loop Voice Creation and open-ended Labeling</t>
  </si>
  <si>
    <t>https://doi.org/10.1145/3648188.3678216</t>
  </si>
  <si>
    <t>10.1145/3648188.3678216</t>
  </si>
  <si>
    <t>Computer</t>
  </si>
  <si>
    <t>Enhance! Augmentation</t>
  </si>
  <si>
    <t>Ideation</t>
  </si>
  <si>
    <t>Hypertext</t>
  </si>
  <si>
    <t>https://doi.org/10.1145/3603269.3604880</t>
  </si>
  <si>
    <t>10.1145/3603269.3604880</t>
  </si>
  <si>
    <t>LEED: A Low-Power</t>
  </si>
  <si>
    <t>Fast Persistent Key-Value Store on SmartNIC JBOFs</t>
  </si>
  <si>
    <t>Feckless Colleague: The Many Sides of ChatGPT</t>
  </si>
  <si>
    <t>https://doi.org/10.1145/3563456</t>
  </si>
  <si>
    <t>10.1145/3563456</t>
  </si>
  <si>
    <t>TH-iSSD: Design and Implementation of a Generic and Reconfigurable Near-Data Processing Framework</t>
  </si>
  <si>
    <t>https://doi.org/10.1145/3727200.3727226</t>
  </si>
  <si>
    <t>10.1145/3727200.3727226</t>
  </si>
  <si>
    <t>Lovelock: Towards Smart NIC-Hosted Clusters</t>
  </si>
  <si>
    <t>https://doi.org/10.1145/3700035.3700036</t>
  </si>
  <si>
    <t>10.1145/3700035.3700036</t>
  </si>
  <si>
    <t>Design and Implementation of Virtual Reality Emotion Induction System</t>
  </si>
  <si>
    <t>https://doi.org/10.1145/3491102.3517546</t>
  </si>
  <si>
    <t>10.1145/3491102.3517546</t>
  </si>
  <si>
    <t>A Little Too Personal: Effects of Standardization versus Personalization on Job Acquisition</t>
  </si>
  <si>
    <t>Work Completion</t>
  </si>
  <si>
    <t>and Revenue for Online Freelancers</t>
  </si>
  <si>
    <t>https://doi.org/10.1145/3582515.3609571</t>
  </si>
  <si>
    <t>10.1145/3582515.3609571</t>
  </si>
  <si>
    <t>The 8th Continent: Echoing the Unheard Sounds of Pollution</t>
  </si>
  <si>
    <t>a Participatory Immersive Art and Gaming Experience for Public Spaces</t>
  </si>
  <si>
    <t>https://doi.org/10.1145/3640352</t>
  </si>
  <si>
    <t>10.1145/3640352</t>
  </si>
  <si>
    <t>Thirsty Fabs</t>
  </si>
  <si>
    <t>https://doi.org/10.1145/3655103.3655107</t>
  </si>
  <si>
    <t>10.1145/3655103.3655107</t>
  </si>
  <si>
    <t>Storage Systems: Organization</t>
  </si>
  <si>
    <t>Performance</t>
  </si>
  <si>
    <t>Coding</t>
  </si>
  <si>
    <t>and Their Data Processing</t>
  </si>
  <si>
    <t>1st Edition</t>
  </si>
  <si>
    <t>Author: Alexander Thomasian</t>
  </si>
  <si>
    <t>https://doi.org/10.1145/3610027</t>
  </si>
  <si>
    <t>10.1145/3610027</t>
  </si>
  <si>
    <t>Creepy Towards My Avatar Body	Creepy Towards My Body: How Women Experience and Manage Harassment Risks in Social Virtual Reality</t>
  </si>
  <si>
    <t>https://doi.org/10.1145/3448018.3458007</t>
  </si>
  <si>
    <t>10.1145/3448018.3458007</t>
  </si>
  <si>
    <t>Fixation: A universal framework for experimental eye&amp;nbsp;movement research✱</t>
  </si>
  <si>
    <t>https://doi.org/10.1145/3544549.3582735</t>
  </si>
  <si>
    <t>10.1145/3544549.3582735</t>
  </si>
  <si>
    <t>Enough With “Human-AI Collaboration”</t>
  </si>
  <si>
    <t>https://doi.org/10.1145/3538225</t>
  </si>
  <si>
    <t>10.1145/3538225</t>
  </si>
  <si>
    <t>Energy-Efficient Database Systems: A Systematic Survey</t>
  </si>
  <si>
    <t>https://doi.org/10.1145/3544793.3560382</t>
  </si>
  <si>
    <t>10.1145/3544793.3560382</t>
  </si>
  <si>
    <t>Experience is the Best Teacher: Personalized Vocabulary Building Within the Context of Instagram Posts and Sentences from GPT-3</t>
  </si>
  <si>
    <t>https://doi.org/10.1145/3555153</t>
  </si>
  <si>
    <t>10.1145/3555153</t>
  </si>
  <si>
    <t>Acting Out Queer Identity: The Embodied Visibility in Social Virtual Reality</t>
  </si>
  <si>
    <t>https://doi.org/10.1145/3383668.3419909</t>
  </si>
  <si>
    <t>10.1145/3383668.3419909</t>
  </si>
  <si>
    <t>Unpacking Mathematical Play within Makerspaces using Embodied Cognition</t>
  </si>
  <si>
    <t>https://doi.org/10.1145/3492833</t>
  </si>
  <si>
    <t>10.1145/3492833</t>
  </si>
  <si>
    <t>Access Under Duress: Pandemic-Era Lessons on Digital Participation and Datafication in Civic Engagement</t>
  </si>
  <si>
    <t>https://doi.org/10.14778/3476311.3476373</t>
  </si>
  <si>
    <t>10.14778/3476311.3476373</t>
  </si>
  <si>
    <t>The end of Moore's law and the rise of the data processor</t>
  </si>
  <si>
    <t>https://doi.org/10.1145/3442381.3449990</t>
  </si>
  <si>
    <t>10.1145/3442381.3449990</t>
  </si>
  <si>
    <t>A Longitudinal Study of Removed Apps in iOS App Store</t>
  </si>
  <si>
    <t>https://doi.org/10.1145/3297858.3304022</t>
  </si>
  <si>
    <t>10.1145/3297858.3304022</t>
  </si>
  <si>
    <t>LightStore: Software-defined Network-attached Key-value Drives</t>
  </si>
  <si>
    <t>https://doi.org/10.1145/3461778.3462087</t>
  </si>
  <si>
    <t>10.1145/3461778.3462087</t>
  </si>
  <si>
    <t>Analysis of Gender Stereotypes for the Design of Service Robots: Case Study on the Chinese Catering Market</t>
  </si>
  <si>
    <t>https://doi.org/10.1145/3290607.3312915</t>
  </si>
  <si>
    <t>10.1145/3290607.3312915</t>
  </si>
  <si>
    <t>It Sounds Like A Woman: Exploring Gender Stereotypes in South Korean Voice Assistants</t>
  </si>
  <si>
    <t>https://doi.org/10.1145/3384473</t>
  </si>
  <si>
    <t>10.1145/3384473</t>
  </si>
  <si>
    <t>Mining the Local Dependency Itemset in a Products Network</t>
  </si>
  <si>
    <t>https://doi.org/10.1145/3387514.3405863</t>
  </si>
  <si>
    <t>10.1145/3387514.3405863</t>
  </si>
  <si>
    <t>Fault Tolerant Service Function Chaining</t>
  </si>
  <si>
    <t>https://doi.org/10.1145/3232162</t>
  </si>
  <si>
    <t>10.1145/3232162</t>
  </si>
  <si>
    <t>Scale-Out vs Scale-Up: A Study of ARM-based SoCs on Server-Class Workloads</t>
  </si>
  <si>
    <t>https://doi.org/10.1145/3313831.3376612</t>
  </si>
  <si>
    <t>10.1145/3313831.3376612</t>
  </si>
  <si>
    <t>The Government's Dividend: Complex Perceptions of Social Media Misinformation in China</t>
  </si>
  <si>
    <t>https://doi.org/10.1145/3363459.3363540</t>
  </si>
  <si>
    <t>10.1145/3363459.3363540</t>
  </si>
  <si>
    <t>Climate Change Impacts on Campus Buildings Energy Use: An AI-based Scenario Analysis</t>
  </si>
  <si>
    <t>https://doi.org/10.1145/3339458</t>
  </si>
  <si>
    <t>10.1145/3339458</t>
  </si>
  <si>
    <t>The algorithm that changed quantum machine learning</t>
  </si>
  <si>
    <t>https://doi.org/10.1145/3126594.3126640</t>
  </si>
  <si>
    <t>10.1145/3126594.3126640</t>
  </si>
  <si>
    <t>More than a Feeling: The MiFace Framework for Defining Facial Communication Mappings</t>
  </si>
  <si>
    <t>https://doi.org/10.1145/3330393.3330402</t>
  </si>
  <si>
    <t>10.1145/3330393.3330402</t>
  </si>
  <si>
    <t>A Biogeography-Based Optimization Algorithm for Criminisi Algorithm</t>
  </si>
  <si>
    <t>https://doi.org/10.1145/3308558.3313400</t>
  </si>
  <si>
    <t>10.1145/3308558.3313400</t>
  </si>
  <si>
    <t>Exploring Perceived Emotional Intelligence of Personality-Driven Virtual Agents in Handling User Challenges</t>
  </si>
  <si>
    <t>https://doi.org/10.1145/2504847</t>
  </si>
  <si>
    <t>10.1145/2504847</t>
  </si>
  <si>
    <t>Putting the person back into personalization</t>
  </si>
  <si>
    <t>https://doi.org/10.1145/3041960</t>
  </si>
  <si>
    <t>10.1145/3041960</t>
  </si>
  <si>
    <t>Smart Computing and Sensing Technologies for Animal Welfare: A Systematic Review</t>
  </si>
  <si>
    <t>https://doi.org/10.1145/3241038</t>
  </si>
  <si>
    <t>10.1145/3241038</t>
  </si>
  <si>
    <t>A Taxonomy and Future Directions for Sustainable Cloud Computing: 360 Degree View</t>
  </si>
  <si>
    <t>https://doi.org/10.1145/3289604</t>
  </si>
  <si>
    <t>10.1145/3289604</t>
  </si>
  <si>
    <t>Leveraging Glocality for Fast Failure Recovery in Distributed RAM Storage</t>
  </si>
  <si>
    <t>https://doi.org/10.14778/2947618.2947625</t>
  </si>
  <si>
    <t>10.14778/2947618.2947625</t>
  </si>
  <si>
    <t>An experimental evaluation of datacenter workloads on low-power embedded micro servers</t>
  </si>
  <si>
    <t>https://doi.org/10.1145/3267809.3267847</t>
  </si>
  <si>
    <t>10.1145/3267809.3267847</t>
  </si>
  <si>
    <t>Cascade Mapping: Optimizing Memory Efficiency for Flash-based Key-value Caching</t>
  </si>
  <si>
    <t>https://doi.org/10.1145/3273982.3273989</t>
  </si>
  <si>
    <t>10.1145/3273982.3273989</t>
  </si>
  <si>
    <t>Morpheus: Exploring the Potential of Near-Data Processing for Creating Application Objects in Heterogeneous Computing</t>
  </si>
  <si>
    <t>https://doi.org/10.1145/2536536.2536628</t>
  </si>
  <si>
    <t>10.1145/2536536.2536628</t>
  </si>
  <si>
    <t>Introducing media literacy at school: new devices</t>
  </si>
  <si>
    <t>new contents at the curriculum. A case study</t>
  </si>
  <si>
    <t>https://doi.org/10.1145/2741948.2741956</t>
  </si>
  <si>
    <t>10.1145/2741948.2741956</t>
  </si>
  <si>
    <t>GD-Wheel: a cost-aware replacement policy for key-value stores</t>
  </si>
  <si>
    <t>https://doi.org/10.1145/2983927</t>
  </si>
  <si>
    <t>10.1145/2983927</t>
  </si>
  <si>
    <t>Effects of Speed</t>
  </si>
  <si>
    <t>Cyclicity</t>
  </si>
  <si>
    <t>and Dimensionality on Distancing</t>
  </si>
  <si>
    <t>Time</t>
  </si>
  <si>
    <t>and Preference in Human-Aerial Vehicle Interactions</t>
  </si>
  <si>
    <t>https://doi.org/10.1145/2541940.2541951</t>
  </si>
  <si>
    <t>10.1145/2541940.2541951</t>
  </si>
  <si>
    <t>Integrated 3D-stacked server designs for increasing physical density of key-value stores</t>
  </si>
  <si>
    <t>https://doi.org/10.1145/2806777.2806850</t>
  </si>
  <si>
    <t>10.1145/2806777.2806850</t>
  </si>
  <si>
    <t>DSwitch: a dual mode direct and network attached disk</t>
  </si>
  <si>
    <t>https://doi.org/10.1145/3085574</t>
  </si>
  <si>
    <t>10.1145/3085574</t>
  </si>
  <si>
    <t>How to choose a conference</t>
  </si>
  <si>
    <t>https://doi.org/10.1109/CCGRID.2017.49</t>
  </si>
  <si>
    <t>10.1109/ccgrid.2017.49</t>
  </si>
  <si>
    <t>High-Performance Key-Value Store On OpenSHMEM</t>
  </si>
  <si>
    <t>https://doi.org/10.1145/2465351.2465361</t>
  </si>
  <si>
    <t>10.1145/2465351.2465361</t>
  </si>
  <si>
    <t>ChainReaction: a causal+ consistent datastore based on chain replication</t>
  </si>
  <si>
    <t>https://doi.org/10.1109/TNET.2017.2669215</t>
  </si>
  <si>
    <t>10.1109/tnet.2017.2669215</t>
  </si>
  <si>
    <t>CubicRing: Exploiting Network Proximity for Distributed In-Memory Key-Value Store</t>
  </si>
  <si>
    <t>https://doi.org/10.1145/2391229.2391237</t>
  </si>
  <si>
    <t>10.1145/2391229.2391237</t>
  </si>
  <si>
    <t>Using vector interfaces to deliver millions of IOPS from a networked key-value storage server</t>
  </si>
  <si>
    <t>https://doi.org/10.1109/CCGrid.2015.115</t>
  </si>
  <si>
    <t>10.1109/ccgrid.2015.115</t>
  </si>
  <si>
    <t>Quantitative musings on the feasibility of smartphone clouds</t>
  </si>
  <si>
    <t>https://doi.org/10.1145/2742488</t>
  </si>
  <si>
    <t>10.1145/2742488</t>
  </si>
  <si>
    <t>Energy Efficiency Techniques in Cloud Computing: A Survey and Taxonomy</t>
  </si>
  <si>
    <t>https://doi.org/10.1145/3033273</t>
  </si>
  <si>
    <t>10.1145/3033273</t>
  </si>
  <si>
    <t>WiscKey: Separating Keys from Values in SSD-Conscious Storage</t>
  </si>
  <si>
    <t>https://doi.org/10.1145/2964284.2984067</t>
  </si>
  <si>
    <t>10.1145/2964284.2984067</t>
  </si>
  <si>
    <t>Tracking Natural Events through Social Media and Computer Vision</t>
  </si>
  <si>
    <t>https://doi.org/10.1145/2666216.2666222</t>
  </si>
  <si>
    <t>10.1145/2666216.2666222</t>
  </si>
  <si>
    <t>All of the Things: Engaging Complex Assemblages in Communication Design</t>
  </si>
  <si>
    <t>https://doi.org/10.1145/3056662.3056667</t>
  </si>
  <si>
    <t>10.1145/3056662.3056667</t>
  </si>
  <si>
    <t>Performance and energy efficiency of big data systems: characterization</t>
  </si>
  <si>
    <t>implication and improvement</t>
  </si>
  <si>
    <t>https://doi.org/10.1145/2933349.2933359</t>
  </si>
  <si>
    <t>10.1145/2933349.2933359</t>
  </si>
  <si>
    <t>OLTP on a server-grade ARM: power</t>
  </si>
  <si>
    <t>throughput and latency comparison</t>
  </si>
  <si>
    <t>https://doi.org/10.1145/2897824.2925888</t>
  </si>
  <si>
    <t>10.1145/2897824.2925888</t>
  </si>
  <si>
    <t>Designing structurally-sound ornamental curve networks</t>
  </si>
  <si>
    <t>https://doi.org/10.14778/3025111.3025113</t>
  </si>
  <si>
    <t>10.14778/3025111.3025113</t>
  </si>
  <si>
    <t>Bluecache: a scalable distributed flash-based key-value store</t>
  </si>
  <si>
    <t>https://doi.org/10.1145/2987550.2987579</t>
  </si>
  <si>
    <t>10.1145/2987550.2987579</t>
  </si>
  <si>
    <t>Towards Weakly Consistent Local Storage Systems</t>
  </si>
  <si>
    <t>https://doi.org/10.1109/ISCA.2016.15</t>
  </si>
  <si>
    <t>10.1109/isca.2016.15</t>
  </si>
  <si>
    <t>Morpheus: creating application objects efficiently for heterogeneous computing</t>
  </si>
  <si>
    <t>https://doi.org/10.1145/2631187</t>
  </si>
  <si>
    <t>10.1145/2631187</t>
  </si>
  <si>
    <t>Feedback</t>
  </si>
  <si>
    <t>https://doi.org/10.1145/2901318.2901337</t>
  </si>
  <si>
    <t>10.1145/2901318.2901337</t>
  </si>
  <si>
    <t>Flash storage disaggregation</t>
  </si>
  <si>
    <t>https://doi.org/10.1145/2038916.2038939</t>
  </si>
  <si>
    <t>10.1145/2038916.2038939</t>
  </si>
  <si>
    <t>Small cache</t>
  </si>
  <si>
    <t>big effect: provable load balancing for randomly partitioned cluster services</t>
  </si>
  <si>
    <t>https://doi.org/10.1145/2830903.2830908</t>
  </si>
  <si>
    <t>10.1145/2830903.2830908</t>
  </si>
  <si>
    <t>Evolution of fault tolerance</t>
  </si>
  <si>
    <t>https://doi.org/10.1145/1989323.1989327</t>
  </si>
  <si>
    <t>10.1145/1989323.1989327</t>
  </si>
  <si>
    <t>SkimpyStash: RAM space skimpy key-value store on flash-based storage</t>
  </si>
  <si>
    <t>https://doi.org/10.1145/2791285</t>
  </si>
  <si>
    <t>10.1145/2791285</t>
  </si>
  <si>
    <t>Soylent: a word processor with a crowd inside</t>
  </si>
  <si>
    <t>https://doi.org/10.1145/2043556.2043593</t>
  </si>
  <si>
    <t>10.1145/2043556.2043593</t>
  </si>
  <si>
    <t>Don't settle for eventual: scalable causal consistency for wide-area storage with COPS</t>
  </si>
  <si>
    <t>https://doi.org/10.1145/2723372.2742798</t>
  </si>
  <si>
    <t>10.1145/2723372.2742798</t>
  </si>
  <si>
    <t>Purity: Building Fast</t>
  </si>
  <si>
    <t>Highly-Available Enterprise Flash Storage from Commodity Components</t>
  </si>
  <si>
    <t>https://doi.org/10.1145/2807591.2807636</t>
  </si>
  <si>
    <t>10.1145/2807591.2807636</t>
  </si>
  <si>
    <t>Multi-objective job placement in clusters</t>
  </si>
  <si>
    <t>https://doi.org/10.1145/2798729</t>
  </si>
  <si>
    <t>10.1145/2798729</t>
  </si>
  <si>
    <t>BetrFS: Write-Optimization in a Kernel File System</t>
  </si>
  <si>
    <t>https://doi.org/10.1145/2700312</t>
  </si>
  <si>
    <t>10.1145/2700312</t>
  </si>
  <si>
    <t>On the Trade-Offs among Performance</t>
  </si>
  <si>
    <t>Energy</t>
  </si>
  <si>
    <t>and Endurance in a Versatile Hybrid Drive</t>
  </si>
  <si>
    <t>https://doi.org/10.1145/1450579.1450652</t>
  </si>
  <si>
    <t>10.1145/1450579.1450652</t>
  </si>
  <si>
    <t>AVACHAT: a new comic-based chat system for virtual avatars</t>
  </si>
  <si>
    <t>https://doi.org/10.1145/2043556.2043558</t>
  </si>
  <si>
    <t>10.1145/2043556.2043558</t>
  </si>
  <si>
    <t>SILT: a memory-efficient</t>
  </si>
  <si>
    <t>high-performance key-value store</t>
  </si>
  <si>
    <t>https://doi.org/10.1109/CCGrid.2015.150</t>
  </si>
  <si>
    <t>10.1109/ccgrid.2015.150</t>
  </si>
  <si>
    <t>Deferred lightweight indexing for log-structured key-value stores</t>
  </si>
  <si>
    <t>https://doi.org/10.1145/2482767.2482793</t>
  </si>
  <si>
    <t>10.1145/2482767.2482793</t>
  </si>
  <si>
    <t>Investigating hybrid SSD FTL schemes for Hadoop workloads</t>
  </si>
  <si>
    <t>https://doi.org/10.1145/2365946.2365951</t>
  </si>
  <si>
    <t>10.1145/2365946.2365951</t>
  </si>
  <si>
    <t>get lost	GetLostBot!: annoying people by offering recommendations when they are not wanted</t>
  </si>
  <si>
    <t>https://doi.org/10.1145/2656204</t>
  </si>
  <si>
    <t>10.1145/2656204</t>
  </si>
  <si>
    <t>Cloud Computing: Survey on Energy Efficiency</t>
  </si>
  <si>
    <t>https://doi.org/10.1145/2465529.2465553</t>
  </si>
  <si>
    <t>10.1145/2465529.2465553</t>
  </si>
  <si>
    <t>On understanding the energy consumption of ARM-based multicore servers</t>
  </si>
  <si>
    <t>https://doi.org/10.1145/2771937.2771939</t>
  </si>
  <si>
    <t>10.1145/2771937.2771939</t>
  </si>
  <si>
    <t>Energy-Efficient Query Processing on Embedded CPU-GPU Architectures</t>
  </si>
  <si>
    <t>https://doi.org/10.1145/2757667.2757680</t>
  </si>
  <si>
    <t>10.1145/2757667.2757680</t>
  </si>
  <si>
    <t>SMRDB: key-value data store for shingled magnetic recording disks</t>
  </si>
  <si>
    <t>https://doi.org/10.1145/2378356.2378361</t>
  </si>
  <si>
    <t>10.1145/2378356.2378361</t>
  </si>
  <si>
    <t>Flex-KV: enabling high-performance and flexible KV systems</t>
  </si>
  <si>
    <t>https://doi.org/10.1145/2668260.2668291</t>
  </si>
  <si>
    <t>10.1145/2668260.2668291</t>
  </si>
  <si>
    <t>Opinion Mining from Arabic Quotations</t>
  </si>
  <si>
    <t>https://doi.org/10.1145/1477862.1477879</t>
  </si>
  <si>
    <t>10.1145/1477862.1477879</t>
  </si>
  <si>
    <t>A new cognition-based chat system for avatar agents in virtual space</t>
  </si>
  <si>
    <t>https://doi.org/10.1145/1640089.1640127</t>
  </si>
  <si>
    <t>10.1145/1640089.1640127</t>
  </si>
  <si>
    <t>Regrowing a language: refactoring tools allow programming languages to evolve</t>
  </si>
  <si>
    <t>https://doi.org/10.1145/1866296.1866298</t>
  </si>
  <si>
    <t>10.1145/1866296.1866298</t>
  </si>
  <si>
    <t>Keeping Bits Safe: How Hard Can It Be? As storage systems grow larger and larger</t>
  </si>
  <si>
    <t>protecting their data for long-term storage is becoming more and more challenging.</t>
  </si>
  <si>
    <t>https://doi.org/10.1145/2146382.2146391</t>
  </si>
  <si>
    <t>10.1145/2146382.2146391</t>
  </si>
  <si>
    <t>From paxos to CORFU: a flash-speed shared log</t>
  </si>
  <si>
    <t>https://doi.org/10.1145/2212908.2212915</t>
  </si>
  <si>
    <t>10.1145/2212908.2212915</t>
  </si>
  <si>
    <t>A limits study of benefits from nanostore-based future data-centric system architectures</t>
  </si>
  <si>
    <t>https://doi.org/10.1145/1995896.1995926</t>
  </si>
  <si>
    <t>10.1145/1995896.1995926</t>
  </si>
  <si>
    <t>Optimizing the datacenter for data-centric workloads</t>
  </si>
  <si>
    <t>https://doi.org/10.1145/2188286.2188316</t>
  </si>
  <si>
    <t>10.1145/2188286.2188316</t>
  </si>
  <si>
    <t>Studying hardware and software trade-offs for a real-life web 2.0 workload</t>
  </si>
  <si>
    <t>https://doi.org/10.1109/CCGrid.2012.84</t>
  </si>
  <si>
    <t>10.1109/ccgrid.2012.84</t>
  </si>
  <si>
    <t>Energy- and Cost-Efficiency Analysis of ARM-Based Clusters</t>
  </si>
  <si>
    <t>https://doi.org/10.1007/978-3-642-24322-6_15</t>
  </si>
  <si>
    <t>10.1007/978-3-642-24322-6_15</t>
  </si>
  <si>
    <t>The search for energy-efficient building blocks for the data center</t>
  </si>
  <si>
    <t>https://doi.org/10.1145/1839676.1839692</t>
  </si>
  <si>
    <t>10.1145/1839676.1839692</t>
  </si>
  <si>
    <t>Keeping bits safe: how hard can it be?</t>
  </si>
  <si>
    <t>https://doi.org/10.1145/2003690.2003693</t>
  </si>
  <si>
    <t>10.1145/2003690.2003693</t>
  </si>
  <si>
    <t>Mobile processors for energy-efficient web search</t>
  </si>
  <si>
    <t>https://doi.org/10.1145/2503210.2503281</t>
  </si>
  <si>
    <t>10.1145/2503210.2503281</t>
  </si>
  <si>
    <t>Supercomputing with commodity CPUs: are mobile SoCs ready for HPC?</t>
  </si>
  <si>
    <t>https://doi.org/10.1145/2559206.2581287</t>
  </si>
  <si>
    <t>10.1145/2559206.2581287</t>
  </si>
  <si>
    <t>The art of deleting snapshots</t>
  </si>
  <si>
    <t>https://doi.org/10.14778/1920841.1921015</t>
  </si>
  <si>
    <t>10.14778/1920841.1921015</t>
  </si>
  <si>
    <t>FlashStore: high throughput persistent key-value store</t>
  </si>
  <si>
    <t>https://doi.org/10.1145/1823838.1823840</t>
  </si>
  <si>
    <t>10.1145/1823838.1823840</t>
  </si>
  <si>
    <t>Storage research in industry and universities</t>
  </si>
  <si>
    <t>https://doi.org/10.1145/2523616.2523635</t>
  </si>
  <si>
    <t>10.1145/2523616.2523635</t>
  </si>
  <si>
    <t>Pico replication: a high availability framework for middleboxes</t>
  </si>
  <si>
    <t>https://doi.org/10.1145/2512348</t>
  </si>
  <si>
    <t>10.1145/2512348</t>
  </si>
  <si>
    <t>Read-Performance Optimization for Deduplication-Based Storage Systems in the Cloud</t>
  </si>
  <si>
    <t>https://doi.org/10.1145/2038916.2038917</t>
  </si>
  <si>
    <t>10.1145/2038916.2038917</t>
  </si>
  <si>
    <t>An efficient multi-tier tablet server storage architecture</t>
  </si>
  <si>
    <t>https://doi.org/10.1145/1899928.1899942</t>
  </si>
  <si>
    <t>10.1145/1899928.1899942</t>
  </si>
  <si>
    <t>Enabling a marketplace of clouds: VMware's vCloud director</t>
  </si>
  <si>
    <t>https://doi.org/10.1145/1837915.1837918</t>
  </si>
  <si>
    <t>10.1145/1837915.1837918</t>
  </si>
  <si>
    <t>Optimizing energy and performance for server-class file system workloads</t>
  </si>
  <si>
    <t>https://doi.org/10.1145/2508363.2508381</t>
  </si>
  <si>
    <t>10.1145/2508363.2508381</t>
  </si>
  <si>
    <t>PatchNet: a patch-based image representation for interactive library-driven image editing</t>
  </si>
  <si>
    <t>https://doi.org/10.1145/2336727.2336738</t>
  </si>
  <si>
    <t>10.1145/2336727.2336738</t>
  </si>
  <si>
    <t>An investigation of player to player character identification via personal pronouns</t>
  </si>
  <si>
    <t>https://doi.org/10.1145/1807060.1807061</t>
  </si>
  <si>
    <t>10.1145/1807060.1807061</t>
  </si>
  <si>
    <t>Differential RAID: Rethinking RAID for SSD reliability</t>
  </si>
  <si>
    <t>https://doi.org/10.1145/2377677.2377681</t>
  </si>
  <si>
    <t>10.1145/2377677.2377681</t>
  </si>
  <si>
    <t>HyperDex: a distributed</t>
  </si>
  <si>
    <t>searchable key-value store</t>
  </si>
  <si>
    <t>https://doi.org/10.1145/2133382.2133388</t>
  </si>
  <si>
    <t>10.1145/2133382.2133388</t>
  </si>
  <si>
    <t>A Massively Parallel</t>
  </si>
  <si>
    <t>Energy Efficient Programmable Accelerator for Learning and Classification</t>
  </si>
  <si>
    <t>https://doi.org/10.1145/2342356.2342360</t>
  </si>
  <si>
    <t>10.1145/2342356.2342360</t>
  </si>
  <si>
    <t>https://doi.org/10.1145/1755913.1755916</t>
  </si>
  <si>
    <t>10.1145/1755913.1755916</t>
  </si>
  <si>
    <t>Differential RAID: rethinking RAID for SSD reliability</t>
  </si>
  <si>
    <t>https://doi.org/10.1145/1740390.1740408</t>
  </si>
  <si>
    <t>10.1145/1740390.1740408</t>
  </si>
  <si>
    <t>An energy case for hybrid datacenters</t>
  </si>
  <si>
    <t>https://doi.org/10.1145/2155620.2155651</t>
  </si>
  <si>
    <t>10.1145/2155620.2155651</t>
  </si>
  <si>
    <t>System-level integrated server architectures for scale-out datacenters</t>
  </si>
  <si>
    <t>https://doi.org/10.1145/2254756.2254766</t>
  </si>
  <si>
    <t>10.1145/2254756.2254766</t>
  </si>
  <si>
    <t>Workload analysis of a large-scale key-value store</t>
  </si>
  <si>
    <t>https://doi.org/10.1145/2110205.2110209</t>
  </si>
  <si>
    <t>10.1145/2110205.2110209</t>
  </si>
  <si>
    <t>Using active NVRAM for I/O staging</t>
  </si>
  <si>
    <t>https://doi.org/10.1145/2107502.2107511</t>
  </si>
  <si>
    <t>10.1145/2107502.2107511</t>
  </si>
  <si>
    <t>The hare and the tortoise: taming wireless losses by exploiting wired reliability</t>
  </si>
  <si>
    <t>https://doi.org/10.1145/2018584.2018596</t>
  </si>
  <si>
    <t>10.1145/2018584.2018596</t>
  </si>
  <si>
    <t>A reality check for content centric networking</t>
  </si>
  <si>
    <t>https://doi.org/10.14778/1938545.1938549</t>
  </si>
  <si>
    <t>10.14778/1938545.1938549</t>
  </si>
  <si>
    <t>Using Paxos to build a scalable</t>
  </si>
  <si>
    <t>consistent</t>
  </si>
  <si>
    <t>and highly available datastore</t>
  </si>
  <si>
    <t>https://doi.org/10.1145/1944862.1944886</t>
  </si>
  <si>
    <t>10.1145/1944862.1944886</t>
  </si>
  <si>
    <t>SWEEP: evaluating computer system energy efficiency using synthetic workloads</t>
  </si>
  <si>
    <t>https://doi.org/10.1145/1809980.1810034</t>
  </si>
  <si>
    <t>10.1145/1809980.1810034</t>
  </si>
  <si>
    <t>Um sistema web para acompanhar o crescimento e desenvolvimento do algodão</t>
  </si>
  <si>
    <t>https://doi.org/10.1145/1989323.1989461</t>
  </si>
  <si>
    <t>10.1145/1989323.1989461</t>
  </si>
  <si>
    <t>WattDB: an energy-proportional cluster of wimpy nodes</t>
  </si>
  <si>
    <t>https://doi.org/10.1145/1807167.1807324</t>
  </si>
  <si>
    <t>10.1145/1807167.1807324</t>
  </si>
  <si>
    <t>Performing sound flash device measurements: some lessons from uFLIP</t>
  </si>
  <si>
    <t>https://doi.org/10.1007/978-3-642-24322-6_19</t>
  </si>
  <si>
    <t>10.1007/978-3-642-24322-6_19</t>
  </si>
  <si>
    <t>Achieving power-efficiency in clusters without distributed file system complexity</t>
  </si>
  <si>
    <t>https://doi.org/10.1007/978-3-642-24322-6_16</t>
  </si>
  <si>
    <t>10.1007/978-3-642-24322-6_16</t>
  </si>
  <si>
    <t>KnightShift: shifting the I/O burden in datacenters to management processor for energy efficiency</t>
  </si>
  <si>
    <t>https://doi.org/10.1145/1807128.1807164</t>
  </si>
  <si>
    <t>10.1145/1807128.1807164</t>
  </si>
  <si>
    <t>Robust and flexible power-proportional storage</t>
  </si>
  <si>
    <t>https://doi.org/10.1145/1866029.1866078</t>
  </si>
  <si>
    <t>10.1145/1866029.1866078</t>
  </si>
  <si>
    <t>https://doi.org/10.1145/1740390.1740407</t>
  </si>
  <si>
    <t>10.1145/1740390.1740407</t>
  </si>
  <si>
    <t>Low-power amdahl-balanced blades for data intensive computing</t>
  </si>
  <si>
    <t>https://doi.org/10.1145/1815961.1816002</t>
  </si>
  <si>
    <t>10.1145/1815961.1816002</t>
  </si>
  <si>
    <t>Web search using mobile cores: quantifying and mitigating the price of efficiency</t>
  </si>
  <si>
    <t>https://doi.org/10.1145/1807167.1807194</t>
  </si>
  <si>
    <t>10.1145/1807167.1807194</t>
  </si>
  <si>
    <t>Analyzing the energy efficiency of a database server</t>
  </si>
  <si>
    <t>https://doi.org/10.1145/1596685.1596827</t>
  </si>
  <si>
    <t>10.1145/1596685.1596827</t>
  </si>
  <si>
    <t>Window pains</t>
  </si>
  <si>
    <t>https://doi.org/10.1145/514236.514248</t>
  </si>
  <si>
    <t>10.1145/514236.514248</t>
  </si>
  <si>
    <t>Forum</t>
  </si>
  <si>
    <t>https://doi.org/10.1145/1409360.1409363</t>
  </si>
  <si>
    <t>10.1145/1409360.1409363</t>
  </si>
  <si>
    <t>Apple builds great platforms</t>
  </si>
  <si>
    <t>too</t>
  </si>
  <si>
    <t>not just products</t>
  </si>
  <si>
    <t>https://doi.org/10.1145/1394669.1394689</t>
  </si>
  <si>
    <t>10.1145/1394669.1394689</t>
  </si>
  <si>
    <t>Multi projector displays using a 3D compositing window manager</t>
  </si>
  <si>
    <t>https://doi.org/10.1145/1621890.1621914</t>
  </si>
  <si>
    <t>10.1145/1621890.1621914</t>
  </si>
  <si>
    <t>Dynamic web service orchestration applied to the device profile for web services in hierarchical networks</t>
  </si>
  <si>
    <t>https://doi.org/10.1145/343048.343076</t>
  </si>
  <si>
    <t>10.1145/343048.343076</t>
  </si>
  <si>
    <t>Enter the usability engineer: integrating HCI and software engineering</t>
  </si>
  <si>
    <t>https://doi.org/10.3115/1220175.1220289</t>
  </si>
  <si>
    <t>10.3115/1220175.1220289</t>
  </si>
  <si>
    <t>Methods for using textual entailment in open-domain question answering</t>
  </si>
  <si>
    <t>https://doi.org/10.3115/1117554.1117558</t>
  </si>
  <si>
    <t>10.3115/1117554.1117558</t>
  </si>
  <si>
    <t>An interlingua aiming at communication on the web: how language-independent can it be?</t>
  </si>
  <si>
    <t>https://doi.org/10.1145/581710.581733</t>
  </si>
  <si>
    <t>10.1145/581710.581733</t>
  </si>
  <si>
    <t>Scripting the interactor: an approach to VR drama</t>
  </si>
  <si>
    <t>https://doi.org/10.1145/67544.66934</t>
  </si>
  <si>
    <t>10.1145/67544.66934</t>
  </si>
  <si>
    <t>Incorporating hierarchy in a relational model of data</t>
  </si>
  <si>
    <t>https://doi.org/10.1145/262116.262142</t>
  </si>
  <si>
    <t>10.1145/262116.262142</t>
  </si>
  <si>
    <t>Low power error control for wireless links</t>
  </si>
  <si>
    <t>https://doi.org/10.1145/375663.375720</t>
  </si>
  <si>
    <t>10.1145/375663.375720</t>
  </si>
  <si>
    <t>Updating XML</t>
  </si>
  <si>
    <t>https://doi.org/10.3115/990820.990864</t>
  </si>
  <si>
    <t>10.3115/990820.990864</t>
  </si>
  <si>
    <t>Effects of adjective orientation and gradability on sentence subjectivity</t>
  </si>
  <si>
    <t>https://doi.org/10.1145/196734.196738</t>
  </si>
  <si>
    <t>10.1145/196734.196738</t>
  </si>
  <si>
    <t>Finding a happy medium: explaining the negative effects of electronic communication on social life at work</t>
  </si>
  <si>
    <t>https://doi.org/10.1145/296336.296354</t>
  </si>
  <si>
    <t>10.1145/296336.296354</t>
  </si>
  <si>
    <t>Who exactly is trying to help us? The ethos of help systems in popular computer applications</t>
  </si>
  <si>
    <t>https://doi.org/10.1145/309831.309929</t>
  </si>
  <si>
    <t>10.1145/309831.309929</t>
  </si>
  <si>
    <t>Shifted normal forms of polynomial matrices</t>
  </si>
  <si>
    <t>https://doi.org/10.1145/266399.266405</t>
  </si>
  <si>
    <t>10.1145/266399.266405</t>
  </si>
  <si>
    <t>Programming complex objects in spreadsheets: an empirical study comparing textual formula entry with direct manipulation and gestures</t>
  </si>
  <si>
    <t>https://doi.org/10.1145/333140.333146</t>
  </si>
  <si>
    <t>10.1145/333140.333146</t>
  </si>
  <si>
    <t>Networking on the network</t>
  </si>
  <si>
    <t>https://doi.org/10.1145/238168.238181</t>
  </si>
  <si>
    <t>10.1145/238168.238181</t>
  </si>
  <si>
    <t>Securing ATM networks</t>
  </si>
  <si>
    <t>https://doi.org/10.1145/221270.221624</t>
  </si>
  <si>
    <t>10.1145/221270.221624</t>
  </si>
  <si>
    <t>Application of knowledge base design techniques to genetic markers</t>
  </si>
  <si>
    <t>https://doi.org/10.1145/199688.199776</t>
  </si>
  <si>
    <t>10.1145/199688.199776</t>
  </si>
  <si>
    <t>Inexpensive advanced graphics applications for the C.S. majors graphics class</t>
  </si>
  <si>
    <t>https://doi.org/10.3115/991886.991970</t>
  </si>
  <si>
    <t>10.3115/991886.991970</t>
  </si>
  <si>
    <t>PRINCIPAR: an efficient</t>
  </si>
  <si>
    <t>broad-coverage</t>
  </si>
  <si>
    <t>principle-based parser</t>
  </si>
  <si>
    <t>https://doi.org/10.1145/381807.381810</t>
  </si>
  <si>
    <t>10.1145/381807.381810</t>
  </si>
  <si>
    <t>ACM SIGOIS worldwide membership directory</t>
  </si>
  <si>
    <t>https://doi.org/10.1145/175208.175220</t>
  </si>
  <si>
    <t>10.1145/175208.175220</t>
  </si>
  <si>
    <t>Israel: of swords and software plowshares</t>
  </si>
  <si>
    <t>https://doi.org/10.1145/358027.358046</t>
  </si>
  <si>
    <t>10.1145/358027.358046</t>
  </si>
  <si>
    <t>Languages: three interviews</t>
  </si>
  <si>
    <t>https://doi.org/10.1145/122153.122159</t>
  </si>
  <si>
    <t>10.1145/122153.122159</t>
  </si>
  <si>
    <t>The senior seminar in computer science</t>
  </si>
  <si>
    <t>https://doi.org/10.3115/980262.980281</t>
  </si>
  <si>
    <t>10.3115/980262.980281</t>
  </si>
  <si>
    <t>Assent and compliance in children's language comprehension</t>
  </si>
  <si>
    <t>https://doi.org/10.1145/122153.122160</t>
  </si>
  <si>
    <t>10.1145/122153.122160</t>
  </si>
  <si>
    <t>The arcade laboratory: an environment to help teach algorithms</t>
  </si>
  <si>
    <t>https://doi.org/10.1145/63047.63088</t>
  </si>
  <si>
    <t>10.1145/63047.63088</t>
  </si>
  <si>
    <t>Chess on a hypercube</t>
  </si>
  <si>
    <t>https://doi.org/10.3115/981175.981177</t>
  </si>
  <si>
    <t>10.3115/981175.981177</t>
  </si>
  <si>
    <t>A compositional semantics of temporal expressions in English</t>
  </si>
  <si>
    <t>https://doi.org/10.1145/28395.28431</t>
  </si>
  <si>
    <t>10.1145/28395.28431</t>
  </si>
  <si>
    <t>A new graphy triconnectivity algorithm and its parallelization</t>
  </si>
  <si>
    <t>https://doi.org/10.1145/6617.6618</t>
  </si>
  <si>
    <t>10.1145/6617.6618</t>
  </si>
  <si>
    <t>Notable computer networks</t>
  </si>
  <si>
    <t>https://doi.org/10.1145/1045264.1045265</t>
  </si>
  <si>
    <t>10.1145/1045264.1045265</t>
  </si>
  <si>
    <t>Computer power and human reason</t>
  </si>
  <si>
    <t>https://doi.org/10.3115/981436.981467</t>
  </si>
  <si>
    <t>10.3115/981436.981467</t>
  </si>
  <si>
    <t>Flexible parsing</t>
  </si>
  <si>
    <t>https://doi.org/10.1145/1500175.1500178</t>
  </si>
  <si>
    <t>10.1145/1500175.1500178</t>
  </si>
  <si>
    <t>RADCAP: an operational parallel processing facility</t>
  </si>
  <si>
    <t>key</t>
  </si>
  <si>
    <t>Evaluator Name</t>
  </si>
  <si>
    <t>Included/Excluded</t>
  </si>
  <si>
    <t>Excluded Reason</t>
  </si>
  <si>
    <t>Other</t>
  </si>
  <si>
    <t>Jonathan</t>
  </si>
  <si>
    <t>Exclude</t>
  </si>
  <si>
    <t>Not about either LLMs or Sycophancy</t>
  </si>
  <si>
    <t>Marilyn</t>
  </si>
  <si>
    <t>Include</t>
  </si>
  <si>
    <t>Syncopancy in context of reinforcing individual investment biases</t>
  </si>
  <si>
    <t>Kaiser</t>
  </si>
  <si>
    <t>Not about Sycophancy</t>
  </si>
  <si>
    <t>Not about LLMs</t>
  </si>
  <si>
    <t>Rather indirect (emulated empathy)</t>
  </si>
  <si>
    <t>Not a research paper</t>
  </si>
  <si>
    <t>Poster</t>
  </si>
  <si>
    <t>Survey</t>
  </si>
  <si>
    <t>Extended Abstract</t>
  </si>
  <si>
    <t>Not in peer reviewed journal</t>
  </si>
  <si>
    <t>Opinion</t>
  </si>
  <si>
    <t>Tutorial</t>
  </si>
  <si>
    <t>About friendly persona for mindfulness</t>
  </si>
  <si>
    <t>Column</t>
  </si>
  <si>
    <t>Other (Explanation -&gt;)</t>
  </si>
  <si>
    <t>Link not working</t>
  </si>
  <si>
    <t>Moreso about communication bias</t>
  </si>
  <si>
    <t>Indirect (moreso about AI companionship for grief)</t>
  </si>
  <si>
    <t>*</t>
  </si>
  <si>
    <t>For academic manuscript submission - presented as a "yes-bias”</t>
  </si>
  <si>
    <t>re</t>
  </si>
  <si>
    <t>File has been removed</t>
  </si>
  <si>
    <t>News</t>
  </si>
  <si>
    <t>Taylor</t>
  </si>
  <si>
    <t>Danni</t>
  </si>
  <si>
    <t>Ceren</t>
  </si>
  <si>
    <t>Touches on it</t>
  </si>
  <si>
    <t>Page not found</t>
  </si>
  <si>
    <t>No abstract</t>
  </si>
  <si>
    <t>Also genuinely what did i just see</t>
  </si>
  <si>
    <t>Genuinely what is this</t>
  </si>
  <si>
    <t>I dont even remember reading this paper</t>
  </si>
  <si>
    <t>Is rather about pluralism</t>
  </si>
  <si>
    <t>Updated</t>
  </si>
  <si>
    <t>DOI not found</t>
  </si>
  <si>
    <t>Talks about negotiations</t>
  </si>
  <si>
    <t>very briefly touches on it</t>
  </si>
  <si>
    <t>DOI is broken</t>
  </si>
  <si>
    <t xml:space="preserve">No document available </t>
  </si>
  <si>
    <t>Defunct DOI</t>
  </si>
  <si>
    <t>Is a workshop</t>
  </si>
  <si>
    <t>Doesn't explicityly say sycophancy, but seems to reference the idea</t>
  </si>
  <si>
    <t>Briefly touches on it</t>
  </si>
  <si>
    <t>Not really sure what this is, but no abstract</t>
  </si>
  <si>
    <t>Check</t>
  </si>
  <si>
    <t>Evaluator</t>
  </si>
  <si>
    <t>Sycophantic Papers?</t>
  </si>
  <si>
    <t>Title 1</t>
  </si>
  <si>
    <t>Title 2</t>
  </si>
  <si>
    <t>In All Papers</t>
  </si>
  <si>
    <t>Included in INC/EXC Disc</t>
  </si>
  <si>
    <r>
      <rPr>
        <rFont val="&quot;Merriweather Sans&quot;, sans-serif"/>
        <color rgb="FF1155CC"/>
        <sz val="11.0"/>
        <u/>
      </rPr>
      <t>SESSION: AI &amp; Data Visualization</t>
    </r>
  </si>
  <si>
    <t>Tina</t>
  </si>
  <si>
    <t>No</t>
  </si>
  <si>
    <r>
      <rPr>
        <rFont val="&quot;Merriweather Sans&quot;, sans-serif"/>
        <color rgb="FF1155CC"/>
        <sz val="11.0"/>
        <u/>
      </rPr>
      <t>SESSION: AI &amp; Timing Matters</t>
    </r>
  </si>
  <si>
    <t>SESSION: AI Collaboration in Practice</t>
  </si>
  <si>
    <r>
      <rPr>
        <rFont val="&quot;Merriweather Sans&quot;, sans-serif"/>
        <color rgb="FF1155CC"/>
        <sz val="11.0"/>
        <u/>
      </rPr>
      <t>SESSION: AI Explanations and Decision Support in Healthcare</t>
    </r>
  </si>
  <si>
    <r>
      <rPr>
        <rFont val="&quot;Merriweather Sans&quot;, sans-serif"/>
        <color rgb="FF1155CC"/>
        <sz val="11.0"/>
        <u/>
      </rPr>
      <t>SESSION: AI Governance and Accountability</t>
    </r>
  </si>
  <si>
    <r>
      <rPr>
        <rFont val="&quot;Merriweather Sans&quot;, sans-serif"/>
        <color rgb="FF1155CC"/>
        <sz val="11.0"/>
        <u/>
      </rPr>
      <t>SESSION: AI Governance and Safety</t>
    </r>
  </si>
  <si>
    <r>
      <rPr>
        <rFont val="&quot;Merriweather Sans&quot;, sans-serif"/>
        <color rgb="FF1155CC"/>
        <sz val="11.0"/>
        <u/>
      </rPr>
      <t>SESSION: AI Literacy, Ethics, and Critical AI Understanding</t>
    </r>
  </si>
  <si>
    <r>
      <rPr>
        <rFont val="&quot;Merriweather Sans&quot;, sans-serif"/>
        <color rgb="FF1155CC"/>
        <sz val="11.0"/>
        <u/>
      </rPr>
      <t>SESSION: AI Personality</t>
    </r>
  </si>
  <si>
    <r>
      <rPr>
        <rFont val="&quot;Merriweather Sans&quot;, sans-serif"/>
        <color rgb="FF1155CC"/>
        <sz val="11.0"/>
        <u/>
      </rPr>
      <t>SESSION: AI Risks</t>
    </r>
  </si>
  <si>
    <r>
      <rPr>
        <rFont val="&quot;Merriweather Sans&quot;, sans-serif"/>
        <color rgb="FF1155CC"/>
        <sz val="11.0"/>
        <u/>
      </rPr>
      <t>SESSION: AI Systems for Human Goals</t>
    </r>
  </si>
  <si>
    <r>
      <rPr>
        <rFont val="&quot;Merriweather Sans&quot;, sans-serif"/>
        <color rgb="FF1155CC"/>
        <sz val="11.0"/>
        <u/>
      </rPr>
      <t>SESSION: AI Tutors and Learning Support Systems</t>
    </r>
  </si>
  <si>
    <r>
      <rPr>
        <rFont val="&quot;Merriweather Sans&quot;, sans-serif"/>
        <color rgb="FF1155CC"/>
        <sz val="11.0"/>
        <u/>
      </rPr>
      <t>SESSION: AI for Language Learning &amp; Communication Skills</t>
    </r>
  </si>
  <si>
    <r>
      <rPr>
        <rFont val="&quot;Merriweather Sans&quot;, sans-serif"/>
        <color rgb="FF1155CC"/>
        <sz val="11.0"/>
        <u/>
      </rPr>
      <t>SESSION: AI for Task Augmentation</t>
    </r>
  </si>
  <si>
    <r>
      <rPr>
        <rFont val="&quot;Merriweather Sans&quot;, sans-serif"/>
        <color rgb="FF1155CC"/>
        <sz val="11.0"/>
        <u/>
      </rPr>
      <t>SESSION: AI for Youth Learning</t>
    </r>
  </si>
  <si>
    <r>
      <rPr>
        <rFont val="&quot;Merriweather Sans&quot;, sans-serif"/>
        <color rgb="FF1155CC"/>
        <sz val="11.0"/>
        <u/>
      </rPr>
      <t>SESSION: AI for the Arts</t>
    </r>
  </si>
  <si>
    <r>
      <rPr>
        <rFont val="&quot;Merriweather Sans&quot;, sans-serif"/>
        <color rgb="FF1155CC"/>
        <sz val="11.0"/>
        <u/>
      </rPr>
      <t>SESSION: AI in Family, Dating and Private Life</t>
    </r>
  </si>
  <si>
    <r>
      <rPr>
        <rFont val="&quot;Merriweather Sans&quot;, sans-serif"/>
        <color rgb="FF1155CC"/>
        <sz val="11.0"/>
        <u/>
      </rPr>
      <t>SESSION: AI in Practice</t>
    </r>
  </si>
  <si>
    <t>Yes</t>
  </si>
  <si>
    <t>Personal Validation Effect in LLMs: Positive AI Responses Bias Perceptions of Validity, Reliability, Personalization, and Usefulness of Fictitious Predictions</t>
  </si>
  <si>
    <r>
      <rPr>
        <rFont val="&quot;Merriweather Sans&quot;, sans-serif"/>
        <color rgb="FF1155CC"/>
        <sz val="11.0"/>
        <u/>
      </rPr>
      <t>SESSION: AI in Work and Expertise</t>
    </r>
  </si>
  <si>
    <r>
      <rPr>
        <rFont val="&quot;Merriweather Sans&quot;, sans-serif"/>
        <color rgb="FF1155CC"/>
        <sz val="11.0"/>
        <u/>
      </rPr>
      <t>SESSION: AI, Learning and Inclusion in Education</t>
    </r>
  </si>
  <si>
    <r>
      <rPr>
        <rFont val="&quot;Merriweather Sans&quot;, sans-serif"/>
        <color rgb="FF1155CC"/>
        <sz val="11.0"/>
        <u/>
      </rPr>
      <t>SESSION: AI, Motivation and Learning</t>
    </r>
  </si>
  <si>
    <r>
      <rPr>
        <rFont val="&quot;Merriweather Sans&quot;, sans-serif"/>
        <color rgb="FF1155CC"/>
        <sz val="11.0"/>
        <u/>
      </rPr>
      <t>SESSION: AI-Assisted Clinical Diagnosis and Reasoning</t>
    </r>
  </si>
  <si>
    <r>
      <rPr>
        <rFont val="&quot;Merriweather Sans&quot;, sans-serif"/>
        <color rgb="FF1155CC"/>
        <sz val="11.0"/>
        <u/>
      </rPr>
      <t>SESSION: AI-Driven Creativity &amp; Design Methods</t>
    </r>
  </si>
  <si>
    <r>
      <rPr>
        <rFont val="&quot;Merriweather Sans&quot;, sans-serif"/>
        <color rgb="FF1155CC"/>
        <sz val="11.0"/>
        <u/>
      </rPr>
      <t>SESSION: Accessibility in Everyday Life</t>
    </r>
  </si>
  <si>
    <r>
      <rPr>
        <rFont val="&quot;Merriweather Sans&quot;, sans-serif"/>
        <color rgb="FF1155CC"/>
        <sz val="11.0"/>
        <u/>
      </rPr>
      <t>SESSION: Affective Agents &amp; Reflective Data</t>
    </r>
  </si>
  <si>
    <r>
      <rPr>
        <rFont val="&quot;Merriweather Sans&quot;, sans-serif"/>
        <color rgb="FF1155CC"/>
        <sz val="11.0"/>
        <u/>
      </rPr>
      <t>SESSION: Aging and Later Life</t>
    </r>
  </si>
  <si>
    <r>
      <rPr>
        <rFont val="&quot;Merriweather Sans&quot;, sans-serif"/>
        <color rgb="FF1155CC"/>
        <sz val="11.0"/>
        <u/>
      </rPr>
      <t>SESSION: Algorithmic Power, Justice and Repression</t>
    </r>
  </si>
  <si>
    <r>
      <rPr>
        <rFont val="&quot;Merriweather Sans&quot;, sans-serif"/>
        <color rgb="FF1155CC"/>
        <sz val="11.0"/>
        <u/>
      </rPr>
      <t>SESSION: Alternative Perspectives</t>
    </r>
  </si>
  <si>
    <r>
      <rPr>
        <rFont val="&quot;Merriweather Sans&quot;, sans-serif"/>
        <color rgb="FF1155CC"/>
        <sz val="11.0"/>
        <u/>
      </rPr>
      <t>SESSION: Animals &amp; Nature</t>
    </r>
  </si>
  <si>
    <r>
      <rPr>
        <rFont val="&quot;Merriweather Sans&quot;, sans-serif"/>
        <color rgb="FF1155CC"/>
        <sz val="11.0"/>
        <u/>
      </rPr>
      <t>SESSION: Assistive Tech and Professional Inclusion</t>
    </r>
  </si>
  <si>
    <r>
      <rPr>
        <rFont val="&quot;Merriweather Sans&quot;, sans-serif"/>
        <color rgb="FF1155CC"/>
        <sz val="11.0"/>
        <u/>
      </rPr>
      <t>SESSION: Augmenting expression and communication</t>
    </r>
  </si>
  <si>
    <r>
      <rPr>
        <rFont val="&quot;Merriweather Sans&quot;, sans-serif"/>
        <color rgb="FF1155CC"/>
        <sz val="11.0"/>
        <u/>
      </rPr>
      <t>SESSION: BIPOC Sovereignty and Care</t>
    </r>
  </si>
  <si>
    <r>
      <rPr>
        <rFont val="&quot;Merriweather Sans&quot;, sans-serif"/>
        <color rgb="FF1155CC"/>
        <sz val="11.0"/>
        <u/>
      </rPr>
      <t>SESSION: Behavior (Change) and Wellbeing</t>
    </r>
  </si>
  <si>
    <r>
      <rPr>
        <rFont val="&quot;Merriweather Sans&quot;, sans-serif"/>
        <color rgb="FF1155CC"/>
        <sz val="11.0"/>
        <u/>
      </rPr>
      <t>SESSION: Blind and Low-Vision Interaction</t>
    </r>
  </si>
  <si>
    <r>
      <rPr>
        <rFont val="&quot;Merriweather Sans&quot;, sans-serif"/>
        <color rgb="FF1155CC"/>
        <sz val="11.0"/>
        <u/>
      </rPr>
      <t>SESSION: Bodies, Care &amp; More Than Human Places</t>
    </r>
  </si>
  <si>
    <r>
      <rPr>
        <rFont val="&quot;Merriweather Sans&quot;, sans-serif"/>
        <color rgb="FF1155CC"/>
        <sz val="11.0"/>
        <u/>
      </rPr>
      <t>SESSION: Captioning, Description, and Media Interaction</t>
    </r>
  </si>
  <si>
    <r>
      <rPr>
        <rFont val="&quot;Merriweather Sans&quot;, sans-serif"/>
        <color rgb="FF1155CC"/>
        <sz val="11.0"/>
        <u/>
      </rPr>
      <t>SESSION: Capturing Experience &amp; Generating Meaning</t>
    </r>
  </si>
  <si>
    <r>
      <rPr>
        <rFont val="&quot;Merriweather Sans&quot;, sans-serif"/>
        <color rgb="FF1155CC"/>
        <sz val="11.0"/>
        <u/>
      </rPr>
      <t>SESSION: Care and Lived Practices</t>
    </r>
  </si>
  <si>
    <r>
      <rPr>
        <rFont val="&quot;Merriweather Sans&quot;, sans-serif"/>
        <color rgb="FF1155CC"/>
        <sz val="11.0"/>
        <u/>
      </rPr>
      <t>SESSION: Care, Disability, &amp; Healthcare Technologies</t>
    </r>
  </si>
  <si>
    <r>
      <rPr>
        <rFont val="&quot;Merriweather Sans&quot;, sans-serif"/>
        <color rgb="FF1155CC"/>
        <sz val="11.0"/>
        <u/>
      </rPr>
      <t>SESSION: Child-Computer Interaction</t>
    </r>
  </si>
  <si>
    <r>
      <rPr>
        <rFont val="&quot;Merriweather Sans&quot;, sans-serif"/>
        <color rgb="FF1155CC"/>
        <sz val="11.0"/>
        <u/>
      </rPr>
      <t>SESSION: Co-Design</t>
    </r>
  </si>
  <si>
    <r>
      <rPr>
        <rFont val="&quot;Merriweather Sans&quot;, sans-serif"/>
        <color rgb="FF1155CC"/>
        <sz val="11.0"/>
        <u/>
      </rPr>
      <t>SESSION: Co-Design and Collaboration</t>
    </r>
  </si>
  <si>
    <r>
      <rPr>
        <rFont val="&quot;Merriweather Sans&quot;, sans-serif"/>
        <color rgb="FF1155CC"/>
        <sz val="11.0"/>
        <u/>
      </rPr>
      <t>SESSION: Co-Design in Motion &amp; High-Stakes Contexts</t>
    </r>
  </si>
  <si>
    <r>
      <rPr>
        <rFont val="&quot;Merriweather Sans&quot;, sans-serif"/>
        <color rgb="FF1155CC"/>
        <sz val="11.0"/>
        <u/>
      </rPr>
      <t>SESSION: Collaborating with AI</t>
    </r>
  </si>
  <si>
    <r>
      <rPr>
        <rFont val="&quot;Merriweather Sans&quot;, sans-serif"/>
        <color rgb="FF1155CC"/>
        <sz val="11.0"/>
        <u/>
      </rPr>
      <t>SESSION: Collaborative Work Systems</t>
    </r>
  </si>
  <si>
    <r>
      <rPr>
        <rFont val="&quot;Merriweather Sans&quot;, sans-serif"/>
        <color rgb="FF1155CC"/>
        <sz val="11.0"/>
        <u/>
      </rPr>
      <t>SESSION: Collaborative/Shared XR</t>
    </r>
  </si>
  <si>
    <r>
      <rPr>
        <rFont val="&quot;Merriweather Sans&quot;, sans-serif"/>
        <color rgb="FF1155CC"/>
        <sz val="11.0"/>
        <u/>
      </rPr>
      <t>SESSION: Collective Infrastructure</t>
    </r>
  </si>
  <si>
    <r>
      <rPr>
        <rFont val="&quot;Merriweather Sans&quot;, sans-serif"/>
        <color rgb="FF1155CC"/>
        <sz val="11.0"/>
        <u/>
      </rPr>
      <t>SESSION: Communication</t>
    </r>
  </si>
  <si>
    <r>
      <rPr>
        <rFont val="&quot;Merriweather Sans&quot;, sans-serif"/>
        <color rgb="FF1155CC"/>
        <sz val="11.0"/>
        <u/>
      </rPr>
      <t>SESSION: Community Governance and Moderation</t>
    </r>
  </si>
  <si>
    <r>
      <rPr>
        <rFont val="&quot;Merriweather Sans&quot;, sans-serif"/>
        <color rgb="FF1155CC"/>
        <sz val="11.0"/>
        <u/>
      </rPr>
      <t>SESSION: Community Practices</t>
    </r>
  </si>
  <si>
    <r>
      <rPr>
        <rFont val="&quot;Merriweather Sans&quot;, sans-serif"/>
        <color rgb="FF1155CC"/>
        <sz val="11.0"/>
        <u/>
      </rPr>
      <t>SESSION: Consent, Risk, and Everyday Ethics</t>
    </r>
  </si>
  <si>
    <r>
      <rPr>
        <rFont val="&quot;Merriweather Sans&quot;, sans-serif"/>
        <color rgb="FF1155CC"/>
        <sz val="11.0"/>
        <u/>
      </rPr>
      <t>SESSION: Context-aware Interfaces for Mobility &amp; Automation</t>
    </r>
  </si>
  <si>
    <r>
      <rPr>
        <rFont val="&quot;Merriweather Sans&quot;, sans-serif"/>
        <color rgb="FF1155CC"/>
        <sz val="11.0"/>
        <u/>
      </rPr>
      <t>SESSION: Context-specific Studies and Perspectives</t>
    </r>
  </si>
  <si>
    <r>
      <rPr>
        <rFont val="&quot;Merriweather Sans&quot;, sans-serif"/>
        <color rgb="FF1155CC"/>
        <sz val="11.0"/>
        <u/>
      </rPr>
      <t>SESSION: Conversational AI</t>
    </r>
  </si>
  <si>
    <r>
      <rPr>
        <rFont val="&quot;Merriweather Sans&quot;, sans-serif"/>
        <color rgb="FF1155CC"/>
        <sz val="11.0"/>
        <u/>
      </rPr>
      <t>SESSION: Conversational AI, Agency and Control</t>
    </r>
  </si>
  <si>
    <r>
      <rPr>
        <rFont val="&quot;Merriweather Sans&quot;, sans-serif"/>
        <color rgb="FF1155CC"/>
        <sz val="11.0"/>
        <u/>
      </rPr>
      <t>SESSION: Creating with AI</t>
    </r>
  </si>
  <si>
    <r>
      <rPr>
        <rFont val="&quot;Merriweather Sans&quot;, sans-serif"/>
        <color rgb="FF1155CC"/>
        <sz val="11.0"/>
        <u/>
      </rPr>
      <t>SESSION: Creativity and Innovation</t>
    </r>
  </si>
  <si>
    <r>
      <rPr>
        <rFont val="&quot;Merriweather Sans&quot;, sans-serif"/>
        <color rgb="FF1155CC"/>
        <sz val="11.0"/>
        <u/>
      </rPr>
      <t>SESSION: Critical Reflections on AI</t>
    </r>
  </si>
  <si>
    <r>
      <rPr>
        <rFont val="&quot;Merriweather Sans&quot;, sans-serif"/>
        <color rgb="FF1155CC"/>
        <sz val="11.0"/>
        <u/>
      </rPr>
      <t>SESSION: Dark Patterns, Deception, and Manipulative Interfaces</t>
    </r>
  </si>
  <si>
    <r>
      <rPr>
        <rFont val="&quot;Merriweather Sans&quot;, sans-serif"/>
        <color rgb="FF1155CC"/>
        <sz val="11.0"/>
        <u/>
      </rPr>
      <t>SESSION: Data Visualization Designs and Tools</t>
    </r>
  </si>
  <si>
    <r>
      <rPr>
        <rFont val="&quot;Merriweather Sans&quot;, sans-serif"/>
        <color rgb="FF1155CC"/>
        <sz val="11.0"/>
        <u/>
      </rPr>
      <t>SESSION: Data Work</t>
    </r>
  </si>
  <si>
    <r>
      <rPr>
        <rFont val="&quot;Merriweather Sans&quot;, sans-serif"/>
        <color rgb="FF1155CC"/>
        <sz val="11.0"/>
        <u/>
      </rPr>
      <t>SESSION: Design Methods and Frameworks</t>
    </r>
  </si>
  <si>
    <r>
      <rPr>
        <rFont val="&quot;Merriweather Sans&quot;, sans-serif"/>
        <color rgb="FF1155CC"/>
        <sz val="11.0"/>
        <u/>
      </rPr>
      <t>SESSION: Designing Care Futures</t>
    </r>
  </si>
  <si>
    <r>
      <rPr>
        <rFont val="&quot;Merriweather Sans&quot;, sans-serif"/>
        <color rgb="FF1155CC"/>
        <sz val="11.0"/>
        <u/>
      </rPr>
      <t>SESSION: Designing Creative GenAI Tools</t>
    </r>
  </si>
  <si>
    <r>
      <rPr>
        <rFont val="&quot;Merriweather Sans&quot;, sans-serif"/>
        <color rgb="FF1155CC"/>
        <sz val="11.0"/>
        <u/>
      </rPr>
      <t>SESSION: Designing Data Visualizations</t>
    </r>
  </si>
  <si>
    <r>
      <rPr>
        <rFont val="&quot;Merriweather Sans&quot;, sans-serif"/>
        <color rgb="FF1155CC"/>
        <sz val="11.0"/>
        <u/>
      </rPr>
      <t>SESSION: Designing Player Experience</t>
    </r>
  </si>
  <si>
    <r>
      <rPr>
        <rFont val="&quot;Merriweather Sans&quot;, sans-serif"/>
        <color rgb="FF1155CC"/>
        <sz val="11.0"/>
        <u/>
      </rPr>
      <t>SESSION: Designing XR Interaction</t>
    </r>
  </si>
  <si>
    <r>
      <rPr>
        <rFont val="&quot;Merriweather Sans&quot;, sans-serif"/>
        <color rgb="FF1155CC"/>
        <sz val="11.0"/>
        <u/>
      </rPr>
      <t>SESSION: Designing for Sensory Access</t>
    </r>
  </si>
  <si>
    <r>
      <rPr>
        <rFont val="&quot;Merriweather Sans&quot;, sans-serif"/>
        <color rgb="FF1155CC"/>
        <sz val="11.0"/>
        <u/>
      </rPr>
      <t>SESSION: Designing with Older Adults</t>
    </r>
  </si>
  <si>
    <r>
      <rPr>
        <rFont val="&quot;Merriweather Sans&quot;, sans-serif"/>
        <color rgb="FF1155CC"/>
        <sz val="11.0"/>
        <u/>
      </rPr>
      <t>SESSION: Digital Wellbeing Frameworks and Design Strategies</t>
    </r>
  </si>
  <si>
    <r>
      <rPr>
        <rFont val="&quot;Merriweather Sans&quot;, sans-serif"/>
        <color rgb="FF1155CC"/>
        <sz val="11.0"/>
        <u/>
      </rPr>
      <t>SESSION: Discussions</t>
    </r>
  </si>
  <si>
    <r>
      <rPr>
        <rFont val="&quot;Merriweather Sans&quot;, sans-serif"/>
        <color rgb="FF1155CC"/>
        <sz val="11.0"/>
        <u/>
      </rPr>
      <t>SESSION: Diversity and Inclusion</t>
    </r>
  </si>
  <si>
    <r>
      <rPr>
        <rFont val="&quot;Merriweather Sans&quot;, sans-serif"/>
        <color rgb="FF1155CC"/>
        <sz val="11.0"/>
        <u/>
      </rPr>
      <t>SESSION: Domain Specific Systems</t>
    </r>
  </si>
  <si>
    <r>
      <rPr>
        <rFont val="&quot;Merriweather Sans&quot;, sans-serif"/>
        <color rgb="FF1155CC"/>
        <sz val="11.0"/>
        <u/>
      </rPr>
      <t>SESSION: Driving Innovation</t>
    </r>
  </si>
  <si>
    <r>
      <rPr>
        <rFont val="&quot;Merriweather Sans&quot;, sans-serif"/>
        <color rgb="FF1155CC"/>
        <sz val="11.0"/>
        <u/>
      </rPr>
      <t>SESSION: Eating Behaviors and Food-Related Technologies</t>
    </r>
  </si>
  <si>
    <r>
      <rPr>
        <rFont val="&quot;Merriweather Sans&quot;, sans-serif"/>
        <color rgb="FF1155CC"/>
        <sz val="11.0"/>
        <u/>
      </rPr>
      <t>SESSION: Ecological HCI and Urbanism</t>
    </r>
  </si>
  <si>
    <r>
      <rPr>
        <rFont val="&quot;Merriweather Sans&quot;, sans-serif"/>
        <color rgb="FF1155CC"/>
        <sz val="11.0"/>
        <u/>
      </rPr>
      <t>SESSION: Education</t>
    </r>
  </si>
  <si>
    <r>
      <rPr>
        <rFont val="&quot;Merriweather Sans&quot;, sans-serif"/>
        <color rgb="FF1155CC"/>
        <sz val="11.0"/>
        <u/>
      </rPr>
      <t>SESSION: Educational Support</t>
    </r>
  </si>
  <si>
    <r>
      <rPr>
        <rFont val="&quot;Merriweather Sans&quot;, sans-serif"/>
        <color rgb="FF1155CC"/>
        <sz val="11.0"/>
        <u/>
      </rPr>
      <t>SESSION: Electrical Stimulation</t>
    </r>
  </si>
  <si>
    <t>Cindy</t>
  </si>
  <si>
    <r>
      <rPr>
        <rFont val="&quot;Merriweather Sans&quot;, sans-serif"/>
        <color rgb="FF1155CC"/>
        <sz val="11.0"/>
        <u/>
      </rPr>
      <t>SESSION: Embodied AR/XR</t>
    </r>
  </si>
  <si>
    <r>
      <rPr>
        <rFont val="&quot;Merriweather Sans&quot;, sans-serif"/>
        <color rgb="FF1155CC"/>
        <sz val="11.0"/>
        <u/>
      </rPr>
      <t>SESSION: Embodied Interaction and Soma Design</t>
    </r>
  </si>
  <si>
    <r>
      <rPr>
        <rFont val="&quot;Merriweather Sans&quot;, sans-serif"/>
        <color rgb="FF1155CC"/>
        <sz val="11.0"/>
        <u/>
      </rPr>
      <t>SESSION: Embodied Interaction and Wearables</t>
    </r>
  </si>
  <si>
    <r>
      <rPr>
        <rFont val="&quot;Merriweather Sans&quot;, sans-serif"/>
        <color rgb="FF1155CC"/>
        <sz val="11.0"/>
        <u/>
      </rPr>
      <t>SESSION: Emergency and Serious Illness Care</t>
    </r>
  </si>
  <si>
    <r>
      <rPr>
        <rFont val="&quot;Merriweather Sans&quot;, sans-serif"/>
        <color rgb="FF1155CC"/>
        <sz val="11.0"/>
        <u/>
      </rPr>
      <t>SESSION: Enabling Private &amp; Smart Architectures and Spaces</t>
    </r>
  </si>
  <si>
    <r>
      <rPr>
        <rFont val="&quot;Merriweather Sans&quot;, sans-serif"/>
        <color rgb="FF1155CC"/>
        <sz val="11.0"/>
        <u/>
      </rPr>
      <t>SESSION: Environment and Sustainability</t>
    </r>
  </si>
  <si>
    <r>
      <rPr>
        <rFont val="&quot;Merriweather Sans&quot;, sans-serif"/>
        <color rgb="FF1155CC"/>
        <sz val="11.0"/>
        <u/>
      </rPr>
      <t>SESSION: Envisioning the Future</t>
    </r>
  </si>
  <si>
    <r>
      <rPr>
        <rFont val="&quot;Merriweather Sans&quot;, sans-serif"/>
        <color rgb="FF1155CC"/>
        <sz val="11.0"/>
        <u/>
      </rPr>
      <t>SESSION: Ethics, Inclusion &amp; Algorithmic Impact</t>
    </r>
  </si>
  <si>
    <r>
      <rPr>
        <rFont val="&quot;Merriweather Sans&quot;, sans-serif"/>
        <color rgb="FF1155CC"/>
        <sz val="11.0"/>
        <u/>
      </rPr>
      <t>SESSION: Experiencing Virtual Worlds (XR)</t>
    </r>
  </si>
  <si>
    <r>
      <rPr>
        <rFont val="&quot;Merriweather Sans&quot;, sans-serif"/>
        <color rgb="FF1155CC"/>
        <sz val="11.0"/>
        <u/>
      </rPr>
      <t>SESSION: Explaining and Evaluating AI Systems</t>
    </r>
  </si>
  <si>
    <r>
      <rPr>
        <rFont val="&quot;Merriweather Sans&quot;, sans-serif"/>
        <color rgb="FF1155CC"/>
        <sz val="11.0"/>
        <u/>
      </rPr>
      <t>SESSION: Expression and Affective Wellbeing</t>
    </r>
  </si>
  <si>
    <r>
      <rPr>
        <rFont val="&quot;Merriweather Sans&quot;, sans-serif"/>
        <color rgb="FF1155CC"/>
        <sz val="11.0"/>
        <u/>
      </rPr>
      <t>SESSION: Extended Reality &amp; Immersive Systems</t>
    </r>
  </si>
  <si>
    <r>
      <rPr>
        <rFont val="&quot;Merriweather Sans&quot;, sans-serif"/>
        <color rgb="FF1155CC"/>
        <sz val="11.0"/>
        <u/>
      </rPr>
      <t>SESSION: Extended Reality &amp; Immersive Systems II</t>
    </r>
  </si>
  <si>
    <r>
      <rPr>
        <rFont val="&quot;Merriweather Sans&quot;, sans-serif"/>
        <color rgb="FF1155CC"/>
        <sz val="11.0"/>
        <u/>
      </rPr>
      <t>SESSION: Fabrication, Fashion, &amp; Modular Systems</t>
    </r>
  </si>
  <si>
    <r>
      <rPr>
        <rFont val="&quot;Merriweather Sans&quot;, sans-serif"/>
        <color rgb="FF1155CC"/>
        <sz val="11.0"/>
        <u/>
      </rPr>
      <t>SESSION: Families, Informal Learning &amp; Home Contexts</t>
    </r>
  </si>
  <si>
    <r>
      <rPr>
        <rFont val="&quot;Merriweather Sans&quot;, sans-serif"/>
        <color rgb="FF1155CC"/>
        <sz val="11.0"/>
        <u/>
      </rPr>
      <t>SESSION: Family Caregiving and Support Technologies</t>
    </r>
  </si>
  <si>
    <r>
      <rPr>
        <rFont val="&quot;Merriweather Sans&quot;, sans-serif"/>
        <color rgb="FF1155CC"/>
        <sz val="11.0"/>
        <u/>
      </rPr>
      <t>SESSION: FinTech / Governance</t>
    </r>
  </si>
  <si>
    <r>
      <rPr>
        <rFont val="&quot;Merriweather Sans&quot;, sans-serif"/>
        <color rgb="FF1155CC"/>
        <sz val="11.0"/>
        <u/>
      </rPr>
      <t>SESSION: Gaze as Input</t>
    </r>
  </si>
  <si>
    <r>
      <rPr>
        <rFont val="&quot;Merriweather Sans&quot;, sans-serif"/>
        <color rgb="FF1155CC"/>
        <sz val="11.0"/>
        <u/>
      </rPr>
      <t>SESSION: Gendered Experiences</t>
    </r>
  </si>
  <si>
    <r>
      <rPr>
        <rFont val="&quot;Merriweather Sans&quot;, sans-serif"/>
        <color rgb="FF1155CC"/>
        <sz val="11.0"/>
        <u/>
      </rPr>
      <t>SESSION: Generative AI and Creative Workflows</t>
    </r>
  </si>
  <si>
    <r>
      <rPr>
        <rFont val="&quot;Merriweather Sans&quot;, sans-serif"/>
        <color rgb="FF1155CC"/>
        <sz val="11.0"/>
        <u/>
      </rPr>
      <t>SESSION: Generative AI in Design and Practice</t>
    </r>
  </si>
  <si>
    <r>
      <rPr>
        <rFont val="&quot;Merriweather Sans&quot;, sans-serif"/>
        <color rgb="FF1155CC"/>
        <sz val="11.0"/>
        <u/>
      </rPr>
      <t>SESSION: Generative AI in Education</t>
    </r>
  </si>
  <si>
    <r>
      <rPr>
        <rFont val="&quot;Merriweather Sans&quot;, sans-serif"/>
        <color rgb="FF1155CC"/>
        <sz val="11.0"/>
        <u/>
      </rPr>
      <t>SESSION: Gestures &amp; Communication</t>
    </r>
  </si>
  <si>
    <r>
      <rPr>
        <rFont val="&quot;Merriweather Sans&quot;, sans-serif"/>
        <color rgb="FF1155CC"/>
        <sz val="11.0"/>
        <u/>
      </rPr>
      <t>SESSION: Getting Emotional</t>
    </r>
  </si>
  <si>
    <r>
      <rPr>
        <rFont val="&quot;Merriweather Sans&quot;, sans-serif"/>
        <color rgb="FF1155CC"/>
        <sz val="11.0"/>
        <u/>
      </rPr>
      <t>SESSION: Group Work</t>
    </r>
  </si>
  <si>
    <r>
      <rPr>
        <rFont val="&quot;Merriweather Sans&quot;, sans-serif"/>
        <color rgb="FF1155CC"/>
        <sz val="11.0"/>
        <u/>
      </rPr>
      <t>SESSION: HCAI and Collaboration</t>
    </r>
  </si>
  <si>
    <r>
      <rPr>
        <rFont val="&quot;Merriweather Sans&quot;, sans-serif"/>
        <color rgb="FF1155CC"/>
        <sz val="11.0"/>
        <u/>
      </rPr>
      <t>SESSION: Hand Pose &amp; Gestures</t>
    </r>
  </si>
  <si>
    <r>
      <rPr>
        <rFont val="&quot;Merriweather Sans&quot;, sans-serif"/>
        <color rgb="FF1155CC"/>
        <sz val="11.0"/>
        <u/>
      </rPr>
      <t>SESSION: Haptic and Multisensory Feedback</t>
    </r>
  </si>
  <si>
    <r>
      <rPr>
        <rFont val="&quot;Merriweather Sans&quot;, sans-serif"/>
        <color rgb="FF1155CC"/>
        <sz val="11.0"/>
        <u/>
      </rPr>
      <t>SESSION: Haptic, Touch, and Physical Display</t>
    </r>
  </si>
  <si>
    <r>
      <rPr>
        <rFont val="&quot;Merriweather Sans&quot;, sans-serif"/>
        <color rgb="FF1155CC"/>
        <sz val="11.0"/>
        <u/>
      </rPr>
      <t>SESSION: Haptics + XR</t>
    </r>
  </si>
  <si>
    <r>
      <rPr>
        <rFont val="&quot;Merriweather Sans&quot;, sans-serif"/>
        <color rgb="FF1155CC"/>
        <sz val="11.0"/>
        <u/>
      </rPr>
      <t>SESSION: Haptics, Wearables &amp; Embodied Interaction</t>
    </r>
  </si>
  <si>
    <r>
      <rPr>
        <rFont val="&quot;Merriweather Sans&quot;, sans-serif"/>
        <color rgb="FF1155CC"/>
        <sz val="11.0"/>
        <u/>
      </rPr>
      <t>SESSION: Health Equity and Underserved Populations</t>
    </r>
  </si>
  <si>
    <r>
      <rPr>
        <rFont val="&quot;Merriweather Sans&quot;, sans-serif"/>
        <color rgb="FF1155CC"/>
        <sz val="11.0"/>
        <u/>
      </rPr>
      <t>SESSION: Health Tools and Technologies</t>
    </r>
  </si>
  <si>
    <r>
      <rPr>
        <rFont val="&quot;Merriweather Sans&quot;, sans-serif"/>
        <color rgb="FF1155CC"/>
        <sz val="11.0"/>
        <u/>
      </rPr>
      <t>SESSION: Heritage, Memory, &amp; Speculative Narratives</t>
    </r>
  </si>
  <si>
    <r>
      <rPr>
        <rFont val="&quot;Merriweather Sans&quot;, sans-serif"/>
        <color rgb="FF1155CC"/>
        <sz val="11.0"/>
        <u/>
      </rPr>
      <t>SESSION: Human Behavior with AI Systems</t>
    </r>
  </si>
  <si>
    <r>
      <rPr>
        <rFont val="&quot;Merriweather Sans&quot;, sans-serif"/>
        <color rgb="FF1155CC"/>
        <sz val="11.0"/>
        <u/>
      </rPr>
      <t>SESSION: Human Steering and Interaction with AI</t>
    </r>
  </si>
  <si>
    <r>
      <rPr>
        <rFont val="&quot;Merriweather Sans&quot;, sans-serif"/>
        <color rgb="FF1155CC"/>
        <sz val="11.0"/>
        <u/>
      </rPr>
      <t>SESSION: Human-AI Decision Making</t>
    </r>
  </si>
  <si>
    <r>
      <rPr>
        <rFont val="&quot;Merriweather Sans&quot;, sans-serif"/>
        <color rgb="FF1155CC"/>
        <sz val="11.0"/>
        <u/>
      </rPr>
      <t>SESSION: Human-AI Interaction &amp; GenAI</t>
    </r>
  </si>
  <si>
    <r>
      <rPr>
        <rFont val="&quot;Merriweather Sans&quot;, sans-serif"/>
        <color rgb="FF1155CC"/>
        <sz val="11.0"/>
        <u/>
      </rPr>
      <t>SESSION: Human-Robot Interaction</t>
    </r>
  </si>
  <si>
    <r>
      <rPr>
        <rFont val="&quot;Merriweather Sans&quot;, sans-serif"/>
        <color rgb="FF1155CC"/>
        <sz val="11.0"/>
        <u/>
      </rPr>
      <t>SESSION: Human-Robot Interaction &amp; Embodied Sensing</t>
    </r>
  </si>
  <si>
    <r>
      <rPr>
        <rFont val="&quot;Merriweather Sans&quot;, sans-serif"/>
        <color rgb="FF1155CC"/>
        <sz val="11.0"/>
        <u/>
      </rPr>
      <t>SESSION: Human-in-the-Loop Machine Learning Interfaces</t>
    </r>
  </si>
  <si>
    <r>
      <rPr>
        <rFont val="&quot;Merriweather Sans&quot;, sans-serif"/>
        <color rgb="FF1155CC"/>
        <sz val="11.0"/>
        <u/>
      </rPr>
      <t>SESSION: Identity, Culture, and Games for Social Impact</t>
    </r>
  </si>
  <si>
    <r>
      <rPr>
        <rFont val="&quot;Merriweather Sans&quot;, sans-serif"/>
        <color rgb="FF1155CC"/>
        <sz val="11.0"/>
        <u/>
      </rPr>
      <t>SESSION: Immersive Play and Spatial Computing</t>
    </r>
  </si>
  <si>
    <r>
      <rPr>
        <rFont val="&quot;Merriweather Sans&quot;, sans-serif"/>
        <color rgb="FF1155CC"/>
        <sz val="11.0"/>
        <u/>
      </rPr>
      <t>SESSION: Immersive and Spatial Visualization</t>
    </r>
  </si>
  <si>
    <r>
      <rPr>
        <rFont val="&quot;Merriweather Sans&quot;, sans-serif"/>
        <color rgb="FF1155CC"/>
        <sz val="11.0"/>
        <u/>
      </rPr>
      <t>SESSION: Inferring Human State</t>
    </r>
  </si>
  <si>
    <r>
      <rPr>
        <rFont val="&quot;Merriweather Sans&quot;, sans-serif"/>
        <color rgb="FF1155CC"/>
        <sz val="11.0"/>
        <u/>
      </rPr>
      <t>SESSION: Intelligent Feedback &amp; Learning Design</t>
    </r>
  </si>
  <si>
    <r>
      <rPr>
        <rFont val="&quot;Merriweather Sans&quot;, sans-serif"/>
        <color rgb="FF1155CC"/>
        <sz val="11.0"/>
        <u/>
      </rPr>
      <t>SESSION: Interactive Design Systems for Fabrication</t>
    </r>
  </si>
  <si>
    <r>
      <rPr>
        <rFont val="&quot;Merriweather Sans&quot;, sans-serif"/>
        <color rgb="FF1155CC"/>
        <sz val="11.0"/>
        <u/>
      </rPr>
      <t>SESSION: Interactive Prompting, Chaining, and LLM Orchestration Tools</t>
    </r>
  </si>
  <si>
    <r>
      <rPr>
        <rFont val="&quot;Merriweather Sans&quot;, sans-serif"/>
        <color rgb="FF1155CC"/>
        <sz val="11.0"/>
        <u/>
      </rPr>
      <t>SESSION: Interactive Systems for Teaching, Learning, and Concept Formation</t>
    </r>
  </si>
  <si>
    <r>
      <rPr>
        <rFont val="&quot;Merriweather Sans&quot;, sans-serif"/>
        <color rgb="FF1155CC"/>
        <sz val="11.0"/>
        <u/>
      </rPr>
      <t>SESSION: Interactive Visualization for Model Inspection and Debugging</t>
    </r>
  </si>
  <si>
    <r>
      <rPr>
        <rFont val="&quot;Merriweather Sans&quot;, sans-serif"/>
        <color rgb="FF1155CC"/>
        <sz val="11.0"/>
        <u/>
      </rPr>
      <t>SESSION: Justice, Surveillance and Marginalized Identities</t>
    </r>
  </si>
  <si>
    <r>
      <rPr>
        <rFont val="&quot;Merriweather Sans&quot;, sans-serif"/>
        <color rgb="FF1155CC"/>
        <sz val="11.0"/>
        <u/>
      </rPr>
      <t>SESSION: LLM Interaction &amp; Conversational Agents</t>
    </r>
  </si>
  <si>
    <r>
      <rPr>
        <rFont val="&quot;Merriweather Sans&quot;, sans-serif"/>
        <color rgb="FF1155CC"/>
        <sz val="11.0"/>
        <u/>
      </rPr>
      <t>SESSION: LLM Interactions and Generative AI Mechanics</t>
    </r>
  </si>
  <si>
    <r>
      <rPr>
        <rFont val="&quot;Merriweather Sans&quot;, sans-serif"/>
        <color rgb="FF1155CC"/>
        <sz val="11.0"/>
        <u/>
      </rPr>
      <t>SESSION: LLM-Assisted Writing and Authoring</t>
    </r>
  </si>
  <si>
    <r>
      <rPr>
        <rFont val="&quot;Merriweather Sans&quot;, sans-serif"/>
        <color rgb="FF1155CC"/>
        <sz val="11.0"/>
        <u/>
      </rPr>
      <t>SESSION: Labor, Data and Ethics</t>
    </r>
  </si>
  <si>
    <r>
      <rPr>
        <rFont val="&quot;Merriweather Sans&quot;, sans-serif"/>
        <color rgb="FF1155CC"/>
        <sz val="11.0"/>
        <u/>
      </rPr>
      <t>SESSION: Labor, Equity and the Hidden Economy</t>
    </r>
  </si>
  <si>
    <r>
      <rPr>
        <rFont val="&quot;Merriweather Sans&quot;, sans-serif"/>
        <color rgb="FF1155CC"/>
        <sz val="11.0"/>
        <u/>
      </rPr>
      <t>SESSION: Learning in the AI Era</t>
    </r>
  </si>
  <si>
    <r>
      <rPr>
        <rFont val="&quot;Merriweather Sans&quot;, sans-serif"/>
        <color rgb="FF1155CC"/>
        <sz val="11.0"/>
        <u/>
      </rPr>
      <t>SESSION: Learning, Training, and Self-Development with AI</t>
    </r>
  </si>
  <si>
    <r>
      <rPr>
        <rFont val="&quot;Merriweather Sans&quot;, sans-serif"/>
        <color rgb="FF1155CC"/>
        <sz val="11.0"/>
        <u/>
      </rPr>
      <t>SESSION: Liars &amp; Deepfakes</t>
    </r>
  </si>
  <si>
    <r>
      <rPr>
        <rFont val="&quot;Merriweather Sans&quot;, sans-serif"/>
        <color rgb="FF1155CC"/>
        <sz val="11.0"/>
        <u/>
      </rPr>
      <t>SESSION: Living with AI/LLMs</t>
    </r>
  </si>
  <si>
    <r>
      <rPr>
        <rFont val="&quot;Merriweather Sans&quot;, sans-serif"/>
        <color rgb="FF1155CC"/>
        <sz val="11.0"/>
        <u/>
      </rPr>
      <t>SESSION: Living with Robots</t>
    </r>
  </si>
  <si>
    <r>
      <rPr>
        <rFont val="&quot;Merriweather Sans&quot;, sans-serif"/>
        <color rgb="FF1155CC"/>
        <sz val="11.0"/>
        <u/>
      </rPr>
      <t>SESSION: Margins</t>
    </r>
  </si>
  <si>
    <r>
      <rPr>
        <rFont val="&quot;Merriweather Sans&quot;, sans-serif"/>
        <color rgb="FF1155CC"/>
        <sz val="11.0"/>
        <u/>
      </rPr>
      <t>SESSION: Memory and Interaction</t>
    </r>
  </si>
  <si>
    <r>
      <rPr>
        <rFont val="&quot;Merriweather Sans&quot;, sans-serif"/>
        <color rgb="FF1155CC"/>
        <sz val="11.0"/>
        <u/>
      </rPr>
      <t>SESSION: Mental Health Chatbots and Conversational Agents</t>
    </r>
  </si>
  <si>
    <r>
      <rPr>
        <rFont val="&quot;Merriweather Sans&quot;, sans-serif"/>
        <color rgb="FF1155CC"/>
        <sz val="11.0"/>
        <u/>
      </rPr>
      <t>SESSION: Mental Wellbeing</t>
    </r>
  </si>
  <si>
    <r>
      <rPr>
        <rFont val="&quot;Merriweather Sans&quot;, sans-serif"/>
        <color rgb="FF1155CC"/>
        <sz val="11.0"/>
        <u/>
      </rPr>
      <t>SESSION: Methodological Foundations</t>
    </r>
  </si>
  <si>
    <r>
      <rPr>
        <rFont val="&quot;Merriweather Sans&quot;, sans-serif"/>
        <color rgb="FF1155CC"/>
        <sz val="11.0"/>
        <u/>
      </rPr>
      <t>SESSION: Methods, Reviews &amp; Ethical Futures</t>
    </r>
  </si>
  <si>
    <r>
      <rPr>
        <rFont val="&quot;Merriweather Sans&quot;, sans-serif"/>
        <color rgb="FF1155CC"/>
        <sz val="11.0"/>
        <u/>
      </rPr>
      <t>SESSION: Mindfulness, Breathing, and Biofeedback Technologies</t>
    </r>
  </si>
  <si>
    <r>
      <rPr>
        <rFont val="&quot;Merriweather Sans&quot;, sans-serif"/>
        <color rgb="FF1155CC"/>
        <sz val="11.0"/>
        <u/>
      </rPr>
      <t>SESSION: Mixed-Reality Systems for Spatial Understanding and Navigation</t>
    </r>
  </si>
  <si>
    <r>
      <rPr>
        <rFont val="&quot;Merriweather Sans&quot;, sans-serif"/>
        <color rgb="FF1155CC"/>
        <sz val="11.0"/>
        <u/>
      </rPr>
      <t>SESSION: Modeling Human Performance &amp; Motion</t>
    </r>
  </si>
  <si>
    <r>
      <rPr>
        <rFont val="&quot;Merriweather Sans&quot;, sans-serif"/>
        <color rgb="FF1155CC"/>
        <sz val="11.0"/>
        <u/>
      </rPr>
      <t>SESSION: Modeling Minds and Mentalities</t>
    </r>
  </si>
  <si>
    <r>
      <rPr>
        <rFont val="&quot;Merriweather Sans&quot;, sans-serif"/>
        <color rgb="FF1155CC"/>
        <sz val="11.0"/>
        <u/>
      </rPr>
      <t>SESSION: Modeling Spatial, Linguistic, and Sensory Errors</t>
    </r>
  </si>
  <si>
    <r>
      <rPr>
        <rFont val="&quot;Merriweather Sans&quot;, sans-serif"/>
        <color rgb="FF1155CC"/>
        <sz val="11.0"/>
        <u/>
      </rPr>
      <t>SESSION: More-than-Human &amp; Multispecies Design</t>
    </r>
  </si>
  <si>
    <r>
      <rPr>
        <rFont val="&quot;Merriweather Sans&quot;, sans-serif"/>
        <color rgb="FF1155CC"/>
        <sz val="11.0"/>
        <u/>
      </rPr>
      <t>SESSION: Movement and Going Places</t>
    </r>
  </si>
  <si>
    <r>
      <rPr>
        <rFont val="&quot;Merriweather Sans&quot;, sans-serif"/>
        <color rgb="FF1155CC"/>
        <sz val="11.0"/>
        <u/>
      </rPr>
      <t>SESSION: Movement-based Games, Sports, and Coaching</t>
    </r>
  </si>
  <si>
    <r>
      <rPr>
        <rFont val="&quot;Merriweather Sans&quot;, sans-serif"/>
        <color rgb="FF1155CC"/>
        <sz val="11.0"/>
        <u/>
      </rPr>
      <t>SESSION: Multi-Agent Reasoning Systems for Sensemaking and Planning</t>
    </r>
  </si>
  <si>
    <r>
      <rPr>
        <rFont val="&quot;Merriweather Sans&quot;, sans-serif"/>
        <color rgb="FF1155CC"/>
        <sz val="11.0"/>
        <u/>
      </rPr>
      <t>SESSION: Music to My Ears</t>
    </r>
  </si>
  <si>
    <r>
      <rPr>
        <rFont val="&quot;Merriweather Sans&quot;, sans-serif"/>
        <color rgb="FF1155CC"/>
        <sz val="11.0"/>
        <u/>
      </rPr>
      <t>SESSION: Navigating Biases in Accessibility and Aging</t>
    </r>
  </si>
  <si>
    <t>Rudranil</t>
  </si>
  <si>
    <r>
      <rPr>
        <rFont val="&quot;Merriweather Sans&quot;, sans-serif"/>
        <color rgb="FF1155CC"/>
        <sz val="11.0"/>
        <u/>
      </rPr>
      <t>SESSION: Negotiating Health, Identity, and Belief</t>
    </r>
  </si>
  <si>
    <r>
      <rPr>
        <rFont val="&quot;Merriweather Sans&quot;, sans-serif"/>
        <color rgb="FF1155CC"/>
        <sz val="11.0"/>
        <u/>
      </rPr>
      <t>SESSION: Neurodiversity, Mental Health. and Wellbeing in Games</t>
    </r>
  </si>
  <si>
    <r>
      <rPr>
        <rFont val="&quot;Merriweather Sans&quot;, sans-serif"/>
        <color rgb="FF1155CC"/>
        <sz val="11.0"/>
        <u/>
      </rPr>
      <t>SESSION: Non-visual and conversational experiences</t>
    </r>
  </si>
  <si>
    <r>
      <rPr>
        <rFont val="&quot;Merriweather Sans&quot;, sans-serif"/>
        <color rgb="FF1155CC"/>
        <sz val="11.0"/>
        <u/>
      </rPr>
      <t>SESSION: Novel Mobile and Tangible Interactions</t>
    </r>
  </si>
  <si>
    <r>
      <rPr>
        <rFont val="&quot;Merriweather Sans&quot;, sans-serif"/>
        <color rgb="FF1155CC"/>
        <sz val="11.0"/>
        <u/>
      </rPr>
      <t>SESSION: Online &amp; Citizen Communities</t>
    </r>
  </si>
  <si>
    <r>
      <rPr>
        <rFont val="&quot;Merriweather Sans&quot;, sans-serif"/>
        <color rgb="FF1155CC"/>
        <sz val="11.0"/>
        <u/>
      </rPr>
      <t>SESSION: Online Cultures and Creator Economies</t>
    </r>
  </si>
  <si>
    <r>
      <rPr>
        <rFont val="&quot;Merriweather Sans&quot;, sans-serif"/>
        <color rgb="FF1155CC"/>
        <sz val="11.0"/>
        <u/>
      </rPr>
      <t>SESSION: Optimizing Interactive Systems</t>
    </r>
  </si>
  <si>
    <r>
      <rPr>
        <rFont val="&quot;Merriweather Sans&quot;, sans-serif"/>
        <color rgb="FF1155CC"/>
        <sz val="11.0"/>
        <u/>
      </rPr>
      <t>SESSION: People and Data</t>
    </r>
  </si>
  <si>
    <r>
      <rPr>
        <rFont val="&quot;Merriweather Sans&quot;, sans-serif"/>
        <color rgb="FF1155CC"/>
        <sz val="11.0"/>
        <u/>
      </rPr>
      <t>SESSION: Perception &amp; Cognition in Data Visualization</t>
    </r>
  </si>
  <si>
    <r>
      <rPr>
        <rFont val="&quot;Merriweather Sans&quot;, sans-serif"/>
        <color rgb="FF1155CC"/>
        <sz val="11.0"/>
        <u/>
      </rPr>
      <t>SESSION: Personalization and Human-AI Alignment</t>
    </r>
  </si>
  <si>
    <r>
      <rPr>
        <rFont val="&quot;Merriweather Sans&quot;, sans-serif"/>
        <color rgb="FF1155CC"/>
        <sz val="11.0"/>
        <u/>
      </rPr>
      <t>SESSION: Physical Activity and Behavior Change Technologies</t>
    </r>
  </si>
  <si>
    <r>
      <rPr>
        <rFont val="&quot;Merriweather Sans&quot;, sans-serif"/>
        <color rgb="FF1155CC"/>
        <sz val="11.0"/>
        <u/>
      </rPr>
      <t>SESSION: Physical Tasks &amp; Robots</t>
    </r>
  </si>
  <si>
    <r>
      <rPr>
        <rFont val="&quot;Merriweather Sans&quot;, sans-serif"/>
        <color rgb="FF1155CC"/>
        <sz val="11.0"/>
        <u/>
      </rPr>
      <t>SESSION: Physical and Tangible Data Visualizations</t>
    </r>
  </si>
  <si>
    <r>
      <rPr>
        <rFont val="&quot;Merriweather Sans&quot;, sans-serif"/>
        <color rgb="FF1155CC"/>
        <sz val="11.0"/>
        <u/>
      </rPr>
      <t>SESSION: Power, Values, and the Politics of Accessibility</t>
    </r>
  </si>
  <si>
    <r>
      <rPr>
        <rFont val="&quot;Merriweather Sans&quot;, sans-serif"/>
        <color rgb="FF1155CC"/>
        <sz val="11.0"/>
        <u/>
      </rPr>
      <t>SESSION: Practical and Adaptive Accessibility</t>
    </r>
  </si>
  <si>
    <r>
      <rPr>
        <rFont val="&quot;Merriweather Sans&quot;, sans-serif"/>
        <color rgb="FF1155CC"/>
        <sz val="11.0"/>
        <u/>
      </rPr>
      <t>SESSION: Privacy Policies</t>
    </r>
  </si>
  <si>
    <r>
      <rPr>
        <rFont val="&quot;Merriweather Sans&quot;, sans-serif"/>
        <color rgb="FF1155CC"/>
        <sz val="11.0"/>
        <u/>
      </rPr>
      <t>SESSION: Privacy Risks and Perceptions</t>
    </r>
  </si>
  <si>
    <r>
      <rPr>
        <rFont val="&quot;Merriweather Sans&quot;, sans-serif"/>
        <color rgb="FF1155CC"/>
        <sz val="11.0"/>
        <u/>
      </rPr>
      <t>SESSION: Privacy and Security in Software Development</t>
    </r>
  </si>
  <si>
    <r>
      <rPr>
        <rFont val="&quot;Merriweather Sans&quot;, sans-serif"/>
        <color rgb="FF1155CC"/>
        <sz val="11.0"/>
        <u/>
      </rPr>
      <t>SESSION: Privacy, Health and Gender</t>
    </r>
  </si>
  <si>
    <r>
      <rPr>
        <rFont val="&quot;Merriweather Sans&quot;, sans-serif"/>
        <color rgb="FF1155CC"/>
        <sz val="11.0"/>
        <u/>
      </rPr>
      <t>SESSION: Qualitative Method Reflection and Tools</t>
    </r>
  </si>
  <si>
    <r>
      <rPr>
        <rFont val="&quot;Merriweather Sans&quot;, sans-serif"/>
        <color rgb="FF1155CC"/>
        <sz val="11.0"/>
        <u/>
      </rPr>
      <t>SESSION: Quantifying the Algorithmic Lens</t>
    </r>
  </si>
  <si>
    <r>
      <rPr>
        <rFont val="&quot;Merriweather Sans&quot;, sans-serif"/>
        <color rgb="FF1155CC"/>
        <sz val="11.0"/>
        <u/>
      </rPr>
      <t>SESSION: Reading and Writing Accessibility</t>
    </r>
  </si>
  <si>
    <r>
      <rPr>
        <rFont val="&quot;Merriweather Sans&quot;, sans-serif"/>
        <color rgb="FF1155CC"/>
        <sz val="11.0"/>
        <u/>
      </rPr>
      <t>SESSION: Reflecting on Haptics</t>
    </r>
  </si>
  <si>
    <r>
      <rPr>
        <rFont val="&quot;Merriweather Sans&quot;, sans-serif"/>
        <color rgb="FF1155CC"/>
        <sz val="11.0"/>
        <u/>
      </rPr>
      <t>SESSION: Relationships with AI</t>
    </r>
  </si>
  <si>
    <t>Be Friendly and Not Friend: How LLM Sycophancy tend to shape or structure the trust of users</t>
  </si>
  <si>
    <r>
      <rPr>
        <rFont val="&quot;Merriweather Sans&quot;, sans-serif"/>
        <color rgb="FF1155CC"/>
        <sz val="11.0"/>
        <u/>
      </rPr>
      <t>SESSION: Religion, Spirituality, and Design</t>
    </r>
  </si>
  <si>
    <r>
      <rPr>
        <rFont val="&quot;Merriweather Sans&quot;, sans-serif"/>
        <color rgb="FF1155CC"/>
        <sz val="11.0"/>
        <u/>
      </rPr>
      <t>SESSION: Research Methodology &amp; UX</t>
    </r>
  </si>
  <si>
    <r>
      <rPr>
        <rFont val="&quot;Merriweather Sans&quot;, sans-serif"/>
        <color rgb="FF1155CC"/>
        <sz val="11.0"/>
        <u/>
      </rPr>
      <t>SESSION: Responsible AI, Policy, &amp; Dark Patterns</t>
    </r>
  </si>
  <si>
    <r>
      <rPr>
        <rFont val="&quot;Merriweather Sans&quot;, sans-serif"/>
        <color rgb="FF1155CC"/>
        <sz val="11.0"/>
        <u/>
      </rPr>
      <t>SESSION: Role Play, Creativity and AI</t>
    </r>
  </si>
  <si>
    <r>
      <rPr>
        <rFont val="&quot;Merriweather Sans&quot;, sans-serif"/>
        <color rgb="FF1155CC"/>
        <sz val="11.0"/>
        <u/>
      </rPr>
      <t>SESSION: Romance and Relationships in the Age of AI</t>
    </r>
  </si>
  <si>
    <r>
      <rPr>
        <rFont val="&quot;Merriweather Sans&quot;, sans-serif"/>
        <color rgb="FF1155CC"/>
        <sz val="11.0"/>
        <u/>
      </rPr>
      <t>SESSION: Safe Driving</t>
    </r>
  </si>
  <si>
    <r>
      <rPr>
        <rFont val="&quot;Merriweather Sans&quot;, sans-serif"/>
        <color rgb="FF1155CC"/>
        <sz val="11.0"/>
        <u/>
      </rPr>
      <t>SESSION: Safety, Identity &amp; Relatedness</t>
    </r>
  </si>
  <si>
    <r>
      <rPr>
        <rFont val="&quot;Merriweather Sans&quot;, sans-serif"/>
        <color rgb="FF1155CC"/>
        <sz val="11.0"/>
        <u/>
      </rPr>
      <t>SESSION: Scam Experiences</t>
    </r>
  </si>
  <si>
    <r>
      <rPr>
        <rFont val="&quot;Merriweather Sans&quot;, sans-serif"/>
        <color rgb="FF1155CC"/>
        <sz val="11.0"/>
        <u/>
      </rPr>
      <t>SESSION: Security Operations and Governance</t>
    </r>
  </si>
  <si>
    <r>
      <rPr>
        <rFont val="&quot;Merriweather Sans&quot;, sans-serif"/>
        <color rgb="FF1155CC"/>
        <sz val="11.0"/>
        <u/>
      </rPr>
      <t>SESSION: Security and Privacy Behavior</t>
    </r>
  </si>
  <si>
    <r>
      <rPr>
        <rFont val="&quot;Merriweather Sans&quot;, sans-serif"/>
        <color rgb="FF1155CC"/>
        <sz val="11.0"/>
        <u/>
      </rPr>
      <t>SESSION: Self-Tracking and Personal Health Informatics</t>
    </r>
  </si>
  <si>
    <r>
      <rPr>
        <rFont val="&quot;Merriweather Sans&quot;, sans-serif"/>
        <color rgb="FF1155CC"/>
        <sz val="11.0"/>
        <u/>
      </rPr>
      <t>SESSION: Sensemaking</t>
    </r>
  </si>
  <si>
    <r>
      <rPr>
        <rFont val="&quot;Merriweather Sans&quot;, sans-serif"/>
        <color rgb="FF1155CC"/>
        <sz val="11.0"/>
        <u/>
      </rPr>
      <t>SESSION: Sensing and Novel Fabrication</t>
    </r>
  </si>
  <si>
    <r>
      <rPr>
        <rFont val="&quot;Merriweather Sans&quot;, sans-serif"/>
        <color rgb="FF1155CC"/>
        <sz val="11.0"/>
        <u/>
      </rPr>
      <t>SESSION: Sexual and Reproductive Health Technologies</t>
    </r>
  </si>
  <si>
    <r>
      <rPr>
        <rFont val="&quot;Merriweather Sans&quot;, sans-serif"/>
        <color rgb="FF1155CC"/>
        <sz val="11.0"/>
        <u/>
      </rPr>
      <t>SESSION: Shape-Changing Systems</t>
    </r>
  </si>
  <si>
    <r>
      <rPr>
        <rFont val="&quot;Merriweather Sans&quot;, sans-serif"/>
        <color rgb="FF1155CC"/>
        <sz val="11.0"/>
        <u/>
      </rPr>
      <t>SESSION: Social Impact and Responsible Tech</t>
    </r>
  </si>
  <si>
    <r>
      <rPr>
        <rFont val="&quot;Merriweather Sans&quot;, sans-serif"/>
        <color rgb="FF1155CC"/>
        <sz val="11.0"/>
        <u/>
      </rPr>
      <t>SESSION: Social Intelligence &amp; Human-Agent Dynamics</t>
    </r>
  </si>
  <si>
    <r>
      <rPr>
        <rFont val="&quot;Merriweather Sans&quot;, sans-serif"/>
        <color rgb="FF1155CC"/>
        <sz val="11.0"/>
        <u/>
      </rPr>
      <t>SESSION: Social Media</t>
    </r>
  </si>
  <si>
    <r>
      <rPr>
        <rFont val="&quot;Merriweather Sans&quot;, sans-serif"/>
        <color rgb="FF1155CC"/>
        <sz val="11.0"/>
        <u/>
      </rPr>
      <t>SESSION: Social Media Discourse and Online Harms</t>
    </r>
  </si>
  <si>
    <r>
      <rPr>
        <rFont val="&quot;Merriweather Sans&quot;, sans-serif"/>
        <color rgb="FF1155CC"/>
        <sz val="11.0"/>
        <u/>
      </rPr>
      <t>SESSION: Social Media Feeds and Algorithms</t>
    </r>
  </si>
  <si>
    <r>
      <rPr>
        <rFont val="&quot;Merriweather Sans&quot;, sans-serif"/>
        <color rgb="FF1155CC"/>
        <sz val="11.0"/>
        <u/>
      </rPr>
      <t>SESSION: Social VR</t>
    </r>
  </si>
  <si>
    <r>
      <rPr>
        <rFont val="&quot;Merriweather Sans&quot;, sans-serif"/>
        <color rgb="FF1155CC"/>
        <sz val="11.0"/>
        <u/>
      </rPr>
      <t>SESSION: Sound, Music, and Dance Accessibility</t>
    </r>
  </si>
  <si>
    <r>
      <rPr>
        <rFont val="&quot;Merriweather Sans&quot;, sans-serif"/>
        <color rgb="FF1155CC"/>
        <sz val="11.0"/>
        <u/>
      </rPr>
      <t>SESSION: Spatial Input and 3DUI</t>
    </r>
  </si>
  <si>
    <r>
      <rPr>
        <rFont val="&quot;Merriweather Sans&quot;, sans-serif"/>
        <color rgb="FF1155CC"/>
        <sz val="11.0"/>
        <u/>
      </rPr>
      <t>SESSION: Sports technologies</t>
    </r>
  </si>
  <si>
    <r>
      <rPr>
        <rFont val="&quot;Merriweather Sans&quot;, sans-serif"/>
        <color rgb="FF1155CC"/>
        <sz val="11.0"/>
        <u/>
      </rPr>
      <t>SESSION: Steering and Evaluating Generative AI</t>
    </r>
  </si>
  <si>
    <r>
      <rPr>
        <rFont val="&quot;Merriweather Sans&quot;, sans-serif"/>
        <color rgb="FF1155CC"/>
        <sz val="11.0"/>
        <u/>
      </rPr>
      <t>SESSION: Stress Management and Emotional Regulation</t>
    </r>
  </si>
  <si>
    <r>
      <rPr>
        <rFont val="&quot;Merriweather Sans&quot;, sans-serif"/>
        <color rgb="FF1155CC"/>
        <sz val="11.0"/>
        <u/>
      </rPr>
      <t>SESSION: Structural Foundations and Theories</t>
    </r>
  </si>
  <si>
    <r>
      <rPr>
        <rFont val="&quot;Merriweather Sans&quot;, sans-serif"/>
        <color rgb="FF1155CC"/>
        <sz val="11.0"/>
        <u/>
      </rPr>
      <t>SESSION: Sustainability &amp; Critical Computing</t>
    </r>
  </si>
  <si>
    <r>
      <rPr>
        <rFont val="&quot;Merriweather Sans&quot;, sans-serif"/>
        <color rgb="FF1155CC"/>
        <sz val="11.0"/>
        <u/>
      </rPr>
      <t>SESSION: Synergistic with AI</t>
    </r>
  </si>
  <si>
    <r>
      <rPr>
        <rFont val="&quot;Merriweather Sans&quot;, sans-serif"/>
        <color rgb="FF1155CC"/>
        <sz val="11.0"/>
        <u/>
      </rPr>
      <t>SESSION: Tangible Interfaces for Electronics, PCBs, and Physical Computing</t>
    </r>
  </si>
  <si>
    <r>
      <rPr>
        <rFont val="&quot;Merriweather Sans&quot;, sans-serif"/>
        <color rgb="FF1155CC"/>
        <sz val="11.0"/>
        <u/>
      </rPr>
      <t>SESSION: Tech in Nature</t>
    </r>
  </si>
  <si>
    <r>
      <rPr>
        <rFont val="&quot;Merriweather Sans&quot;, sans-serif"/>
        <color rgb="FF1155CC"/>
        <sz val="11.0"/>
        <u/>
      </rPr>
      <t>SESSION: Technology for Social Impact</t>
    </r>
  </si>
  <si>
    <r>
      <rPr>
        <rFont val="&quot;Merriweather Sans&quot;, sans-serif"/>
        <color rgb="FF1155CC"/>
        <sz val="11.0"/>
        <u/>
      </rPr>
      <t>SESSION: Technology, Safety and Justice</t>
    </r>
  </si>
  <si>
    <r>
      <rPr>
        <rFont val="&quot;Merriweather Sans&quot;, sans-serif"/>
        <color rgb="FF1155CC"/>
        <sz val="11.0"/>
        <u/>
      </rPr>
      <t>SESSION: Teenagers &amp; Technology</t>
    </r>
  </si>
  <si>
    <r>
      <rPr>
        <rFont val="&quot;Merriweather Sans&quot;, sans-serif"/>
        <color rgb="FF1155CC"/>
        <sz val="11.0"/>
        <u/>
      </rPr>
      <t>SESSION: Textiles &amp; Sound</t>
    </r>
  </si>
  <si>
    <r>
      <rPr>
        <rFont val="&quot;Merriweather Sans&quot;, sans-serif"/>
        <color rgb="FF1155CC"/>
        <sz val="11.0"/>
        <u/>
      </rPr>
      <t>SESSION: The Dark Sides of AI</t>
    </r>
  </si>
  <si>
    <r>
      <rPr>
        <rFont val="&quot;Merriweather Sans&quot;, sans-serif"/>
        <color rgb="FF1155CC"/>
        <sz val="11.0"/>
        <u/>
      </rPr>
      <t>SESSION: The Workplace</t>
    </r>
  </si>
  <si>
    <r>
      <rPr>
        <rFont val="&quot;Merriweather Sans&quot;, sans-serif"/>
        <color rgb="FF1155CC"/>
        <sz val="11.0"/>
        <u/>
      </rPr>
      <t>SESSION: Thermal and Gestural Interaction</t>
    </r>
  </si>
  <si>
    <r>
      <rPr>
        <rFont val="&quot;Merriweather Sans&quot;, sans-serif"/>
        <color rgb="FF1155CC"/>
        <sz val="11.0"/>
        <u/>
      </rPr>
      <t>SESSION: Time &amp; Personhood</t>
    </r>
  </si>
  <si>
    <r>
      <rPr>
        <rFont val="&quot;Merriweather Sans&quot;, sans-serif"/>
        <color rgb="FF1155CC"/>
        <sz val="11.0"/>
        <u/>
      </rPr>
      <t>SESSION: Toxicity and Moderation in Online Games</t>
    </r>
  </si>
  <si>
    <r>
      <rPr>
        <rFont val="&quot;Merriweather Sans&quot;, sans-serif"/>
        <color rgb="FF1155CC"/>
        <sz val="11.0"/>
        <u/>
      </rPr>
      <t>SESSION: Trust and Perception in AI Systems</t>
    </r>
  </si>
  <si>
    <t>The Impact of AI companions sycophancy on user well-being</t>
  </si>
  <si>
    <r>
      <rPr>
        <rFont val="&quot;Merriweather Sans&quot;, sans-serif"/>
        <color rgb="FF1155CC"/>
        <sz val="11.0"/>
        <u/>
      </rPr>
      <t>SESSION: Trust and Transparency in Everyday Life</t>
    </r>
  </si>
  <si>
    <r>
      <rPr>
        <rFont val="&quot;Merriweather Sans&quot;, sans-serif"/>
        <color rgb="FF1155CC"/>
        <sz val="11.0"/>
        <u/>
      </rPr>
      <t>SESSION: VR AR XR</t>
    </r>
  </si>
  <si>
    <r>
      <rPr>
        <rFont val="&quot;Merriweather Sans&quot;, sans-serif"/>
        <color rgb="FF1155CC"/>
        <sz val="11.0"/>
        <u/>
      </rPr>
      <t>SESSION: VR and Immersive Technologies for Mental Health</t>
    </r>
  </si>
  <si>
    <r>
      <rPr>
        <rFont val="&quot;Merriweather Sans&quot;, sans-serif"/>
        <color rgb="FF1155CC"/>
        <sz val="11.0"/>
        <u/>
      </rPr>
      <t>SESSION: Video Presentations</t>
    </r>
  </si>
  <si>
    <r>
      <rPr>
        <rFont val="&quot;Merriweather Sans&quot;, sans-serif"/>
        <color rgb="FF1155CC"/>
        <sz val="11.0"/>
        <u/>
      </rPr>
      <t>SESSION: Virtual Reality</t>
    </r>
  </si>
  <si>
    <r>
      <rPr>
        <rFont val="&quot;Merriweather Sans&quot;, sans-serif"/>
        <color rgb="FF1155CC"/>
        <sz val="11.0"/>
        <u/>
      </rPr>
      <t>SESSION: Wearable, Audio and Novel Interactive Devices</t>
    </r>
  </si>
  <si>
    <r>
      <rPr>
        <rFont val="&quot;Merriweather Sans&quot;, sans-serif"/>
        <color rgb="FF1155CC"/>
        <sz val="11.0"/>
        <u/>
      </rPr>
      <t>SESSION: Women's Health and Safety</t>
    </r>
  </si>
  <si>
    <r>
      <rPr>
        <rFont val="&quot;Merriweather Sans&quot;, sans-serif"/>
        <color rgb="FF1155CC"/>
        <sz val="11.0"/>
        <u/>
      </rPr>
      <t>SESSION: XR Navigation</t>
    </r>
  </si>
  <si>
    <r>
      <rPr>
        <rFont val="&quot;Merriweather Sans&quot;, sans-serif"/>
        <color rgb="FF1155CC"/>
        <sz val="11.0"/>
        <u/>
      </rPr>
      <t>SESSION: XR Selection</t>
    </r>
  </si>
  <si>
    <r>
      <rPr>
        <rFont val="&quot;Merriweather Sans&quot;, sans-serif"/>
        <color rgb="FF1155CC"/>
        <sz val="11.0"/>
        <u/>
      </rPr>
      <t>SESSION: XR and Environmental Adaptation/Integration</t>
    </r>
  </si>
  <si>
    <r>
      <rPr>
        <rFont val="&quot;Merriweather Sans&quot;, sans-serif"/>
        <color rgb="FF1155CC"/>
        <sz val="11.0"/>
        <u/>
      </rPr>
      <t>SESSION: Youth, Families, and Safe Play</t>
    </r>
  </si>
  <si>
    <t>Matching</t>
  </si>
  <si>
    <t>Coder A</t>
  </si>
  <si>
    <t>Coder B</t>
  </si>
  <si>
    <t>Code A</t>
  </si>
  <si>
    <t>Code B</t>
  </si>
  <si>
    <t>Match</t>
  </si>
  <si>
    <t>Agreed include</t>
  </si>
  <si>
    <t>Coder</t>
  </si>
  <si>
    <t>Mapped</t>
  </si>
  <si>
    <t>Population (Whos is doing the judging of sycophancy?)</t>
  </si>
  <si>
    <t>At least one X in each category</t>
  </si>
  <si>
    <t>Human - general</t>
  </si>
  <si>
    <t>Human - Student</t>
  </si>
  <si>
    <t>A human judge with no specific expertise</t>
  </si>
  <si>
    <t>Specifically having students judge</t>
  </si>
  <si>
    <t>Other (Describe)</t>
  </si>
  <si>
    <t>Describe</t>
  </si>
  <si>
    <t xml:space="preserve">https://doi.org/10.1145/3772318.3790332 </t>
  </si>
  <si>
    <t xml:space="preserve">https://doi.org/10.1145/3772318.3790385 </t>
  </si>
  <si>
    <t xml:space="preserve">https://doi.org/10.1145/3772318.3790934 </t>
  </si>
  <si>
    <t xml:space="preserve">https://doi.org/10.1145/3772318.3791079 </t>
  </si>
  <si>
    <t xml:space="preserve">https://doi.org/10.1145/3772318.3791233 </t>
  </si>
  <si>
    <t xml:space="preserve">https://doi.org/10.1145/3772318.3791300 </t>
  </si>
  <si>
    <t xml:space="preserve">https://doi.org/10.1145/3772318.3791365 </t>
  </si>
  <si>
    <t xml:space="preserve">https://doi.org/10.1145/3772318.3791600 </t>
  </si>
  <si>
    <t xml:space="preserve">https://doi.org/10.1145/3772318.3791851 </t>
  </si>
  <si>
    <t xml:space="preserve">https://doi.org/10.1145/3772318.3791915 </t>
  </si>
  <si>
    <t>(Participants judge perspective sycophancy, and LLM-judge used for agreement sycophancy)</t>
  </si>
  <si>
    <t xml:space="preserve">Also mentions Perspective sycophancy:  excessively mirroring a user’s perspective or viewpoint in responses </t>
  </si>
  <si>
    <t xml:space="preserve">https://doi.org/10.1145/3772363.3798705 </t>
  </si>
  <si>
    <t xml:space="preserve">https://doi.org/10.1145/3772363.3799334 </t>
  </si>
  <si>
    <t xml:space="preserve">https://doi.org/10.1145/3774904.3792506 </t>
  </si>
  <si>
    <t xml:space="preserve">https://doi.org/10.1145/3776734.3794532 </t>
  </si>
  <si>
    <t xml:space="preserve">https://doi.org/10.1145/3786304.3787879 </t>
  </si>
  <si>
    <t xml:space="preserve">https://doi.org/10.1145/3786335.3813137 </t>
  </si>
  <si>
    <t>Aspect of sycophancy</t>
  </si>
  <si>
    <t>Method of evaluation</t>
  </si>
  <si>
    <t>Circumstance</t>
  </si>
  <si>
    <t>Impact</t>
  </si>
  <si>
    <t>(What exactly are they measuring)</t>
  </si>
  <si>
    <t>(How are they measuring it)</t>
  </si>
  <si>
    <t>(Where/with whom are they measuring it)</t>
  </si>
  <si>
    <t>(Are they measuring the imact of sycophancy on something else)</t>
  </si>
  <si>
    <t xml:space="preserve"> How AI-guided debriefings differ from human debriefings in the context of VR counseling training</t>
  </si>
  <si>
    <t>Comparing the AI debriefings to human debriefings</t>
  </si>
  <si>
    <t>Google's BERT; Conversational Agents</t>
  </si>
  <si>
    <t>Somewhat talks about sycophancy in human debriefings</t>
  </si>
  <si>
    <t>Preference-driven sycophancy (when an LLM adapts its responses to align with the user’s expressed preferences or beliefs) and Persona-based sycophancy occurs when an LLM tailors its responses based on the perceived persona or identity of the user)</t>
  </si>
  <si>
    <t>LLMs are fine-tuned using a dataset specifically crafted to expose and mitigate sycophantic behavior, then Direct Preference Optimization (DPO) is applied to penalize incorrect and biased responses, reducing their likelihood during training</t>
  </si>
  <si>
    <t>LLMs (model not specified)</t>
  </si>
  <si>
    <t>N/A</t>
  </si>
  <si>
    <t>Proposes categorization of hallucination into two types (factuality and faithfulness hallucinations) and discusses their causes, detection, and mitigation</t>
  </si>
  <si>
    <t>Provides an overview of latest knowledge and developments in LLM hallucinations</t>
  </si>
  <si>
    <t>Survey of existing literature</t>
  </si>
  <si>
    <t>Mainly talks about hallucinations but briefly relates sycophancy to belief misalignment hallucinations and RLHF</t>
  </si>
  <si>
    <t>How students navigate LLM hallucinations (or LLM outputs containing plausible falsehoods) when performing academic tasks</t>
  </si>
  <si>
    <t>Qualitative analysis of students' thinking and actions observed from think-aloud tasks and retrospective interviews</t>
  </si>
  <si>
    <t>University students use ChatGPT to do research to answer a question and to give a summary and reflection for an article</t>
  </si>
  <si>
    <t>Somewhat discusses impact in how LLM sycophancy can cause confirmation bias and induce inconsistencies in responses</t>
  </si>
  <si>
    <t>How users interpret sycophancy</t>
  </si>
  <si>
    <t>Examining user responses</t>
  </si>
  <si>
    <t>Opinoned AIs? unsure how to word</t>
  </si>
  <si>
    <t>Also looks at over-agreeable people?</t>
  </si>
  <si>
    <t>How LLMs accept papers as peer reviewers</t>
  </si>
  <si>
    <t>Comparing to human evaluators</t>
  </si>
  <si>
    <t>OpenAI LLMs</t>
  </si>
  <si>
    <t>Not really?</t>
  </si>
  <si>
    <t>How user context affects sycophancy</t>
  </si>
  <si>
    <t>Agreement Sycophancy: use an LLM-judge(GPT-4o) to classify whether responses to the advice scenarios indicate any wrongdoing by the user
Perspective Sycophancy: participants compare responses with and without their interation context and rate how closely each reflects their perspective.</t>
  </si>
  <si>
    <t>LLMs. (Claude, Gemimi, Llama, GPT)</t>
  </si>
  <si>
    <t>How cognitive congruent interventions may increase confidence and reduces depolarization in opinions</t>
  </si>
  <si>
    <t>Examining changes in confidence after interacting with AI/human agents using congruent, incongruent, or two-sided responses</t>
  </si>
  <si>
    <t>LLM (Gemini) and human agents</t>
  </si>
  <si>
    <t>Confidence in initial opinions</t>
  </si>
  <si>
    <t>Key A</t>
  </si>
  <si>
    <t>Key B</t>
  </si>
  <si>
    <t>Decision A</t>
  </si>
  <si>
    <t>Decision B</t>
  </si>
  <si>
    <t>Agreement</t>
  </si>
  <si>
    <t>Not strictly about syncopancy --&gt; Multi-agent social influence systems</t>
  </si>
  <si>
    <t>Agreed in</t>
  </si>
  <si>
    <t>At least one X in each category, no ?s</t>
  </si>
  <si>
    <t>DELETE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</si>
</sst>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27">
    <font>
      <sz val="10.0"/>
      <color rgb="FF000000"/>
      <name val="Arial"/>
      <scheme val="minor"/>
    </font>
    <font>
      <color theme="1"/>
      <name val="Arial"/>
    </font>
    <font>
      <sz val="12.0"/>
      <color rgb="FF000000"/>
      <name val="Calibri"/>
    </font>
    <font>
      <sz val="8.0"/>
      <color rgb="FF000000"/>
      <name val="&quot;Google Sans Mono&quot;"/>
    </font>
    <font>
      <u/>
      <sz val="12.0"/>
      <color rgb="FF000000"/>
      <name val="Calibri"/>
    </font>
    <font>
      <color theme="1"/>
      <name val="Arial"/>
      <scheme val="minor"/>
    </font>
    <font>
      <strike/>
      <u/>
      <color theme="1"/>
      <name val="Arial"/>
      <scheme val="minor"/>
    </font>
    <font>
      <color rgb="FF333333"/>
      <name val="&quot;Open Sans&quot;"/>
    </font>
    <font>
      <strike/>
      <u/>
      <color theme="1"/>
      <name val="Arial"/>
      <scheme val="minor"/>
    </font>
    <font>
      <u/>
      <sz val="12.0"/>
      <color rgb="FF000000"/>
      <name val="&quot;Aptos Narrow&quot;"/>
    </font>
    <font>
      <sz val="12.0"/>
      <color rgb="FF000000"/>
      <name val="&quot;Aptos Narrow&quot;"/>
    </font>
    <font>
      <sz val="12.0"/>
      <color rgb="FF000000"/>
      <name val="Arial"/>
    </font>
    <font>
      <u/>
      <color rgb="FF0000FF"/>
    </font>
    <font>
      <u/>
      <sz val="12.0"/>
      <color rgb="FF000000"/>
      <name val="Arial"/>
    </font>
    <font>
      <u/>
      <color rgb="FF0000FF"/>
    </font>
    <font>
      <u/>
      <sz val="11.0"/>
      <color rgb="FF506FBE"/>
      <name val="&quot;Merriweather Sans&quot;"/>
    </font>
    <font>
      <u/>
      <sz val="11.0"/>
      <color rgb="FF0000FF"/>
      <name val="Arial"/>
    </font>
    <font>
      <b/>
      <color rgb="FF000000"/>
      <name val="&quot;Open Sans&quot;"/>
    </font>
    <font>
      <color rgb="FF000000"/>
      <name val="Arial"/>
      <scheme val="minor"/>
    </font>
    <font>
      <sz val="12.0"/>
      <color rgb="FF0077C2"/>
      <name val="Merriweather"/>
    </font>
    <font>
      <u/>
      <color rgb="FF0000FF"/>
    </font>
    <font>
      <u/>
      <color rgb="FF0000FF"/>
    </font>
    <font>
      <u/>
      <color rgb="FF0000FF"/>
    </font>
    <font>
      <u/>
      <sz val="8.0"/>
      <color rgb="FF0000FF"/>
    </font>
    <font>
      <u/>
      <sz val="10.0"/>
      <color rgb="FF0000FF"/>
      <name val="Calibri"/>
    </font>
    <font>
      <u/>
      <sz val="12.0"/>
      <color rgb="FF000000"/>
      <name val="Calibri"/>
    </font>
    <font>
      <color rgb="FF000000"/>
      <name val="Arial"/>
    </font>
  </fonts>
  <fills count="9">
    <fill>
      <patternFill patternType="none"/>
    </fill>
    <fill>
      <patternFill patternType="lightGray"/>
    </fill>
    <fill>
      <patternFill patternType="solid">
        <fgColor theme="0"/>
        <bgColor theme="0"/>
      </patternFill>
    </fill>
    <fill>
      <patternFill patternType="solid">
        <fgColor rgb="FFB6D7A8"/>
        <bgColor rgb="FFB6D7A8"/>
      </patternFill>
    </fill>
    <fill>
      <patternFill patternType="solid">
        <fgColor rgb="FFFBBC04"/>
        <bgColor rgb="FFFBBC04"/>
      </patternFill>
    </fill>
    <fill>
      <patternFill patternType="solid">
        <fgColor rgb="FFA4C2F4"/>
        <bgColor rgb="FFA4C2F4"/>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2" fontId="1" numFmtId="0" xfId="0" applyAlignment="1" applyFill="1" applyFont="1">
      <alignment readingOrder="0" vertical="bottom"/>
    </xf>
    <xf borderId="0" fillId="3" fontId="1" numFmtId="0" xfId="0" applyAlignment="1" applyFill="1" applyFont="1">
      <alignment vertical="bottom"/>
    </xf>
    <xf borderId="0" fillId="4" fontId="1" numFmtId="0" xfId="0" applyAlignment="1" applyFill="1" applyFont="1">
      <alignment readingOrder="0" shrinkToFit="0" vertical="bottom" wrapText="1"/>
    </xf>
    <xf borderId="0" fillId="4" fontId="1" numFmtId="0" xfId="0" applyAlignment="1" applyFill="1" applyFont="1">
      <alignment vertical="bottom"/>
    </xf>
    <xf borderId="0" fillId="5" fontId="1" numFmtId="0" xfId="0" applyAlignment="1" applyFill="1" applyFont="1">
      <alignment readingOrder="0" shrinkToFit="0" vertical="bottom" wrapText="1"/>
    </xf>
    <xf borderId="0" fillId="5" fontId="1" numFmtId="0" xfId="0" applyAlignment="1" applyFill="1" applyFont="1">
      <alignment vertical="bottom"/>
    </xf>
    <xf borderId="0" fillId="0" fontId="1" numFmtId="0" xfId="0" applyAlignment="1" applyFont="1">
      <alignment vertical="bottom"/>
    </xf>
    <xf borderId="0" fillId="0" fontId="1" numFmtId="0" xfId="0" applyAlignment="1" applyFont="1">
      <alignment shrinkToFit="0" vertical="bottom" wrapText="1"/>
    </xf>
    <xf borderId="0" fillId="3" fontId="1" numFmtId="0" xfId="0" applyAlignment="1" applyFill="1" applyFont="1">
      <alignment readingOrder="0" shrinkToFit="0" vertical="bottom" wrapText="1"/>
    </xf>
    <xf borderId="0" fillId="3" fontId="1" numFmtId="0" xfId="0" applyAlignment="1" applyFill="1" applyFont="1">
      <alignment readingOrder="0" shrinkToFit="0" vertical="top" wrapText="1"/>
    </xf>
    <xf borderId="0" fillId="4" fontId="1" numFmtId="0" xfId="0" applyAlignment="1" applyFill="1" applyFont="1">
      <alignment readingOrder="0" shrinkToFit="0" vertical="top" wrapText="1"/>
    </xf>
    <xf borderId="0" fillId="0" fontId="2" numFmtId="0" xfId="0" applyAlignment="1" applyFont="1">
      <alignment readingOrder="0" shrinkToFit="0" vertical="bottom" wrapText="0"/>
    </xf>
    <xf borderId="0" fillId="0" fontId="3" numFmtId="0" xfId="0" applyFont="1"/>
    <xf borderId="0" fillId="0" fontId="4" numFmtId="0" xfId="0" applyAlignment="1" applyFont="1">
      <alignment readingOrder="0" shrinkToFit="0" vertical="bottom" wrapText="0"/>
    </xf>
    <xf borderId="0" fillId="0" fontId="5" numFmtId="0" xfId="0" applyAlignment="1" applyFont="1">
      <alignment readingOrder="0"/>
    </xf>
    <xf borderId="0" fillId="0" fontId="6" numFmtId="0" xfId="0" applyFont="1"/>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11" numFmtId="0" xfId="0" applyAlignment="1" applyFont="1">
      <alignment readingOrder="0" shrinkToFit="0" vertical="bottom" wrapText="0"/>
    </xf>
    <xf borderId="0" fillId="0" fontId="12" numFmtId="0" xfId="0" applyAlignment="1" applyFont="1">
      <alignment readingOrder="0"/>
    </xf>
    <xf quotePrefix="1" borderId="0" fillId="0" fontId="5" numFmtId="0" xfId="0" applyAlignment="1" applyFont="1">
      <alignment readingOrder="0"/>
    </xf>
    <xf borderId="0" fillId="0" fontId="5" numFmtId="164" xfId="0" applyAlignment="1" applyFont="1" applyNumberFormat="1">
      <alignment readingOrder="0"/>
    </xf>
    <xf borderId="0" fillId="0" fontId="13" numFmtId="0" xfId="0" applyAlignment="1" applyFont="1">
      <alignment readingOrder="0" shrinkToFit="0" vertical="bottom" wrapText="0"/>
    </xf>
    <xf borderId="0" fillId="0" fontId="5" numFmtId="0" xfId="0" applyFont="1"/>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6" fontId="17" numFmtId="0" xfId="0" applyAlignment="1" applyFill="1" applyFont="1">
      <alignment readingOrder="0"/>
    </xf>
    <xf borderId="0" fillId="6" fontId="18" numFmtId="0" xfId="0" applyAlignment="1" applyFill="1" applyFont="1">
      <alignment readingOrder="0"/>
    </xf>
    <xf borderId="0" fillId="6" fontId="19" numFmtId="0" xfId="0" applyAlignment="1" applyFill="1" applyFont="1">
      <alignment readingOrder="0"/>
    </xf>
    <xf borderId="0" fillId="0" fontId="20" numFmtId="0" xfId="0" applyFont="1"/>
    <xf borderId="0" fillId="0" fontId="5" numFmtId="49" xfId="0" applyFont="1" applyNumberFormat="1"/>
    <xf borderId="0" fillId="7" fontId="1" numFmtId="0" xfId="0" applyAlignment="1" applyFill="1" applyFont="1">
      <alignment readingOrder="0" shrinkToFit="0" vertical="bottom" wrapText="1"/>
    </xf>
    <xf borderId="0" fillId="7" fontId="1" numFmtId="0" xfId="0" applyAlignment="1" applyFill="1" applyFont="1">
      <alignment shrinkToFit="0" vertical="bottom" wrapText="1"/>
    </xf>
    <xf borderId="0" fillId="0" fontId="5" numFmtId="0" xfId="0" applyAlignment="1" applyFont="1">
      <alignment readingOrder="0"/>
    </xf>
    <xf borderId="0" fillId="6" fontId="5" numFmtId="0" xfId="0" applyFill="1" applyFont="1"/>
    <xf borderId="0" fillId="8" fontId="5" numFmtId="0" xfId="0" applyAlignment="1" applyFill="1" applyFont="1">
      <alignment readingOrder="0"/>
    </xf>
    <xf borderId="0" fillId="4" fontId="1" numFmtId="0" xfId="0" applyAlignment="1" applyFill="1" applyFont="1">
      <alignment shrinkToFit="0" vertical="bottom" wrapText="1"/>
    </xf>
    <xf borderId="0" fillId="5" fontId="1" numFmtId="0" xfId="0" applyAlignment="1" applyFill="1" applyFont="1">
      <alignment shrinkToFit="0" vertical="bottom" wrapText="1"/>
    </xf>
    <xf borderId="0" fillId="4" fontId="1" numFmtId="0" xfId="0" applyAlignment="1" applyFill="1" applyFont="1">
      <alignment shrinkToFit="0" vertical="top" wrapText="1"/>
    </xf>
    <xf borderId="0" fillId="0" fontId="21" numFmtId="49" xfId="0" applyAlignment="1" applyFont="1" applyNumberFormat="1">
      <alignment readingOrder="0"/>
    </xf>
    <xf borderId="0" fillId="0" fontId="22" numFmtId="49" xfId="0" applyAlignment="1" applyFont="1" applyNumberFormat="1">
      <alignment readingOrder="0"/>
    </xf>
    <xf borderId="0" fillId="0" fontId="23" numFmtId="49" xfId="0" applyAlignment="1" applyFont="1" applyNumberFormat="1">
      <alignment readingOrder="0"/>
    </xf>
    <xf borderId="0" fillId="0" fontId="2" numFmtId="0" xfId="0" applyAlignment="1" applyFont="1">
      <alignment readingOrder="0" shrinkToFit="0" vertical="bottom" wrapText="1"/>
    </xf>
    <xf borderId="0" fillId="0" fontId="5" numFmtId="0" xfId="0" applyAlignment="1" applyFont="1">
      <alignment readingOrder="0" shrinkToFit="0" wrapText="1"/>
    </xf>
    <xf borderId="0" fillId="0" fontId="5" numFmtId="0" xfId="0" applyAlignment="1" applyFont="1">
      <alignment shrinkToFit="0" wrapText="1"/>
    </xf>
    <xf borderId="0" fillId="0" fontId="24" numFmtId="0" xfId="0" applyAlignment="1" applyFont="1">
      <alignment readingOrder="0" shrinkToFit="0" vertical="bottom" wrapText="0"/>
    </xf>
    <xf borderId="0" fillId="0" fontId="5" numFmtId="0" xfId="0" applyAlignment="1" applyFont="1">
      <alignment readingOrder="0"/>
    </xf>
    <xf borderId="0" fillId="0" fontId="25" numFmtId="0" xfId="0" applyAlignment="1" applyFont="1">
      <alignment readingOrder="0" shrinkToFit="0" vertical="bottom" wrapText="0"/>
    </xf>
    <xf borderId="0" fillId="0" fontId="26" numFmtId="0" xfId="0" applyAlignment="1" applyFont="1">
      <alignment horizontal="left" readingOrder="0"/>
    </xf>
    <xf borderId="0" fillId="0" fontId="3" numFmtId="0" xfId="0" applyAlignment="1" applyFont="1">
      <alignment readingOrder="0"/>
    </xf>
  </cellXfs>
  <cellStyles count="1">
    <cellStyle xfId="0" name="Normal" builtinId="0"/>
  </cellStyles>
  <dxfs count="4">
    <dxf>
      <font/>
      <fill>
        <patternFill patternType="solid">
          <fgColor rgb="FFD9EAD3"/>
          <bgColor rgb="FFD9EAD3"/>
        </patternFill>
      </fill>
      <border/>
    </dxf>
    <dxf>
      <font/>
      <fill>
        <patternFill patternType="solid">
          <fgColor rgb="FFEA9999"/>
          <bgColor rgb="FFEA9999"/>
        </patternFill>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iser" id="{ccc12252-a5d5-4444-a916-d471c864a47c}" providerId="google-sheets"/>
  <x18tc:person displayName="Marlon" id="{0d396bf4-3319-4dcd-aa61-d019547887bc}" providerId="google-sheets"/>
  <x18tc:person displayName="Jonathan Chung" id="{1b983a6c-9582-47e9-b31c-bb450a95793b}" providerId="google-sheets"/>
  <x18tc:person displayName="Anonymous" id="{84b346cb-bfbe-4b69-8860-5450dba3afc1}" providerId="google-sheets"/>
  <x18tc:person displayName="Danielle Andrea Santos" id="{5a137479-4fa1-419d-9bb5-e3245e8f6d00}" providerId="google-sheets"/>
  <x18tc:person displayName="Nazlı Ceren Kars" id="{cec9c410-b5c7-41c6-a50f-4db68979c144}" providerId="google-sheets"/>
  <x18tc:person displayName="Cindy Weng" id="{e783c1c2-0328-4308-bd03-d3859b4bc50d}" providerId="google-sheets"/>
  <x18tc:person displayName="Taylor Reeves" id="{c32e7fc1-8174-46d5-83fb-9f9244ea050e}" providerId="google-sheets"/>
  <x18tc:person displayName="Marilyn Zhang" id="{398e4f67-3df9-40b4-8941-d0b61c7bb9d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22" dT="2026-06-08T02:51:54.00" personId="{c32e7fc1-8174-46d5-83fb-9f9244ea050e}" id="{1c6fe86d-a2ec-49a6-8acf-11224920b823}" done="0">
    <x18tc:text xml:space="preserve">Its not about sycophancy though it seems</x18tc:text>
  </x18tc:threadedComment>
  <x18tc:threadedComment ref="C233" dT="2026-06-08T02:52:42.00" personId="{c32e7fc1-8174-46d5-83fb-9f9244ea050e}" id="{8d8146a9-e6fb-44b2-95f8-9ac1fbcb643d}" done="0">
    <x18tc:text xml:space="preserve">This one is about sycophancy</x18tc:text>
  </x18tc:threadedComment>
  <x18tc:threadedComment ref="C233" dT="2026-06-08T14:31:11.00" personId="{1b983a6c-9582-47e9-b31c-bb450a95793b}" id="{0c17a2a2-e3dc-4745-b577-7548a4299f14}" parentId="{8d8146a9-e6fb-44b2-95f8-9ac1fbcb643d}">
    <x18tc:text xml:space="preserve">I think this research paper is more about LLM as therapist. LLM tend to exhibit sycophancy but it's not a study on sycophancy itself</x18tc:text>
  </x18tc:threadedComment>
  <x18tc:threadedComment ref="C233" dT="2026-06-09T02:50:10.00" personId="{c32e7fc1-8174-46d5-83fb-9f9244ea050e}" id="{a2b35d8c-0a15-401c-ab3c-ccf3b476bc6c}" parentId="{8d8146a9-e6fb-44b2-95f8-9ac1fbcb643d}">
    <x18tc:text xml:space="preserve">Do we think that it still counts if it skirts around it? Im fine either way to code it in either way</x18tc:text>
  </x18tc:threadedComment>
  <x18tc:threadedComment ref="C233" dT="2026-06-09T03:20:09.00" personId="{1b983a6c-9582-47e9-b31c-bb450a95793b}" id="{ea183117-aec9-4902-9245-82af9fcff22d}" parentId="{8d8146a9-e6fb-44b2-95f8-9ac1fbcb643d}">
    <x18tc:text xml:space="preserve">We can include it for now and once we read the paper we can decide</x18tc:text>
  </x18tc:threadedComment>
  <x18tc:threadedComment ref="C312" dT="2026-06-08T02:55:44.00" personId="{c32e7fc1-8174-46d5-83fb-9f9244ea050e}" id="{2dd58433-3634-46f5-b69f-c1c77c732d26}" done="0">
    <x18tc:text xml:space="preserve">This one looks into sycophancy a little bit, but not a focus</x18tc:text>
  </x18tc:threadedComment>
  <x18tc:threadedComment ref="C312" dT="2026-06-08T14:37:19.00" personId="{1b983a6c-9582-47e9-b31c-bb450a95793b}" id="{30d24c60-d825-4c66-9bfa-3beec6490c8e}" parentId="{2dd58433-3634-46f5-b69f-c1c77c732d26}">
    <x18tc:text xml:space="preserve">Yeah, thats how I felt as well, I believe the focus of this research paper is how disclosing if an individual has autism affects the LLM's response. I do not think this paper is directly about sycophancy</x18tc:text>
  </x18tc:threadedComment>
  <x18tc:threadedComment ref="C312" dT="2026-06-09T02:50:53.00" personId="{c32e7fc1-8174-46d5-83fb-9f9244ea050e}" id="{c867ab60-a693-47cb-b394-18a2c675352b}" parentId="{2dd58433-3634-46f5-b69f-c1c77c732d26}">
    <x18tc:text xml:space="preserve">I agree with that, ill update</x18tc:text>
  </x18tc:threadedComment>
  <x18tc:threadedComment ref="C59" dT="2026-06-08T02:46:41.00" personId="{c32e7fc1-8174-46d5-83fb-9f9244ea050e}" id="{1eccf9e6-5f07-4bf1-ab19-e3e01616da98}" done="0">
    <x18tc:text xml:space="preserve">This one is about looking at the agreeability of AI, which connects into sycophancy imo</x18tc:text>
  </x18tc:threadedComment>
  <x18tc:threadedComment ref="C59" dT="2026-06-09T03:14:47.00" personId="{ccc12252-a5d5-4444-a916-d471c864a47c}" id="{cc6e64ee-1916-4afc-a7b5-a4347e6a07fb}" parentId="{1eccf9e6-5f07-4bf1-ab19-e3e01616da98}">
    <x18tc:text xml:space="preserve">Yeah I agree as well, I believe I mistook this paper for another one</x18tc:text>
  </x18tc:threadedComment>
  <x18tc:threadedComment ref="C321" dT="2026-06-08T02:57:02.00" personId="{c32e7fc1-8174-46d5-83fb-9f9244ea050e}" id="{99dc1db9-3c41-4e7f-835c-6cff3264381f}" done="0">
    <x18tc:text xml:space="preserve">Feedback is a key part of sycophancy, as its talking about unhelpful feedback and relates to it not wanting to criticize human work</x18tc:text>
  </x18tc:threadedComment>
  <x18tc:threadedComment ref="C321" dT="2026-06-15T00:03:37.00" personId="{ccc12252-a5d5-4444-a916-d471c864a47c}" id="{84170fce-00f1-447a-b28e-6a89e0294b32}" parentId="{99dc1db9-3c41-4e7f-835c-6cff3264381f}">
    <x18tc:text xml:space="preserve">I agree, but find that this paper focuses much more on user feedback. Sycophancy is only mentioned once in the paper.</x18tc:text>
  </x18tc:threadedComment>
  <x18tc:threadedComment ref="C321" dT="2026-06-16T00:12:48.00" personId="{c32e7fc1-8174-46d5-83fb-9f9244ea050e}" id="{91fe061c-61a6-4e93-85ac-5cc71e9ecd77}" parentId="{99dc1db9-3c41-4e7f-835c-6cff3264381f}">
    <x18tc:text xml:space="preserve">I mean yeah, that is a fair point, but it kinda skirts around the idea without landing a hit, but yeah its not about it for these criteria</x18tc:text>
  </x18tc:threadedComment>
  <x18tc:threadedComment ref="C336" dT="2026-06-08T02:58:25.00" personId="{c32e7fc1-8174-46d5-83fb-9f9244ea050e}" id="{fbb6cf34-00a1-445b-9143-8a77b013e16f}" done="0">
    <x18tc:text xml:space="preserve">Not about sycophancy?</x18tc:text>
  </x18tc:threadedComment>
  <x18tc:threadedComment ref="C347" dT="2026-06-08T03:00:08.00" personId="{c32e7fc1-8174-46d5-83fb-9f9244ea050e}" id="{fb2dfd5b-e74f-43bd-8c5c-bf10fa7f61fb}" done="0">
    <x18tc:text xml:space="preserve">Is an extended abstract a research paper? it has basically the same parts imo</x18tc:text>
  </x18tc:threadedComment>
  <x18tc:threadedComment ref="C359" dT="2026-06-08T03:02:50.00" personId="{c32e7fc1-8174-46d5-83fb-9f9244ea050e}" id="{22e7d109-ceec-401c-9555-c02c05668a10}" done="0">
    <x18tc:text xml:space="preserve">It is about sycophancy partially</x18tc:text>
  </x18tc:threadedComment>
  <x18tc:threadedComment ref="C235" dT="2026-06-06T14:33:27.00" personId="{5a137479-4fa1-419d-9bb5-e3245e8f6d00}" id="{13a273fa-8a46-485b-930e-e5321c8dff93}" done="0">
    <x18tc:text xml:space="preserve">I think the paper is more about misinformation from LLMs that can harm animals instead of sycophancy itself, which is why I excluded it.</x18tc:text>
  </x18tc:threadedComment>
  <x18tc:threadedComment ref="C235" dT="2026-06-09T03:22:28.00" personId="{ccc12252-a5d5-4444-a916-d471c864a47c}" id="{2b2f01be-883a-4b69-bef6-8553da8f30b1}" parentId="{13a273fa-8a46-485b-930e-e5321c8dff93}">
    <x18tc:text xml:space="preserve">I see where you're coming from, at first when I read the paper I believed part of the misinformation stemmed from syophantic issues but now that I read more of it, it seems more misinformation based</x18tc:text>
  </x18tc:threadedComment>
  <x18tc:threadedComment ref="C250" dT="2026-06-06T14:43:17.00" personId="{5a137479-4fa1-419d-9bb5-e3245e8f6d00}" id="{85ff2310-1c12-4a93-ae41-76ff227f9874}" done="0">
    <x18tc:text xml:space="preserve">I excluded this because I think the paper is more about LLMs (through the CUAs) and their susceptibility to being tricked by the "dark patterns" instead of the LLMs acting sycophantic.</x18tc:text>
  </x18tc:threadedComment>
  <x18tc:threadedComment ref="C317" dT="2026-06-06T15:03:11.00" personId="{5a137479-4fa1-419d-9bb5-e3245e8f6d00}" id="{bc59abb7-009a-470a-8fe2-f1b0cd1fc5d6}" done="0">
    <x18tc:text xml:space="preserve">I excluded this because I thought the paper focused more on how LLMs can be used to deliver conversational news. It did mention sycophancy as a credibility/accuracy concern, but it felt more like a side note because it didn't study or analyze it further.</x18tc:text>
  </x18tc:threadedComment>
  <x18tc:threadedComment ref="C317" dT="2026-06-09T03:34:06.00" personId="{ccc12252-a5d5-4444-a916-d471c864a47c}" id="{5c178a62-a151-438f-b8e3-3f9ce7e556cf}" parentId="{bc59abb7-009a-470a-8fe2-f1b0cd1fc5d6}">
    <x18tc:text xml:space="preserve">I felt like sycophancy was analyzed in some detail, for example, "We observed two credibility-related tendencies in the conversation logs that deserve attention. The first concerns sycophancy, where the agent prioritizes user agreement over independent reasoning [7]. In one case, a simple word mix-up between “lime,” the fruit, and “lim,” meaning “glue,” led the agent to affirm an incorrect statement about pricing to Astrid."</x18tc:text>
  </x18tc:threadedComment>
  <x18tc:threadedComment ref="C318" dT="2026-06-06T15:19:26.00" personId="{5a137479-4fa1-419d-9bb5-e3245e8f6d00}" id="{ff2172d1-9c93-478a-adc1-573eb607154e}" done="0">
    <x18tc:text xml:space="preserve">I can see how LLMs used for mental health can bring up sycophancy concerns in general, but I think the paper mostly focuses on the responsible use and design of mental health LLM tools instead of giving insight on sycophancy.</x18tc:text>
  </x18tc:threadedComment>
  <x18tc:threadedComment ref="C320" dT="2026-06-06T15:25:42.00" personId="{5a137479-4fa1-419d-9bb5-e3245e8f6d00}" id="{79e32492-5bc9-44bd-8d29-ff0f828bb631}" done="0">
    <x18tc:text xml:space="preserve">I excluded this paper because I don't think it's about sycophancy. It's mostly about divination and AI, and sycophancy was briefly mentioned as a side note/concern.</x18tc:text>
  </x18tc:threadedComment>
  <x18tc:threadedComment ref="D39" dT="2026-06-07T22:18:40.00" personId="{cec9c410-b5c7-41c6-a50f-4db68979c144}" id="{74a9ff81-2ac9-4fc7-bda5-f5b9b70cefd4}" done="0">
    <x18tc:text xml:space="preserve">I included this because it touches on sycophancy by saying that it causes some vulnerabilities.</x18tc:text>
  </x18tc:threadedComment>
  <x18tc:threadedComment ref="D39" dT="2026-06-09T03:12:46.00" personId="{ccc12252-a5d5-4444-a916-d471c864a47c}" id="{d447f0d6-3445-43e6-b520-aab38282d8a3}" parentId="{74a9ff81-2ac9-4fc7-bda5-f5b9b70cefd4}">
    <x18tc:text xml:space="preserve">I see that this paper touches on sycophancy but I think it just mentions it as a problem, but it doesn't really talk about how AI disagrees, etc.</x18tc:text>
  </x18tc:threadedComment>
  <x18tc:threadedComment ref="D298" dT="2026-06-07T22:23:56.00" personId="{cec9c410-b5c7-41c6-a50f-4db68979c144}" id="{6a2bbb5f-3a19-4de2-b036-efacebbb6f14}" done="0">
    <x18tc:text xml:space="preserve">I excluded it because it mainly focuses on metacognitive struggles which is about awareness rather than sycophancy.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18" dT="2026-06-05T17:44:24.00" personId="{1b983a6c-9582-47e9-b31c-bb450a95793b}" id="{84d3666c-cd19-40e7-a83e-68a69af61a2a}" done="1">
    <x18tc:text xml:space="preserve">I excluded this one because this is categorized as a survey</x18tc:text>
  </x18tc:threadedComment>
  <x18tc:threadedComment ref="C230" dT="2026-06-05T17:48:05.00" personId="{1b983a6c-9582-47e9-b31c-bb450a95793b}" id="{5ff81198-d4ee-4412-aec3-1a3f0a8fbd9f}" done="1">
    <x18tc:text xml:space="preserve">I excluded this one because this is categorized as a poster</x18tc:text>
  </x18tc:threadedComment>
  <x18tc:threadedComment ref="C230" dT="2026-06-08T02:51:33.00" personId="{c32e7fc1-8174-46d5-83fb-9f9244ea050e}" id="{f26aa01d-a5a3-4724-b1f2-2e4de8fd4ba5}" parentId="{5ff81198-d4ee-4412-aec3-1a3f0a8fbd9f}">
    <x18tc:text xml:space="preserve">:thumbsup:</x18tc:text>
  </x18tc:threadedComment>
  <x18tc:threadedComment ref="C342" dT="2026-06-05T17:50:49.00" personId="{1b983a6c-9582-47e9-b31c-bb450a95793b}" id="{c3dd857e-a699-4367-bca1-2d38b51138a4}" done="0">
    <x18tc:text xml:space="preserve">I excluded this one because this is categorized as a extended abstract</x18tc:text>
  </x18tc:threadedComment>
  <x18tc:threadedComment ref="C342" dT="2026-06-08T02:59:23.00" personId="{c32e7fc1-8174-46d5-83fb-9f9244ea050e}" id="{b8f82bc4-bd04-4ba8-a118-b53aa7737940}" parentId="{c3dd857e-a699-4367-bca1-2d38b51138a4}">
    <x18tc:text xml:space="preserve">is an extended abstract count as a research paper?
it has most of the same parts imo</x18tc:text>
  </x18tc:threadedComment>
  <x18tc:threadedComment ref="C342" dT="2026-06-08T14:20:24.00" personId="{1b983a6c-9582-47e9-b31c-bb450a95793b}" id="{75f1efb8-012a-4810-a390-bc53676c6902}" parentId="{c3dd857e-a699-4367-bca1-2d38b51138a4}">
    <x18tc:text xml:space="preserve">From the Slack, "Is it an actual research article/paper (not a keynote speech, extended abstract, panel session, podcast, etc)"</x18tc:text>
  </x18tc:threadedComment>
  <x18tc:threadedComment ref="C342" dT="2026-06-09T02:51:53.00" personId="{c32e7fc1-8174-46d5-83fb-9f9244ea050e}" id="{c2f21b61-01a9-4b47-baf1-636e1bf5bbac}" parentId="{c3dd857e-a699-4367-bca1-2d38b51138a4}">
    <x18tc:text xml:space="preserve">copy</x18tc:text>
  </x18tc:threadedComment>
  <x18tc:threadedComment ref="C367" dT="2026-06-07T14:09:53.00" personId="{398e4f67-3df9-40b4-8941-d0b61c7bb9d1}" id="{ade33b8b-cb60-4816-a0d5-0d855b6e8390}" done="1">
    <x18tc:text xml:space="preserve">I excluded this because it's a survey, not a research paper</x18tc:text>
  </x18tc:threadedComment>
  <x18tc:threadedComment ref="C347" dT="2026-06-07T14:08:06.00" personId="{0d396bf4-3319-4dcd-aa61-d019547887bc}" id="{4fcc97c9-d4ec-4e72-8cba-0b332681935c}" done="1">
    <x18tc:text xml:space="preserve">&lt;&lt; extended-abstract, not research paper</x18tc:text>
  </x18tc:threadedComment>
  <x18tc:threadedComment ref="C347" dT="2026-06-07T14:08:29.00" personId="{398e4f67-3df9-40b4-8941-d0b61c7bb9d1}" id="{c9152bd6-73ea-4d78-b3c8-1d4b99c82716}" done="0">
    <x18tc:text xml:space="preserve">I excluded this because it's an extended-abstract, not a research paper</x18tc:text>
  </x18tc:threadedComment>
  <x18tc:threadedComment ref="C347" dT="2026-06-08T03:00:59.00" personId="{c32e7fc1-8174-46d5-83fb-9f9244ea050e}" id="{29638201-d470-4a95-b0ff-d71ced166c81}" parentId="{c9152bd6-73ea-4d78-b3c8-1d4b99c82716}">
    <x18tc:text xml:space="preserve">is extended abstract the same thing?</x18tc:text>
  </x18tc:threadedComment>
  <x18tc:threadedComment ref="C347" dT="2026-06-08T12:29:50.00" personId="{398e4f67-3df9-40b4-8941-d0b61c7bb9d1}" id="{24842eb3-00f3-41ae-9183-0d0ef67fd0a3}" parentId="{c9152bd6-73ea-4d78-b3c8-1d4b99c82716}">
    <x18tc:text xml:space="preserve">The professor's slack message on June 1st said: Is it an actual research article/paper (not a keynote speech, extended abstract, panel session, podcast, etc)
^ So I don't think we include extended abstract</x18tc:text>
  </x18tc:threadedComment>
  <x18tc:threadedComment ref="C347" dT="2026-06-09T02:52:19.00" personId="{c32e7fc1-8174-46d5-83fb-9f9244ea050e}" id="{262acc7a-159f-423a-8fe3-7ca969669349}" parentId="{c9152bd6-73ea-4d78-b3c8-1d4b99c82716}">
    <x18tc:text xml:space="preserve">copy</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5" dT="2026-09-08T03:09:08.00" personId="{398e4f67-3df9-40b4-8941-d0b61c7bb9d1}" id="{33c95b5b-3b83-452d-ac2b-b4fb8e9037b0}" done="0">
    <x18tc:text xml:space="preserve">The paper says on page 3:
Which is how they felt during the interaction, so I marked it. 
"However, users appeared more balanced in
their sentiment, with 23.6 % positive, 40.6 % negative, and 36.0
% neutral statements, whereas the chatbot debriefer barely made
any negative assessments (2.9 %)."</x18tc:text>
  </x18tc:threadedComment>
  <x18tc:threadedComment ref="Q5" dT="2026-09-12T01:36:15.00" personId="{cec9c410-b5c7-41c6-a50f-4db68979c144}" id="{1195c3ee-aa39-4a2d-88c3-61f12136ada4}" parentId="{33c95b5b-3b83-452d-ac2b-b4fb8e9037b0}">
    <x18tc:text xml:space="preserve">Marked as resolved</x18tc:text>
  </x18tc:threadedComment>
  <x18tc:threadedComment ref="Q5" dT="2026-09-12T01:36:20.00" personId="{cec9c410-b5c7-41c6-a50f-4db68979c144}" id="{0c4ae4e1-772a-4a36-a28b-afcbd99bc378}" parentId="{33c95b5b-3b83-452d-ac2b-b4fb8e9037b0}">
    <x18tc:text xml:space="preserve">Reopened</x18tc:text>
  </x18tc:threadedComment>
  <x18tc:threadedComment ref="L14" dT="2026-09-07T21:06:54.00" personId="{ccc12252-a5d5-4444-a916-d471c864a47c}" id="{2839e3af-758d-46e8-b0d8-9db0c1b2591c}" done="1">
    <x18tc:text xml:space="preserve">Since the paper mentioned sycophancy as "This aligns with previous findings on the sycophantic tendencies of LLMs [31], characterized by excessive agreement with the user"  I ticked this in as well</x18tc:text>
  </x18tc:threadedComment>
  <x18tc:threadedComment ref="G25" dT="2026-09-07T21:24:06.00" personId="{e783c1c2-0328-4308-bd03-d3859b4bc50d}" id="{e30e3a65-be0c-4c96-97d0-8a7169c1cd30}" done="1">
    <x18tc:text xml:space="preserve">In section 4, User Study Methods, the article mentions the study recruited 34 adults, but didn't specify whether they are students.</x18tc:text>
  </x18tc:threadedComment>
  <x18tc:threadedComment ref="D14" dT="2026-09-01T23:31:27.00" personId="{ccc12252-a5d5-4444-a916-d471c864a47c}" id="{69563d68-5e07-4ddb-b275-6635a5529c19}" done="0">
    <x18tc:text xml:space="preserve">I didn't think this paper focused much on sycophancy, let me know what you think</x18tc:text>
  </x18tc:threadedComment>
  <x18tc:threadedComment ref="D14" dT="2026-09-02T03:50:54.00" personId="{84b346cb-bfbe-4b69-8860-5450dba3afc1}" id="{211249ac-1a19-403d-8b70-4c1ae63ee468}" parentId="{69563d68-5e07-4ddb-b275-6635a5529c19}">
    <x18tc:text xml:space="preserve">I think this paper still touches on sycophancy although the emphasis is somewhere else. E.g. page 2 mentions the Agreeable personality can sometimes be perceived as sycophantic; page 3 mentions metrics shows high levels of agreeableness were found in all personality types, suggesting sycophantic tendencies of LLM.</x18tc:text>
  </x18tc:threadedComment>
  <x18tc:threadedComment ref="L35" dT="2026-09-02T20:08:47.00" personId="{1b983a6c-9582-47e9-b31c-bb450a95793b}" id="{10f72270-0f14-4c70-8531-d0c69284e901}" done="1">
    <x18tc:text xml:space="preserve">In the paper, they defined sycophancy as "a tendency for model responses to match user beliefs rather than truthful ones". I decided to choose only "bias agreement" as it was the closest to that definition.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0" dT="2026-08-31T18:07:08.00" personId="{5a137479-4fa1-419d-9bb5-e3245e8f6d00}" id="{9cac2ba6-6203-41d9-84b9-33e59f7e0cdb}" done="1">
    <x18tc:text xml:space="preserve">I picked this over the AI option based off how they used the SyEval benchmark to evaluate whether an LVLM was sycophantic. I don’t think AI is involved in the benchmark itself and how it evaluates (I think it’s more of a dataset/test?), but please let me know if you have a different opinion!!</x18tc:text>
  </x18tc:threadedComment>
  <x18tc:threadedComment ref="I20" dT="2026-08-31T18:08:48.00" personId="{5a137479-4fa1-419d-9bb5-e3245e8f6d00}" id="{7df70c0b-f768-4920-a036-d0173853fc06}" parentId="{9cac2ba6-6203-41d9-84b9-33e59f7e0cdb}">
    <x18tc:text xml:space="preserve">Marked as resolved</x18tc:text>
  </x18tc:threadedComment>
  <x18tc:threadedComment ref="I20" dT="2026-08-31T18:08:50.00" personId="{5a137479-4fa1-419d-9bb5-e3245e8f6d00}" id="{5dc54e93-5eb7-40ec-9b22-9efbdd2ffe09}" parentId="{9cac2ba6-6203-41d9-84b9-33e59f7e0cdb}">
    <x18tc:text xml:space="preserve">Reopened</x18tc:text>
  </x18tc:threadedComment>
  <x18tc:threadedComment ref="S30" dT="2026-09-08T02:10:02.00" personId="{1b983a6c-9582-47e9-b31c-bb450a95793b}" id="{28225238-e106-47a5-ae5f-709b97a7d3df}" done="0">
    <x18tc:text xml:space="preserve">I put system performance because this paper is about whether interaction contect changes how sycophantic the LLM is. Please let me know if you agree.</x18tc:text>
  </x18tc:threadedComment>
  <x18tc:threadedComment ref="L30" dT="2026-09-08T02:11:28.00" personId="{1b983a6c-9582-47e9-b31c-bb450a95793b}" id="{114264c0-4966-40f9-b530-c31dda0357d5}" done="0">
    <x18tc:text xml:space="preserve">The paper says, "Sycophancy refers to a broad class of mirroring behaviors in inter-
actions where one party reflects the other’s perspective, values, or
self-image". I believe bias agreement is the closest to that defination</x18tc:text>
  </x18tc:threadedComment>
  <x18tc:threadedComment ref="L30" dT="2026-09-08T11:47:51.00" personId="{0d396bf4-3319-4dcd-aa61-d019547887bc}" id="{95d845eb-08cc-45ab-b88c-ea9eb0b41ba4}" parentId="{114264c0-4966-40f9-b530-c31dda0357d5}">
    <x18tc:text xml:space="preserve">Marked as resolved</x18tc:text>
  </x18tc:threadedComment>
  <x18tc:threadedComment ref="L30" dT="2026-09-12T20:14:48.00" personId="{1b983a6c-9582-47e9-b31c-bb450a95793b}" id="{618fd632-6ec4-44b6-b232-361d38e548a7}" parentId="{114264c0-4966-40f9-b530-c31dda0357d5}">
    <x18tc:text xml:space="preserve">Reopened</x18tc:text>
  </x18tc:threadedComment>
  <x18tc:threadedComment ref="Q25" dT="2026-09-08T02:03:49.00" personId="{1b983a6c-9582-47e9-b31c-bb450a95793b}" id="{abb812d2-ecd2-4bbf-ab19-9f483a23cd49}" done="1">
    <x18tc:text xml:space="preserve">I also included user opinion because in the paper it says "Participants assessed their preferences, perceived dark pattern, emotional
responses, mitigation strategies, and views on responsibility.</x18tc:text>
  </x18tc:threadedComment>
  <x18tc:threadedComment ref="F37" dT="2026-09-07T20:45:05.00" personId="{ccc12252-a5d5-4444-a916-d471c864a47c}" id="{b63082b4-4ba7-4ddc-a8e5-ac3a08dafc6e}" done="1">
    <x18tc:text xml:space="preserve">Hi, I think the judges should go under students and a prompted AI as in Section B.2 it says " All human annotators were students either currently in law school or pursuing graduate research at the intersection of AI and Law." and in Section B.1 where it says "we use Qwen3-32B as a judge model to classify...". Let me know what you think</x18tc:text>
  </x18tc:threadedComment>
  <x18tc:threadedComment ref="M37" dT="2026-09-07T20:49:35.00" personId="{ccc12252-a5d5-4444-a916-d471c864a47c}" id="{1d4c5ad7-47b1-4776-8564-afe491e4cf58}" done="1">
    <x18tc:text xml:space="preserve">I based off my definition of sycophancy as "Models aligned with reinforcement learning from human feedback display sycophantic behavior, mirroring known user beliefs over prioritizing critical engagement." So I thought the last two satisfied the definition.</x18tc:text>
  </x18tc:threadedComment>
  <x18tc:threadedComment ref="M37" dT="2026-09-08T04:49:48.00" personId="{e783c1c2-0328-4308-bd03-d3859b4bc50d}" id="{1195b9bc-1e38-45f1-89ed-1c640648eb56}" parentId="{1d4c5ad7-47b1-4776-8564-afe491e4cf58}">
    <x18tc:text xml:space="preserve">Actually now reading this I feel it aligns more closely with Bias Agreement, as it focuses on the LLM overly aligning with the user's opinions rather than changing its stance in response to the user.</x18tc:text>
  </x18tc:threadedComment>
  <x18tc:threadedComment ref="E22" dT="2026-08-31T15:19:26.00" personId="{5a137479-4fa1-419d-9bb5-e3245e8f6d00}" id="{aff59c00-e633-48ba-ade5-5d749a1bf983}" done="0">
    <x18tc:text xml:space="preserve">I coded mine, and our mappings match! I initially left it blank though because I thought this wasn’t a sycophancy paper. I thought that it focused more on getting AI agents to influence/change human decision-making/opinion instead of the other way around where the agent changes its stance to please the user, but let me know what you think!! I brought this up in the Slack channel, but I think one of the INC/EXC people for this paper was inactive.</x18tc:text>
  </x18tc:threadedComment>
  <x18tc:threadedComment ref="E21" dT="2026-08-31T15:21:50.00" personId="{5a137479-4fa1-419d-9bb5-e3245e8f6d00}" id="{6257f994-953f-4ed6-af00-153e8fef4730}" done="0">
    <x18tc:text xml:space="preserve">I also don’t think this is a sycophancy paper and brought it up on the Slack channel, but I mapped it anyway! Just wanted to let you know</x18tc:text>
  </x18tc:threadedComment>
  <x18tc:threadedComment ref="Q24" dT="2026-08-31T14:54:39.00" personId="{5a137479-4fa1-419d-9bb5-e3245e8f6d00}" id="{0506ed3d-fdaf-487c-b83b-f5b1d17c353e}" done="1">
    <x18tc:text xml:space="preserve">I marked this instead of user action because under the “Measurements” section, the paper measured how participants felt/reacted to interacting with the agents using a Likert scale.</x18tc:text>
  </x18tc:threadedComment>
  <x18tc:threadedComment ref="F24" dT="2026-08-31T15:00:12.00" personId="{5a137479-4fa1-419d-9bb5-e3245e8f6d00}" id="{8bee91c0-e436-4e48-9152-a3e64d768060}" done="0">
    <x18tc:text xml:space="preserve">I marked this instead of the “authors” option because their participants were picked on some research recruitment platform. However, I see how the authors are technically judging the sycophancy since the participants didn’t assess sycophancy directly in their responses, but they do mention the agents being “yes-men” or overly validating which could count as them labeling the agents as sycophantic? I’m open to changing my mapping though if you have another perspective!!</x18tc:text>
  </x18tc:threadedComment>
  <x18tc:threadedComment ref="M24" dT="2026-08-31T14:41:03.00" personId="{5a137479-4fa1-419d-9bb5-e3245e8f6d00}" id="{00c78eaf-8d35-468b-8073-9cc44051b4c0}" done="1">
    <x18tc:text xml:space="preserve">I marked this as an X because some agents were made to have “complimentary” demeanor! They expressed praise and positive emotions when prompted by participants.</x18tc:text>
  </x18tc:threadedComment>
  <x18tc:threadedComment ref="F29" dT="2026-09-02T20:20:25.00" personId="{1b983a6c-9582-47e9-b31c-bb450a95793b}" id="{40ae72b8-d2e5-4dd5-a412-b07c701ff6b0}" done="1">
    <x18tc:text xml:space="preserve">In this study they had 238 participants but I can't find info on them being authors.</x18tc:text>
  </x18tc:threadedComment>
  <x18tc:threadedComment ref="L29" dT="2026-09-02T20:23:28.00" personId="{1b983a6c-9582-47e9-b31c-bb450a95793b}" id="{a9d976da-5b27-4316-b6b4-cc2d9e9d4beb}" done="1">
    <x18tc:text xml:space="preserve">In the paper, it says "phenomenon of "sycophancy" observed in Large Language Models (LLMs), where the use of human feedback to fine-tune AI assistants inadvertently encourages responses that align with users’ preferences rather than truthful information, creating generative echo-chambers". I believe "bias agreement" is the closest to that definition</x18tc:text>
  </x18tc:threadedComment>
  <x18tc:threadedComment ref="L31" dT="2026-09-02T21:00:22.00" personId="{1b983a6c-9582-47e9-b31c-bb450a95793b}" id="{baf01fa2-0200-4aa1-8227-5576ae0c378c}" done="0">
    <x18tc:text xml:space="preserve">One of the references this paper uses [17], defined sycophancy as "Sycophancy refers to the tendency of a large language model to align its outputs with the user's perceived preferences, beliefs, or opinions, in order to look favorable, regardless of whether those statements are factually correct"</x18tc:text>
  </x18tc:threadedComment>
  <x18tc:threadedComment ref="S27" dT="2026-09-02T20:09:37.00" personId="{1b983a6c-9582-47e9-b31c-bb450a95793b}" id="{f129d19b-d33f-4522-9c07-5e4f261fd398}" done="0">
    <x18tc:text xml:space="preserve">I believe it should be system performance because this study evaluates how well an LLM is as a peer reviewer.</x18tc:text>
  </x18tc:threadedComment>
  <x18tc:threadedComment ref="O11" dT="2026-09-04T11:01:40.00" personId="{e783c1c2-0328-4308-bd03-d3859b4bc50d}" id="{d62939ef-16a0-49bd-8e66-d64913ccdec0}" done="0">
    <x18tc:text xml:space="preserve">On page 3, the article says "it became clear over time thatChatGPT would apologize and agree with any correction provided by the user, even an erroneous correction". I think it falls under failure to challenge ideas. What do you think?</x18tc:text>
  </x18tc:threadedComment>
  <x18tc:threadedComment ref="O13" dT="2026-09-04T11:18:47.00" personId="{e783c1c2-0328-4308-bd03-d3859b4bc50d}" id="{fc5f7fb5-c322-42c1-95d1-aa4b55f856ed}" done="0">
    <x18tc:text xml:space="preserve">I marked this because in section 2, one of the definitions is Faithfulness Hallucination. But let me know what you think!</x18tc:text>
  </x18tc:threadedComment>
  <x18tc:threadedComment ref="R16" dT="2026-09-05T05:38:58.00" personId="{e783c1c2-0328-4308-bd03-d3859b4bc50d}" id="{76575e8d-12de-4eb8-b80e-017d20aa43a6}" done="0">
    <x18tc:text xml:space="preserve">I was mainly looking at section 5 for Outcomes, but I didn't find user action is measured in this section.</x18tc:text>
  </x18tc:threadedComment>
  <x18tc:threadedComment ref="Q17" dT="2026-09-06T06:29:49.00" personId="{e783c1c2-0328-4308-bd03-d3859b4bc50d}" id="{8212c47a-30e5-446a-8864-50cc131c909a}" done="0">
    <x18tc:text xml:space="preserve">I marked user opinion as in the Finding section, the paper references user opinions from interviews. e.g. pg 8, the paper mentions that a participant thinks LLM changing stances in their response is annoying</x18tc:text>
  </x18tc:threadedComment>
  <x18tc:threadedComment ref="S17" dT="2026-09-06T06:31:19.00" personId="{e783c1c2-0328-4308-bd03-d3859b4bc50d}" id="{adbe3bb7-dd9a-4e46-9000-8012f3dfef50}" done="0">
    <x18tc:text xml:space="preserve">I was mainly looking at the Findings sections for outcomes. I didn't see system performance mentioned, so I didn't mark it.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9" dT="2026-06-19T02:25:35.00" personId="{c32e7fc1-8174-46d5-83fb-9f9244ea050e}" id="{2b909a10-6ca1-445e-b705-67f61b1650d4}" done="0">
    <x18tc:text xml:space="preserve">Unsure about this if my comment and this are equivalent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oi.org/10.1145/3610073" TargetMode="External"/><Relationship Id="rId194" Type="http://schemas.openxmlformats.org/officeDocument/2006/relationships/hyperlink" Target="https://doi.org/10.1145/3639372" TargetMode="External"/><Relationship Id="rId193" Type="http://schemas.openxmlformats.org/officeDocument/2006/relationships/hyperlink" Target="https://doi.org/10.1145/3605764.3623985" TargetMode="External"/><Relationship Id="rId192" Type="http://schemas.openxmlformats.org/officeDocument/2006/relationships/hyperlink" Target="https://doi.org/10.1145/3748620" TargetMode="External"/><Relationship Id="rId191" Type="http://schemas.openxmlformats.org/officeDocument/2006/relationships/hyperlink" Target="https://doi.org/10.1145/3642979.3642984" TargetMode="External"/><Relationship Id="rId187" Type="http://schemas.openxmlformats.org/officeDocument/2006/relationships/hyperlink" Target="https://doi.org/10.1145/3715275.3732038" TargetMode="External"/><Relationship Id="rId186" Type="http://schemas.openxmlformats.org/officeDocument/2006/relationships/hyperlink" Target="https://doi.org/10.1145/3715275.3732146" TargetMode="External"/><Relationship Id="rId185" Type="http://schemas.openxmlformats.org/officeDocument/2006/relationships/hyperlink" Target="https://doi.org/10.1145/3772318.3791726" TargetMode="External"/><Relationship Id="rId184" Type="http://schemas.openxmlformats.org/officeDocument/2006/relationships/hyperlink" Target="https://doi.org/10.1145/3779295" TargetMode="External"/><Relationship Id="rId189" Type="http://schemas.openxmlformats.org/officeDocument/2006/relationships/hyperlink" Target="https://doi.org/10.1145/3706598.3713408" TargetMode="External"/><Relationship Id="rId188" Type="http://schemas.openxmlformats.org/officeDocument/2006/relationships/hyperlink" Target="https://doi.org/10.1145/3772318.3791845" TargetMode="External"/><Relationship Id="rId183" Type="http://schemas.openxmlformats.org/officeDocument/2006/relationships/hyperlink" Target="https://doi.org/10.1145/3744169.3744195" TargetMode="External"/><Relationship Id="rId182" Type="http://schemas.openxmlformats.org/officeDocument/2006/relationships/hyperlink" Target="https://doi.org/10.1145/3757544" TargetMode="External"/><Relationship Id="rId181" Type="http://schemas.openxmlformats.org/officeDocument/2006/relationships/hyperlink" Target="https://doi.org/10.1145/3772318.3791248" TargetMode="External"/><Relationship Id="rId180" Type="http://schemas.openxmlformats.org/officeDocument/2006/relationships/hyperlink" Target="https://doi.org/10.1145/3769126.3769241" TargetMode="External"/><Relationship Id="rId176" Type="http://schemas.openxmlformats.org/officeDocument/2006/relationships/hyperlink" Target="https://doi.org/10.1145/3778354" TargetMode="External"/><Relationship Id="rId297" Type="http://schemas.openxmlformats.org/officeDocument/2006/relationships/hyperlink" Target="https://doi.org/10.1145/2830903.2830908" TargetMode="External"/><Relationship Id="rId175" Type="http://schemas.openxmlformats.org/officeDocument/2006/relationships/hyperlink" Target="https://doi.org/10.1145/3721201.3721385" TargetMode="External"/><Relationship Id="rId296" Type="http://schemas.openxmlformats.org/officeDocument/2006/relationships/hyperlink" Target="https://doi.org/10.1145/2038916.2038939" TargetMode="External"/><Relationship Id="rId174" Type="http://schemas.openxmlformats.org/officeDocument/2006/relationships/hyperlink" Target="https://doi.org/10.1145/3703454" TargetMode="External"/><Relationship Id="rId295" Type="http://schemas.openxmlformats.org/officeDocument/2006/relationships/hyperlink" Target="https://doi.org/10.1145/2901318.2901337" TargetMode="External"/><Relationship Id="rId173" Type="http://schemas.openxmlformats.org/officeDocument/2006/relationships/hyperlink" Target="https://doi.org/10.1145/3772318.3791640" TargetMode="External"/><Relationship Id="rId294" Type="http://schemas.openxmlformats.org/officeDocument/2006/relationships/hyperlink" Target="https://doi.org/10.1145/2631187" TargetMode="External"/><Relationship Id="rId179" Type="http://schemas.openxmlformats.org/officeDocument/2006/relationships/hyperlink" Target="https://doi.org/10.1145/3770749" TargetMode="External"/><Relationship Id="rId178" Type="http://schemas.openxmlformats.org/officeDocument/2006/relationships/hyperlink" Target="https://doi.org/10.1145/3772318.3793266" TargetMode="External"/><Relationship Id="rId299" Type="http://schemas.openxmlformats.org/officeDocument/2006/relationships/hyperlink" Target="https://doi.org/10.1145/2791285" TargetMode="External"/><Relationship Id="rId177" Type="http://schemas.openxmlformats.org/officeDocument/2006/relationships/hyperlink" Target="https://doi.org/10.1145/3757424" TargetMode="External"/><Relationship Id="rId298" Type="http://schemas.openxmlformats.org/officeDocument/2006/relationships/hyperlink" Target="https://doi.org/10.1145/1989323.1989327" TargetMode="External"/><Relationship Id="rId198" Type="http://schemas.openxmlformats.org/officeDocument/2006/relationships/hyperlink" Target="https://doi.org/10.1145/3758871.3758905" TargetMode="External"/><Relationship Id="rId197" Type="http://schemas.openxmlformats.org/officeDocument/2006/relationships/hyperlink" Target="https://doi.org/10.1145/1276958.1277335" TargetMode="External"/><Relationship Id="rId196" Type="http://schemas.openxmlformats.org/officeDocument/2006/relationships/hyperlink" Target="https://doi.org/10.1145/1216295.1216357" TargetMode="External"/><Relationship Id="rId195" Type="http://schemas.openxmlformats.org/officeDocument/2006/relationships/hyperlink" Target="https://doi.org/10.1145/3528381" TargetMode="External"/><Relationship Id="rId199" Type="http://schemas.openxmlformats.org/officeDocument/2006/relationships/hyperlink" Target="https://doi.org/10.1145/1518701.1519021" TargetMode="External"/><Relationship Id="rId150" Type="http://schemas.openxmlformats.org/officeDocument/2006/relationships/hyperlink" Target="https://doi.org/10.1145/3772318.3791600" TargetMode="External"/><Relationship Id="rId271" Type="http://schemas.openxmlformats.org/officeDocument/2006/relationships/hyperlink" Target="https://doi.org/10.1145/3267809.3267847" TargetMode="External"/><Relationship Id="rId392" Type="http://schemas.openxmlformats.org/officeDocument/2006/relationships/hyperlink" Target="https://doi.org/10.1145/6617.6618" TargetMode="External"/><Relationship Id="rId270" Type="http://schemas.openxmlformats.org/officeDocument/2006/relationships/hyperlink" Target="https://doi.org/10.14778/2947618.2947625" TargetMode="External"/><Relationship Id="rId391" Type="http://schemas.openxmlformats.org/officeDocument/2006/relationships/hyperlink" Target="https://doi.org/10.1145/28395.28431" TargetMode="External"/><Relationship Id="rId390" Type="http://schemas.openxmlformats.org/officeDocument/2006/relationships/hyperlink" Target="https://doi.org/10.3115/981175.981177" TargetMode="External"/><Relationship Id="rId1" Type="http://schemas.openxmlformats.org/officeDocument/2006/relationships/hyperlink" Target="https://ieeexplore.ieee.org/stamp/stamp.jsp?arnumber=11460702" TargetMode="External"/><Relationship Id="rId2" Type="http://schemas.openxmlformats.org/officeDocument/2006/relationships/hyperlink" Target="https://ieeexplore.ieee.org/stamp/stamp.jsp?arnumber=10825538" TargetMode="External"/><Relationship Id="rId3" Type="http://schemas.openxmlformats.org/officeDocument/2006/relationships/hyperlink" Target="https://ieeexplore.ieee.org/stamp/stamp.jsp?arnumber=11424465" TargetMode="External"/><Relationship Id="rId149" Type="http://schemas.openxmlformats.org/officeDocument/2006/relationships/hyperlink" Target="https://doi.org/10.1145/3768165" TargetMode="External"/><Relationship Id="rId4" Type="http://schemas.openxmlformats.org/officeDocument/2006/relationships/hyperlink" Target="https://ieeexplore.ieee.org/stamp/stamp.jsp?arnumber=1431446" TargetMode="External"/><Relationship Id="rId148" Type="http://schemas.openxmlformats.org/officeDocument/2006/relationships/hyperlink" Target="https://doi.org/10.1145/3757886" TargetMode="External"/><Relationship Id="rId269" Type="http://schemas.openxmlformats.org/officeDocument/2006/relationships/hyperlink" Target="https://doi.org/10.1145/3289604" TargetMode="External"/><Relationship Id="rId9" Type="http://schemas.openxmlformats.org/officeDocument/2006/relationships/hyperlink" Target="https://ieeexplore.ieee.org/stamp/stamp.jsp?arnumber=11508939" TargetMode="External"/><Relationship Id="rId143" Type="http://schemas.openxmlformats.org/officeDocument/2006/relationships/hyperlink" Target="https://doi.org/10.1145/3772318.3790271" TargetMode="External"/><Relationship Id="rId264" Type="http://schemas.openxmlformats.org/officeDocument/2006/relationships/hyperlink" Target="https://doi.org/10.1145/3330393.3330402" TargetMode="External"/><Relationship Id="rId385" Type="http://schemas.openxmlformats.org/officeDocument/2006/relationships/hyperlink" Target="https://doi.org/10.1145/358027.358046" TargetMode="External"/><Relationship Id="rId142" Type="http://schemas.openxmlformats.org/officeDocument/2006/relationships/hyperlink" Target="https://doi.org/10.1145/3810945" TargetMode="External"/><Relationship Id="rId263" Type="http://schemas.openxmlformats.org/officeDocument/2006/relationships/hyperlink" Target="https://doi.org/10.1145/3126594.3126640" TargetMode="External"/><Relationship Id="rId384" Type="http://schemas.openxmlformats.org/officeDocument/2006/relationships/hyperlink" Target="https://doi.org/10.1145/175208.175220" TargetMode="External"/><Relationship Id="rId141" Type="http://schemas.openxmlformats.org/officeDocument/2006/relationships/hyperlink" Target="https://doi.org/10.1145/3757279.3785553" TargetMode="External"/><Relationship Id="rId262" Type="http://schemas.openxmlformats.org/officeDocument/2006/relationships/hyperlink" Target="https://doi.org/10.1145/3339458" TargetMode="External"/><Relationship Id="rId383" Type="http://schemas.openxmlformats.org/officeDocument/2006/relationships/hyperlink" Target="https://doi.org/10.1145/381807.381810" TargetMode="External"/><Relationship Id="rId140" Type="http://schemas.openxmlformats.org/officeDocument/2006/relationships/hyperlink" Target="https://doi.org/10.1145/3715275.3732094" TargetMode="External"/><Relationship Id="rId261" Type="http://schemas.openxmlformats.org/officeDocument/2006/relationships/hyperlink" Target="https://doi.org/10.1145/3363459.3363540" TargetMode="External"/><Relationship Id="rId382" Type="http://schemas.openxmlformats.org/officeDocument/2006/relationships/hyperlink" Target="https://doi.org/10.3115/991886.991970" TargetMode="External"/><Relationship Id="rId5" Type="http://schemas.openxmlformats.org/officeDocument/2006/relationships/hyperlink" Target="https://ieeexplore.ieee.org/stamp/stamp.jsp?arnumber=4299963" TargetMode="External"/><Relationship Id="rId147" Type="http://schemas.openxmlformats.org/officeDocument/2006/relationships/hyperlink" Target="https://doi.org/10.1613/jair.1.17654" TargetMode="External"/><Relationship Id="rId268" Type="http://schemas.openxmlformats.org/officeDocument/2006/relationships/hyperlink" Target="https://doi.org/10.1145/3241038" TargetMode="External"/><Relationship Id="rId389" Type="http://schemas.openxmlformats.org/officeDocument/2006/relationships/hyperlink" Target="https://doi.org/10.1145/63047.63088" TargetMode="External"/><Relationship Id="rId6" Type="http://schemas.openxmlformats.org/officeDocument/2006/relationships/hyperlink" Target="https://ieeexplore.ieee.org/stamp/stamp.jsp?arnumber=735370" TargetMode="External"/><Relationship Id="rId146" Type="http://schemas.openxmlformats.org/officeDocument/2006/relationships/hyperlink" Target="https://doi.org/10.1145/3769689" TargetMode="External"/><Relationship Id="rId267" Type="http://schemas.openxmlformats.org/officeDocument/2006/relationships/hyperlink" Target="https://doi.org/10.1145/3041960" TargetMode="External"/><Relationship Id="rId388" Type="http://schemas.openxmlformats.org/officeDocument/2006/relationships/hyperlink" Target="https://doi.org/10.1145/122153.122160" TargetMode="External"/><Relationship Id="rId7" Type="http://schemas.openxmlformats.org/officeDocument/2006/relationships/hyperlink" Target="https://ieeexplore.ieee.org/stamp/stamp.jsp?arnumber=10771051" TargetMode="External"/><Relationship Id="rId145" Type="http://schemas.openxmlformats.org/officeDocument/2006/relationships/hyperlink" Target="https://doi.org/10.1145/3676536.3698390" TargetMode="External"/><Relationship Id="rId266" Type="http://schemas.openxmlformats.org/officeDocument/2006/relationships/hyperlink" Target="https://doi.org/10.1145/2504847" TargetMode="External"/><Relationship Id="rId387" Type="http://schemas.openxmlformats.org/officeDocument/2006/relationships/hyperlink" Target="https://doi.org/10.3115/980262.980281" TargetMode="External"/><Relationship Id="rId8" Type="http://schemas.openxmlformats.org/officeDocument/2006/relationships/hyperlink" Target="https://ieeexplore.ieee.org/stamp/stamp.jsp?arnumber=10590666" TargetMode="External"/><Relationship Id="rId144" Type="http://schemas.openxmlformats.org/officeDocument/2006/relationships/hyperlink" Target="https://doi.org/10.1145/3774904.3792671" TargetMode="External"/><Relationship Id="rId265" Type="http://schemas.openxmlformats.org/officeDocument/2006/relationships/hyperlink" Target="https://doi.org/10.1145/3308558.3313400" TargetMode="External"/><Relationship Id="rId386" Type="http://schemas.openxmlformats.org/officeDocument/2006/relationships/hyperlink" Target="https://doi.org/10.1145/122153.122159" TargetMode="External"/><Relationship Id="rId260" Type="http://schemas.openxmlformats.org/officeDocument/2006/relationships/hyperlink" Target="https://doi.org/10.1145/3313831.3376612" TargetMode="External"/><Relationship Id="rId381" Type="http://schemas.openxmlformats.org/officeDocument/2006/relationships/hyperlink" Target="https://doi.org/10.1145/199688.199776" TargetMode="External"/><Relationship Id="rId380" Type="http://schemas.openxmlformats.org/officeDocument/2006/relationships/hyperlink" Target="https://doi.org/10.1145/221270.221624" TargetMode="External"/><Relationship Id="rId139" Type="http://schemas.openxmlformats.org/officeDocument/2006/relationships/hyperlink" Target="https://doi.org/10.1145/3772318.3790292" TargetMode="External"/><Relationship Id="rId138" Type="http://schemas.openxmlformats.org/officeDocument/2006/relationships/hyperlink" Target="https://doi.org/10.1145/3772318.3791428" TargetMode="External"/><Relationship Id="rId259" Type="http://schemas.openxmlformats.org/officeDocument/2006/relationships/hyperlink" Target="https://doi.org/10.1145/3232162" TargetMode="External"/><Relationship Id="rId137" Type="http://schemas.openxmlformats.org/officeDocument/2006/relationships/hyperlink" Target="https://doi.org/10.1145/3736731.3746137" TargetMode="External"/><Relationship Id="rId258" Type="http://schemas.openxmlformats.org/officeDocument/2006/relationships/hyperlink" Target="https://doi.org/10.1145/3387514.3405863" TargetMode="External"/><Relationship Id="rId379" Type="http://schemas.openxmlformats.org/officeDocument/2006/relationships/hyperlink" Target="https://doi.org/10.1145/238168.238181" TargetMode="External"/><Relationship Id="rId132" Type="http://schemas.openxmlformats.org/officeDocument/2006/relationships/hyperlink" Target="https://doi.org/10.1145/3772363.3799334" TargetMode="External"/><Relationship Id="rId253" Type="http://schemas.openxmlformats.org/officeDocument/2006/relationships/hyperlink" Target="https://doi.org/10.1145/3442381.3449990" TargetMode="External"/><Relationship Id="rId374" Type="http://schemas.openxmlformats.org/officeDocument/2006/relationships/hyperlink" Target="https://doi.org/10.1145/196734.196738" TargetMode="External"/><Relationship Id="rId131" Type="http://schemas.openxmlformats.org/officeDocument/2006/relationships/hyperlink" Target="https://doi.org/10.1145/3746252.3761448" TargetMode="External"/><Relationship Id="rId252" Type="http://schemas.openxmlformats.org/officeDocument/2006/relationships/hyperlink" Target="https://doi.org/10.14778/3476311.3476373" TargetMode="External"/><Relationship Id="rId373" Type="http://schemas.openxmlformats.org/officeDocument/2006/relationships/hyperlink" Target="https://doi.org/10.3115/990820.990864" TargetMode="External"/><Relationship Id="rId130" Type="http://schemas.openxmlformats.org/officeDocument/2006/relationships/hyperlink" Target="https://doi.org/10.1145/3757442" TargetMode="External"/><Relationship Id="rId251" Type="http://schemas.openxmlformats.org/officeDocument/2006/relationships/hyperlink" Target="https://doi.org/10.1145/3492833" TargetMode="External"/><Relationship Id="rId372" Type="http://schemas.openxmlformats.org/officeDocument/2006/relationships/hyperlink" Target="https://doi.org/10.1145/375663.375720" TargetMode="External"/><Relationship Id="rId250" Type="http://schemas.openxmlformats.org/officeDocument/2006/relationships/hyperlink" Target="https://doi.org/10.1145/3383668.3419909" TargetMode="External"/><Relationship Id="rId371" Type="http://schemas.openxmlformats.org/officeDocument/2006/relationships/hyperlink" Target="https://doi.org/10.1145/262116.262142" TargetMode="External"/><Relationship Id="rId136" Type="http://schemas.openxmlformats.org/officeDocument/2006/relationships/hyperlink" Target="https://doi.org/10.1145/3708359.3712104" TargetMode="External"/><Relationship Id="rId257" Type="http://schemas.openxmlformats.org/officeDocument/2006/relationships/hyperlink" Target="https://doi.org/10.1145/3384473" TargetMode="External"/><Relationship Id="rId378" Type="http://schemas.openxmlformats.org/officeDocument/2006/relationships/hyperlink" Target="https://doi.org/10.1145/333140.333146" TargetMode="External"/><Relationship Id="rId135" Type="http://schemas.openxmlformats.org/officeDocument/2006/relationships/hyperlink" Target="https://doi.org/10.1145/3736425.3770093" TargetMode="External"/><Relationship Id="rId256" Type="http://schemas.openxmlformats.org/officeDocument/2006/relationships/hyperlink" Target="https://doi.org/10.1145/3290607.3312915" TargetMode="External"/><Relationship Id="rId377" Type="http://schemas.openxmlformats.org/officeDocument/2006/relationships/hyperlink" Target="https://doi.org/10.1145/266399.266405" TargetMode="External"/><Relationship Id="rId134" Type="http://schemas.openxmlformats.org/officeDocument/2006/relationships/hyperlink" Target="https://doi.org/10.1145/3706598.3713406" TargetMode="External"/><Relationship Id="rId255" Type="http://schemas.openxmlformats.org/officeDocument/2006/relationships/hyperlink" Target="https://doi.org/10.1145/3461778.3462087" TargetMode="External"/><Relationship Id="rId376" Type="http://schemas.openxmlformats.org/officeDocument/2006/relationships/hyperlink" Target="https://doi.org/10.1145/309831.309929" TargetMode="External"/><Relationship Id="rId133" Type="http://schemas.openxmlformats.org/officeDocument/2006/relationships/hyperlink" Target="https://doi.org/10.1145/3772363.3798512" TargetMode="External"/><Relationship Id="rId254" Type="http://schemas.openxmlformats.org/officeDocument/2006/relationships/hyperlink" Target="https://doi.org/10.1145/3297858.3304022" TargetMode="External"/><Relationship Id="rId375" Type="http://schemas.openxmlformats.org/officeDocument/2006/relationships/hyperlink" Target="https://doi.org/10.1145/296336.296354" TargetMode="External"/><Relationship Id="rId172" Type="http://schemas.openxmlformats.org/officeDocument/2006/relationships/hyperlink" Target="https://doi.org/10.1145/3772318.3791381" TargetMode="External"/><Relationship Id="rId293" Type="http://schemas.openxmlformats.org/officeDocument/2006/relationships/hyperlink" Target="https://doi.org/10.1109/ISCA.2016.15" TargetMode="External"/><Relationship Id="rId171" Type="http://schemas.openxmlformats.org/officeDocument/2006/relationships/hyperlink" Target="https://doi.org/10.1145/3772318.3790529" TargetMode="External"/><Relationship Id="rId292" Type="http://schemas.openxmlformats.org/officeDocument/2006/relationships/hyperlink" Target="https://doi.org/10.1145/2987550.2987579" TargetMode="External"/><Relationship Id="rId170" Type="http://schemas.openxmlformats.org/officeDocument/2006/relationships/hyperlink" Target="https://doi.org/10.1145/3715275.3732063" TargetMode="External"/><Relationship Id="rId291" Type="http://schemas.openxmlformats.org/officeDocument/2006/relationships/hyperlink" Target="https://doi.org/10.14778/3025111.3025113" TargetMode="External"/><Relationship Id="rId290" Type="http://schemas.openxmlformats.org/officeDocument/2006/relationships/hyperlink" Target="https://doi.org/10.1145/2897824.2925888" TargetMode="External"/><Relationship Id="rId165" Type="http://schemas.openxmlformats.org/officeDocument/2006/relationships/hyperlink" Target="https://doi.org/10.1145/3640543.3645148" TargetMode="External"/><Relationship Id="rId286" Type="http://schemas.openxmlformats.org/officeDocument/2006/relationships/hyperlink" Target="https://doi.org/10.1145/2964284.2984067" TargetMode="External"/><Relationship Id="rId164" Type="http://schemas.openxmlformats.org/officeDocument/2006/relationships/hyperlink" Target="https://doi.org/10.1145/3772318.3790456" TargetMode="External"/><Relationship Id="rId285" Type="http://schemas.openxmlformats.org/officeDocument/2006/relationships/hyperlink" Target="https://doi.org/10.1145/3033273" TargetMode="External"/><Relationship Id="rId163" Type="http://schemas.openxmlformats.org/officeDocument/2006/relationships/hyperlink" Target="https://doi.org/10.1145/3772318.3790385" TargetMode="External"/><Relationship Id="rId284" Type="http://schemas.openxmlformats.org/officeDocument/2006/relationships/hyperlink" Target="https://doi.org/10.1145/2742488" TargetMode="External"/><Relationship Id="rId162" Type="http://schemas.openxmlformats.org/officeDocument/2006/relationships/hyperlink" Target="https://doi.org/10.1145/3772318.3791880" TargetMode="External"/><Relationship Id="rId283" Type="http://schemas.openxmlformats.org/officeDocument/2006/relationships/hyperlink" Target="https://doi.org/10.1109/CCGrid.2015.115" TargetMode="External"/><Relationship Id="rId169" Type="http://schemas.openxmlformats.org/officeDocument/2006/relationships/hyperlink" Target="https://doi.org/10.1145/3772318.3790358" TargetMode="External"/><Relationship Id="rId168" Type="http://schemas.openxmlformats.org/officeDocument/2006/relationships/hyperlink" Target="https://doi.org/10.1145/3772318.3790332" TargetMode="External"/><Relationship Id="rId289" Type="http://schemas.openxmlformats.org/officeDocument/2006/relationships/hyperlink" Target="https://doi.org/10.1145/2933349.2933359" TargetMode="External"/><Relationship Id="rId167" Type="http://schemas.openxmlformats.org/officeDocument/2006/relationships/hyperlink" Target="https://doi.org/10.1145/3637528.3671481" TargetMode="External"/><Relationship Id="rId288" Type="http://schemas.openxmlformats.org/officeDocument/2006/relationships/hyperlink" Target="https://doi.org/10.1145/3056662.3056667" TargetMode="External"/><Relationship Id="rId166" Type="http://schemas.openxmlformats.org/officeDocument/2006/relationships/hyperlink" Target="https://doi.org/10.14236/ewic/BCSHCI2025.10" TargetMode="External"/><Relationship Id="rId287" Type="http://schemas.openxmlformats.org/officeDocument/2006/relationships/hyperlink" Target="https://doi.org/10.1145/2666216.2666222" TargetMode="External"/><Relationship Id="rId161" Type="http://schemas.openxmlformats.org/officeDocument/2006/relationships/hyperlink" Target="https://doi.org/10.1145/3772318.3790859" TargetMode="External"/><Relationship Id="rId282" Type="http://schemas.openxmlformats.org/officeDocument/2006/relationships/hyperlink" Target="https://doi.org/10.1145/2391229.2391237" TargetMode="External"/><Relationship Id="rId160" Type="http://schemas.openxmlformats.org/officeDocument/2006/relationships/hyperlink" Target="https://doi.org/10.1145/3742413.3789147" TargetMode="External"/><Relationship Id="rId281" Type="http://schemas.openxmlformats.org/officeDocument/2006/relationships/hyperlink" Target="https://doi.org/10.1109/TNET.2017.2669215" TargetMode="External"/><Relationship Id="rId280" Type="http://schemas.openxmlformats.org/officeDocument/2006/relationships/hyperlink" Target="https://doi.org/10.1145/2465351.2465361" TargetMode="External"/><Relationship Id="rId159" Type="http://schemas.openxmlformats.org/officeDocument/2006/relationships/hyperlink" Target="https://doi.org/10.1145/3772318.3791632" TargetMode="External"/><Relationship Id="rId154" Type="http://schemas.openxmlformats.org/officeDocument/2006/relationships/hyperlink" Target="https://doi.org/10.1145/3772318.3791060" TargetMode="External"/><Relationship Id="rId275" Type="http://schemas.openxmlformats.org/officeDocument/2006/relationships/hyperlink" Target="https://doi.org/10.1145/2983927" TargetMode="External"/><Relationship Id="rId396" Type="http://schemas.openxmlformats.org/officeDocument/2006/relationships/drawing" Target="../drawings/drawing2.xml"/><Relationship Id="rId153" Type="http://schemas.openxmlformats.org/officeDocument/2006/relationships/hyperlink" Target="https://doi.org/10.1145/3719160.3736611" TargetMode="External"/><Relationship Id="rId274" Type="http://schemas.openxmlformats.org/officeDocument/2006/relationships/hyperlink" Target="https://doi.org/10.1145/2741948.2741956" TargetMode="External"/><Relationship Id="rId395" Type="http://schemas.openxmlformats.org/officeDocument/2006/relationships/hyperlink" Target="https://doi.org/10.1145/1500175.1500178" TargetMode="External"/><Relationship Id="rId152" Type="http://schemas.openxmlformats.org/officeDocument/2006/relationships/hyperlink" Target="https://doi.org/10.1145/3772318.3791560" TargetMode="External"/><Relationship Id="rId273" Type="http://schemas.openxmlformats.org/officeDocument/2006/relationships/hyperlink" Target="https://doi.org/10.1145/2536536.2536628" TargetMode="External"/><Relationship Id="rId394" Type="http://schemas.openxmlformats.org/officeDocument/2006/relationships/hyperlink" Target="https://doi.org/10.3115/981436.981467" TargetMode="External"/><Relationship Id="rId151" Type="http://schemas.openxmlformats.org/officeDocument/2006/relationships/hyperlink" Target="https://doi.org/10.1145/3657604.3662042" TargetMode="External"/><Relationship Id="rId272" Type="http://schemas.openxmlformats.org/officeDocument/2006/relationships/hyperlink" Target="https://doi.org/10.1145/3273982.3273989" TargetMode="External"/><Relationship Id="rId393" Type="http://schemas.openxmlformats.org/officeDocument/2006/relationships/hyperlink" Target="https://doi.org/10.1145/1045264.1045265" TargetMode="External"/><Relationship Id="rId158" Type="http://schemas.openxmlformats.org/officeDocument/2006/relationships/hyperlink" Target="https://doi.org/10.1145/3772318.3790303" TargetMode="External"/><Relationship Id="rId279" Type="http://schemas.openxmlformats.org/officeDocument/2006/relationships/hyperlink" Target="https://doi.org/10.1109/CCGRID.2017.49" TargetMode="External"/><Relationship Id="rId157" Type="http://schemas.openxmlformats.org/officeDocument/2006/relationships/hyperlink" Target="https://doi.org/10.1145/3613904.3642159" TargetMode="External"/><Relationship Id="rId278" Type="http://schemas.openxmlformats.org/officeDocument/2006/relationships/hyperlink" Target="https://doi.org/10.1145/3085574" TargetMode="External"/><Relationship Id="rId156" Type="http://schemas.openxmlformats.org/officeDocument/2006/relationships/hyperlink" Target="https://doi.org/10.1145/3705294" TargetMode="External"/><Relationship Id="rId277" Type="http://schemas.openxmlformats.org/officeDocument/2006/relationships/hyperlink" Target="https://doi.org/10.1145/2806777.2806850" TargetMode="External"/><Relationship Id="rId155" Type="http://schemas.openxmlformats.org/officeDocument/2006/relationships/hyperlink" Target="https://doi.org/10.1145/3742413.3789111" TargetMode="External"/><Relationship Id="rId276" Type="http://schemas.openxmlformats.org/officeDocument/2006/relationships/hyperlink" Target="https://doi.org/10.1145/2541940.2541951" TargetMode="External"/><Relationship Id="rId40" Type="http://schemas.openxmlformats.org/officeDocument/2006/relationships/hyperlink" Target="https://doi.org/10.1145/3772318.3791079" TargetMode="External"/><Relationship Id="rId42" Type="http://schemas.openxmlformats.org/officeDocument/2006/relationships/hyperlink" Target="https://doi.org/10.1145/3772363.3798575" TargetMode="External"/><Relationship Id="rId41" Type="http://schemas.openxmlformats.org/officeDocument/2006/relationships/hyperlink" Target="https://doi.org/10.1145/3772363.3798611" TargetMode="External"/><Relationship Id="rId44" Type="http://schemas.openxmlformats.org/officeDocument/2006/relationships/hyperlink" Target="https://doi.org/10.1145/3786335.3813137" TargetMode="External"/><Relationship Id="rId43" Type="http://schemas.openxmlformats.org/officeDocument/2006/relationships/hyperlink" Target="https://doi.org/10.1145/3774904.3792506" TargetMode="External"/><Relationship Id="rId46" Type="http://schemas.openxmlformats.org/officeDocument/2006/relationships/hyperlink" Target="https://doi.org/10.1145/3772363.3799156" TargetMode="External"/><Relationship Id="rId45" Type="http://schemas.openxmlformats.org/officeDocument/2006/relationships/hyperlink" Target="https://doi.org/10.1145/3772363.3798923" TargetMode="External"/><Relationship Id="rId48" Type="http://schemas.openxmlformats.org/officeDocument/2006/relationships/hyperlink" Target="https://doi.org/10.1145/3772318.3791233" TargetMode="External"/><Relationship Id="rId47" Type="http://schemas.openxmlformats.org/officeDocument/2006/relationships/hyperlink" Target="https://doi.org/10.1145/3742413.3789120" TargetMode="External"/><Relationship Id="rId49" Type="http://schemas.openxmlformats.org/officeDocument/2006/relationships/hyperlink" Target="https://doi.org/10.1145/3788646.3789536" TargetMode="External"/><Relationship Id="rId31" Type="http://schemas.openxmlformats.org/officeDocument/2006/relationships/hyperlink" Target="https://ieeexplore.ieee.org/stamp/stamp.jsp?arnumber=11334577" TargetMode="External"/><Relationship Id="rId30" Type="http://schemas.openxmlformats.org/officeDocument/2006/relationships/hyperlink" Target="https://ieeexplore.ieee.org/stamp/stamp.jsp?arnumber=11269633" TargetMode="External"/><Relationship Id="rId33" Type="http://schemas.openxmlformats.org/officeDocument/2006/relationships/hyperlink" Target="https://ieeexplore.ieee.org/stamp/stamp.jsp?arnumber=11467909" TargetMode="External"/><Relationship Id="rId32" Type="http://schemas.openxmlformats.org/officeDocument/2006/relationships/hyperlink" Target="https://ieeexplore.ieee.org/stamp/stamp.jsp?arnumber=11037824" TargetMode="External"/><Relationship Id="rId35" Type="http://schemas.openxmlformats.org/officeDocument/2006/relationships/hyperlink" Target="https://doi.org/10.1145/3772318.3790934" TargetMode="External"/><Relationship Id="rId34" Type="http://schemas.openxmlformats.org/officeDocument/2006/relationships/hyperlink" Target="https://ieeexplore.ieee.org/stamp/stamp.jsp?arnumber=11531012" TargetMode="External"/><Relationship Id="rId37" Type="http://schemas.openxmlformats.org/officeDocument/2006/relationships/hyperlink" Target="https://doi.org/10.1145/3776734.3794532" TargetMode="External"/><Relationship Id="rId36" Type="http://schemas.openxmlformats.org/officeDocument/2006/relationships/hyperlink" Target="https://doi.org/10.1145/3772318.3791365" TargetMode="External"/><Relationship Id="rId39" Type="http://schemas.openxmlformats.org/officeDocument/2006/relationships/hyperlink" Target="https://doi.org/10.1145/3746027.3755778" TargetMode="External"/><Relationship Id="rId38" Type="http://schemas.openxmlformats.org/officeDocument/2006/relationships/hyperlink" Target="https://doi.org/10.1145/3772318.3791915" TargetMode="External"/><Relationship Id="rId20" Type="http://schemas.openxmlformats.org/officeDocument/2006/relationships/hyperlink" Target="https://ieeexplore.ieee.org/stamp/stamp.jsp?arnumber=5409737" TargetMode="External"/><Relationship Id="rId22" Type="http://schemas.openxmlformats.org/officeDocument/2006/relationships/hyperlink" Target="https://ieeexplore.ieee.org/stamp/stamp.jsp?arnumber=11029593" TargetMode="External"/><Relationship Id="rId21" Type="http://schemas.openxmlformats.org/officeDocument/2006/relationships/hyperlink" Target="https://ieeexplore.ieee.org/stamp/stamp.jsp?arnumber=10585495" TargetMode="External"/><Relationship Id="rId24" Type="http://schemas.openxmlformats.org/officeDocument/2006/relationships/hyperlink" Target="https://ieeexplore.ieee.org/xpl/ebooks/bookPdfWithBanner.jsp?fileName=8646901.pdf&amp;bkn=8646803&amp;pdfType=chapter" TargetMode="External"/><Relationship Id="rId23" Type="http://schemas.openxmlformats.org/officeDocument/2006/relationships/hyperlink" Target="https://ieeexplore.ieee.org/stamp/stamp.jsp?arnumber=1554950" TargetMode="External"/><Relationship Id="rId26" Type="http://schemas.openxmlformats.org/officeDocument/2006/relationships/hyperlink" Target="https://ieeexplore.ieee.org/stamp/stamp.jsp?arnumber=11189226" TargetMode="External"/><Relationship Id="rId25" Type="http://schemas.openxmlformats.org/officeDocument/2006/relationships/hyperlink" Target="https://ieeexplore.ieee.org/stamp/stamp.jsp?arnumber=11400739" TargetMode="External"/><Relationship Id="rId28" Type="http://schemas.openxmlformats.org/officeDocument/2006/relationships/hyperlink" Target="https://ieeexplore.ieee.org/stamp/stamp.jsp?arnumber=11270034" TargetMode="External"/><Relationship Id="rId27" Type="http://schemas.openxmlformats.org/officeDocument/2006/relationships/hyperlink" Target="https://ieeexplore.ieee.org/stamp/stamp.jsp?arnumber=11521627" TargetMode="External"/><Relationship Id="rId29" Type="http://schemas.openxmlformats.org/officeDocument/2006/relationships/hyperlink" Target="https://ieeexplore.ieee.org/stamp/stamp.jsp?arnumber=6921105" TargetMode="External"/><Relationship Id="rId11" Type="http://schemas.openxmlformats.org/officeDocument/2006/relationships/hyperlink" Target="https://ieeexplore.ieee.org/stamp/stamp.jsp?arnumber=11462217" TargetMode="External"/><Relationship Id="rId10" Type="http://schemas.openxmlformats.org/officeDocument/2006/relationships/hyperlink" Target="https://ieeexplore.ieee.org/stamp/stamp.jsp?arnumber=11345775" TargetMode="External"/><Relationship Id="rId13" Type="http://schemas.openxmlformats.org/officeDocument/2006/relationships/hyperlink" Target="https://ieeexplore.ieee.org/stamp/stamp.jsp?arnumber=6056911" TargetMode="External"/><Relationship Id="rId12" Type="http://schemas.openxmlformats.org/officeDocument/2006/relationships/hyperlink" Target="https://ieeexplore.ieee.org/stamp/stamp.jsp?arnumber=8372225" TargetMode="External"/><Relationship Id="rId15" Type="http://schemas.openxmlformats.org/officeDocument/2006/relationships/hyperlink" Target="https://ieeexplore.ieee.org/stamp/stamp.jsp?arnumber=10820709" TargetMode="External"/><Relationship Id="rId14" Type="http://schemas.openxmlformats.org/officeDocument/2006/relationships/hyperlink" Target="https://ieeexplore.ieee.org/stamp/stamp.jsp?arnumber=11449950" TargetMode="External"/><Relationship Id="rId17" Type="http://schemas.openxmlformats.org/officeDocument/2006/relationships/hyperlink" Target="https://ieeexplore.ieee.org/stamp/stamp.jsp?arnumber=4580542" TargetMode="External"/><Relationship Id="rId16" Type="http://schemas.openxmlformats.org/officeDocument/2006/relationships/hyperlink" Target="https://ieeexplore.ieee.org/stamp/stamp.jsp?arnumber=11519295" TargetMode="External"/><Relationship Id="rId19" Type="http://schemas.openxmlformats.org/officeDocument/2006/relationships/hyperlink" Target="https://ieeexplore.ieee.org/stamp/stamp.jsp?arnumber=5427110" TargetMode="External"/><Relationship Id="rId18" Type="http://schemas.openxmlformats.org/officeDocument/2006/relationships/hyperlink" Target="https://ieeexplore.ieee.org/stamp/stamp.jsp?arnumber=9381292" TargetMode="External"/><Relationship Id="rId84" Type="http://schemas.openxmlformats.org/officeDocument/2006/relationships/hyperlink" Target="https://doi.org/10.1145/3772318.3790340" TargetMode="External"/><Relationship Id="rId83" Type="http://schemas.openxmlformats.org/officeDocument/2006/relationships/hyperlink" Target="https://doi.org/10.1145/3744169.3744194" TargetMode="External"/><Relationship Id="rId86" Type="http://schemas.openxmlformats.org/officeDocument/2006/relationships/hyperlink" Target="https://doi.org/10.1145/3802598" TargetMode="External"/><Relationship Id="rId85" Type="http://schemas.openxmlformats.org/officeDocument/2006/relationships/hyperlink" Target="https://doi.org/10.1145/3772363.3778745" TargetMode="External"/><Relationship Id="rId88" Type="http://schemas.openxmlformats.org/officeDocument/2006/relationships/hyperlink" Target="https://doi.org/10.1145/3772363.3798812" TargetMode="External"/><Relationship Id="rId87" Type="http://schemas.openxmlformats.org/officeDocument/2006/relationships/hyperlink" Target="https://doi.org/10.1145/3786167.3788413" TargetMode="External"/><Relationship Id="rId89" Type="http://schemas.openxmlformats.org/officeDocument/2006/relationships/hyperlink" Target="https://doi.org/10.1145/3630106.3659037" TargetMode="External"/><Relationship Id="rId80" Type="http://schemas.openxmlformats.org/officeDocument/2006/relationships/hyperlink" Target="https://doi.org/10.1145/3714394.3756275" TargetMode="External"/><Relationship Id="rId82" Type="http://schemas.openxmlformats.org/officeDocument/2006/relationships/hyperlink" Target="https://doi.org/10.1145/3716628" TargetMode="External"/><Relationship Id="rId81" Type="http://schemas.openxmlformats.org/officeDocument/2006/relationships/hyperlink" Target="https://doi.org/10.1145/3715073.3715075" TargetMode="External"/><Relationship Id="rId73" Type="http://schemas.openxmlformats.org/officeDocument/2006/relationships/hyperlink" Target="https://doi.org/10.1145/3772318.3791556" TargetMode="External"/><Relationship Id="rId72" Type="http://schemas.openxmlformats.org/officeDocument/2006/relationships/hyperlink" Target="https://doi.org/10.1145/3708359.3712145" TargetMode="External"/><Relationship Id="rId75" Type="http://schemas.openxmlformats.org/officeDocument/2006/relationships/hyperlink" Target="https://doi.org/10.1145/3706468.3706564" TargetMode="External"/><Relationship Id="rId74" Type="http://schemas.openxmlformats.org/officeDocument/2006/relationships/hyperlink" Target="https://doi.org/10.1145/3772318.3809104" TargetMode="External"/><Relationship Id="rId77" Type="http://schemas.openxmlformats.org/officeDocument/2006/relationships/hyperlink" Target="https://doi.org/10.1145/3772318.3791363" TargetMode="External"/><Relationship Id="rId76" Type="http://schemas.openxmlformats.org/officeDocument/2006/relationships/hyperlink" Target="https://doi.org/10.1145/3793679" TargetMode="External"/><Relationship Id="rId79" Type="http://schemas.openxmlformats.org/officeDocument/2006/relationships/hyperlink" Target="https://doi.org/10.1145/3742413.3789218" TargetMode="External"/><Relationship Id="rId78" Type="http://schemas.openxmlformats.org/officeDocument/2006/relationships/hyperlink" Target="https://doi.org/10.1145/3800687" TargetMode="External"/><Relationship Id="rId71" Type="http://schemas.openxmlformats.org/officeDocument/2006/relationships/hyperlink" Target="https://doi.org/10.1145/3701188" TargetMode="External"/><Relationship Id="rId70" Type="http://schemas.openxmlformats.org/officeDocument/2006/relationships/hyperlink" Target="https://doi.org/10.1145/3772363.3798705" TargetMode="External"/><Relationship Id="rId62" Type="http://schemas.openxmlformats.org/officeDocument/2006/relationships/hyperlink" Target="https://doi.org/10.1145/3772318.3791775" TargetMode="External"/><Relationship Id="rId61" Type="http://schemas.openxmlformats.org/officeDocument/2006/relationships/hyperlink" Target="https://doi.org/10.1145/3736731.3786118" TargetMode="External"/><Relationship Id="rId64" Type="http://schemas.openxmlformats.org/officeDocument/2006/relationships/hyperlink" Target="https://doi.org/10.1145/3765766.3765852" TargetMode="External"/><Relationship Id="rId63" Type="http://schemas.openxmlformats.org/officeDocument/2006/relationships/hyperlink" Target="https://doi.org/10.1145/3703155" TargetMode="External"/><Relationship Id="rId66" Type="http://schemas.openxmlformats.org/officeDocument/2006/relationships/hyperlink" Target="https://doi.org/10.1145/3706599.3719976" TargetMode="External"/><Relationship Id="rId65" Type="http://schemas.openxmlformats.org/officeDocument/2006/relationships/hyperlink" Target="https://doi.org/10.1145/3746252.3761151" TargetMode="External"/><Relationship Id="rId68" Type="http://schemas.openxmlformats.org/officeDocument/2006/relationships/hyperlink" Target="https://doi.org/10.1145/3774904.3792976" TargetMode="External"/><Relationship Id="rId67" Type="http://schemas.openxmlformats.org/officeDocument/2006/relationships/hyperlink" Target="https://doi.org/10.1145/3772318.3808894" TargetMode="External"/><Relationship Id="rId60" Type="http://schemas.openxmlformats.org/officeDocument/2006/relationships/hyperlink" Target="https://doi.org/10.1145/3772318.3791300" TargetMode="External"/><Relationship Id="rId69" Type="http://schemas.openxmlformats.org/officeDocument/2006/relationships/hyperlink" Target="https://doi.org/10.1145/3772318.3791571" TargetMode="External"/><Relationship Id="rId51" Type="http://schemas.openxmlformats.org/officeDocument/2006/relationships/hyperlink" Target="https://doi.org/10.1145/3772318.3790739" TargetMode="External"/><Relationship Id="rId50" Type="http://schemas.openxmlformats.org/officeDocument/2006/relationships/hyperlink" Target="https://doi.org/10.1145/3719160.3736618" TargetMode="External"/><Relationship Id="rId53" Type="http://schemas.openxmlformats.org/officeDocument/2006/relationships/hyperlink" Target="https://doi.org/10.1145/3715275.3732039" TargetMode="External"/><Relationship Id="rId52" Type="http://schemas.openxmlformats.org/officeDocument/2006/relationships/hyperlink" Target="https://doi.org/10.1109/SCW63240.2024.00017" TargetMode="External"/><Relationship Id="rId55" Type="http://schemas.openxmlformats.org/officeDocument/2006/relationships/hyperlink" Target="https://doi.org/10.1145/3715070.3749272" TargetMode="External"/><Relationship Id="rId54" Type="http://schemas.openxmlformats.org/officeDocument/2006/relationships/hyperlink" Target="https://doi.org/10.1145/3663547.3746319" TargetMode="External"/><Relationship Id="rId57" Type="http://schemas.openxmlformats.org/officeDocument/2006/relationships/hyperlink" Target="https://doi.org/10.1145/3772363.3798453" TargetMode="External"/><Relationship Id="rId56" Type="http://schemas.openxmlformats.org/officeDocument/2006/relationships/hyperlink" Target="https://doi.org/10.1145/3772318.3790279" TargetMode="External"/><Relationship Id="rId59" Type="http://schemas.openxmlformats.org/officeDocument/2006/relationships/hyperlink" Target="https://doi.org/10.1145/3772318.3791851" TargetMode="External"/><Relationship Id="rId58" Type="http://schemas.openxmlformats.org/officeDocument/2006/relationships/hyperlink" Target="https://doi.org/10.1145/3772318.3791149" TargetMode="External"/><Relationship Id="rId107" Type="http://schemas.openxmlformats.org/officeDocument/2006/relationships/hyperlink" Target="https://doi.org/10.1145/3742413.3789223" TargetMode="External"/><Relationship Id="rId228" Type="http://schemas.openxmlformats.org/officeDocument/2006/relationships/hyperlink" Target="https://doi.org/10.1145/3772318.3791012" TargetMode="External"/><Relationship Id="rId349" Type="http://schemas.openxmlformats.org/officeDocument/2006/relationships/hyperlink" Target="https://doi.org/10.14778/1938545.1938549" TargetMode="External"/><Relationship Id="rId106" Type="http://schemas.openxmlformats.org/officeDocument/2006/relationships/hyperlink" Target="https://doi.org/10.1145/3772318.3790907" TargetMode="External"/><Relationship Id="rId227" Type="http://schemas.openxmlformats.org/officeDocument/2006/relationships/hyperlink" Target="https://doi.org/10.1145/3716553.3750784" TargetMode="External"/><Relationship Id="rId348" Type="http://schemas.openxmlformats.org/officeDocument/2006/relationships/hyperlink" Target="https://doi.org/10.1145/2018584.2018596" TargetMode="External"/><Relationship Id="rId105" Type="http://schemas.openxmlformats.org/officeDocument/2006/relationships/hyperlink" Target="https://doi.org/10.1145/3815195" TargetMode="External"/><Relationship Id="rId226" Type="http://schemas.openxmlformats.org/officeDocument/2006/relationships/hyperlink" Target="https://doi.org/10.1145/3757659" TargetMode="External"/><Relationship Id="rId347" Type="http://schemas.openxmlformats.org/officeDocument/2006/relationships/hyperlink" Target="https://doi.org/10.1145/2107502.2107511" TargetMode="External"/><Relationship Id="rId104" Type="http://schemas.openxmlformats.org/officeDocument/2006/relationships/hyperlink" Target="https://doi.org/10.1145/3772318.3791484" TargetMode="External"/><Relationship Id="rId225" Type="http://schemas.openxmlformats.org/officeDocument/2006/relationships/hyperlink" Target="https://doi.org/10.1145/3658644.3691638" TargetMode="External"/><Relationship Id="rId346" Type="http://schemas.openxmlformats.org/officeDocument/2006/relationships/hyperlink" Target="https://doi.org/10.1145/2110205.2110209" TargetMode="External"/><Relationship Id="rId109" Type="http://schemas.openxmlformats.org/officeDocument/2006/relationships/hyperlink" Target="https://doi.org/10.1145/3772318.3790697" TargetMode="External"/><Relationship Id="rId108" Type="http://schemas.openxmlformats.org/officeDocument/2006/relationships/hyperlink" Target="https://doi.org/10.1145/3799914.3799919" TargetMode="External"/><Relationship Id="rId229" Type="http://schemas.openxmlformats.org/officeDocument/2006/relationships/hyperlink" Target="https://doi.org/10.1145/3731459.3786222" TargetMode="External"/><Relationship Id="rId220" Type="http://schemas.openxmlformats.org/officeDocument/2006/relationships/hyperlink" Target="https://doi.org/10.1145/1088222.1088226" TargetMode="External"/><Relationship Id="rId341" Type="http://schemas.openxmlformats.org/officeDocument/2006/relationships/hyperlink" Target="https://doi.org/10.1145/2342356.2342360" TargetMode="External"/><Relationship Id="rId340" Type="http://schemas.openxmlformats.org/officeDocument/2006/relationships/hyperlink" Target="https://doi.org/10.1145/2133382.2133388" TargetMode="External"/><Relationship Id="rId103" Type="http://schemas.openxmlformats.org/officeDocument/2006/relationships/hyperlink" Target="https://doi.org/10.1145/3786304.3787879" TargetMode="External"/><Relationship Id="rId224" Type="http://schemas.openxmlformats.org/officeDocument/2006/relationships/hyperlink" Target="https://doi.org/10.1145/3742413.3789123" TargetMode="External"/><Relationship Id="rId345" Type="http://schemas.openxmlformats.org/officeDocument/2006/relationships/hyperlink" Target="https://doi.org/10.1145/2254756.2254766" TargetMode="External"/><Relationship Id="rId102" Type="http://schemas.openxmlformats.org/officeDocument/2006/relationships/hyperlink" Target="https://doi.org/10.1145/3772318.3790812" TargetMode="External"/><Relationship Id="rId223" Type="http://schemas.openxmlformats.org/officeDocument/2006/relationships/hyperlink" Target="https://doi.org/10.1145/3735402" TargetMode="External"/><Relationship Id="rId344" Type="http://schemas.openxmlformats.org/officeDocument/2006/relationships/hyperlink" Target="https://doi.org/10.1145/2155620.2155651" TargetMode="External"/><Relationship Id="rId101" Type="http://schemas.openxmlformats.org/officeDocument/2006/relationships/hyperlink" Target="https://doi.org/10.1145/3772318.3790461" TargetMode="External"/><Relationship Id="rId222" Type="http://schemas.openxmlformats.org/officeDocument/2006/relationships/hyperlink" Target="https://doi.org/10.1145/3078468.3078471" TargetMode="External"/><Relationship Id="rId343" Type="http://schemas.openxmlformats.org/officeDocument/2006/relationships/hyperlink" Target="https://doi.org/10.1145/1740390.1740408" TargetMode="External"/><Relationship Id="rId100" Type="http://schemas.openxmlformats.org/officeDocument/2006/relationships/hyperlink" Target="https://doi.org/10.1145/3742413.3789136" TargetMode="External"/><Relationship Id="rId221" Type="http://schemas.openxmlformats.org/officeDocument/2006/relationships/hyperlink" Target="https://doi.org/10.1145/3331543.3342580" TargetMode="External"/><Relationship Id="rId342" Type="http://schemas.openxmlformats.org/officeDocument/2006/relationships/hyperlink" Target="https://doi.org/10.1145/1755913.1755916" TargetMode="External"/><Relationship Id="rId217" Type="http://schemas.openxmlformats.org/officeDocument/2006/relationships/hyperlink" Target="https://doi.org/10.1145/274644.274667" TargetMode="External"/><Relationship Id="rId338" Type="http://schemas.openxmlformats.org/officeDocument/2006/relationships/hyperlink" Target="https://doi.org/10.1145/1807060.1807061" TargetMode="External"/><Relationship Id="rId216" Type="http://schemas.openxmlformats.org/officeDocument/2006/relationships/hyperlink" Target="https://doi.org/10.1145/1120212.1120419" TargetMode="External"/><Relationship Id="rId337" Type="http://schemas.openxmlformats.org/officeDocument/2006/relationships/hyperlink" Target="https://doi.org/10.1145/2336727.2336738" TargetMode="External"/><Relationship Id="rId215" Type="http://schemas.openxmlformats.org/officeDocument/2006/relationships/hyperlink" Target="https://doi.org/10.1145/332040.332406" TargetMode="External"/><Relationship Id="rId336" Type="http://schemas.openxmlformats.org/officeDocument/2006/relationships/hyperlink" Target="https://doi.org/10.1145/2508363.2508381" TargetMode="External"/><Relationship Id="rId214" Type="http://schemas.openxmlformats.org/officeDocument/2006/relationships/hyperlink" Target="https://doi.org/10.1145/764008.763957" TargetMode="External"/><Relationship Id="rId335" Type="http://schemas.openxmlformats.org/officeDocument/2006/relationships/hyperlink" Target="https://doi.org/10.1145/1837915.1837918" TargetMode="External"/><Relationship Id="rId219" Type="http://schemas.openxmlformats.org/officeDocument/2006/relationships/hyperlink" Target="https://doi.org/10.1145/174690.174697" TargetMode="External"/><Relationship Id="rId218" Type="http://schemas.openxmlformats.org/officeDocument/2006/relationships/hyperlink" Target="https://doi.org/10.3115/991886.991938" TargetMode="External"/><Relationship Id="rId339" Type="http://schemas.openxmlformats.org/officeDocument/2006/relationships/hyperlink" Target="https://doi.org/10.1145/2377677.2377681" TargetMode="External"/><Relationship Id="rId330" Type="http://schemas.openxmlformats.org/officeDocument/2006/relationships/hyperlink" Target="https://doi.org/10.1145/1823838.1823840" TargetMode="External"/><Relationship Id="rId213" Type="http://schemas.openxmlformats.org/officeDocument/2006/relationships/hyperlink" Target="https://doi.org/10.1145/1141880.1523452" TargetMode="External"/><Relationship Id="rId334" Type="http://schemas.openxmlformats.org/officeDocument/2006/relationships/hyperlink" Target="https://doi.org/10.1145/1899928.1899942" TargetMode="External"/><Relationship Id="rId212" Type="http://schemas.openxmlformats.org/officeDocument/2006/relationships/hyperlink" Target="https://doi.org/10.1145/3698896.3722209" TargetMode="External"/><Relationship Id="rId333" Type="http://schemas.openxmlformats.org/officeDocument/2006/relationships/hyperlink" Target="https://doi.org/10.1145/2038916.2038917" TargetMode="External"/><Relationship Id="rId211" Type="http://schemas.openxmlformats.org/officeDocument/2006/relationships/hyperlink" Target="https://doi.org/10.1145/1274000.1274062" TargetMode="External"/><Relationship Id="rId332" Type="http://schemas.openxmlformats.org/officeDocument/2006/relationships/hyperlink" Target="https://doi.org/10.1145/2512348" TargetMode="External"/><Relationship Id="rId210" Type="http://schemas.openxmlformats.org/officeDocument/2006/relationships/hyperlink" Target="https://doi.org/10.1145/1965724.1965746" TargetMode="External"/><Relationship Id="rId331" Type="http://schemas.openxmlformats.org/officeDocument/2006/relationships/hyperlink" Target="https://doi.org/10.1145/2523616.2523635" TargetMode="External"/><Relationship Id="rId370" Type="http://schemas.openxmlformats.org/officeDocument/2006/relationships/hyperlink" Target="https://doi.org/10.1145/67544.66934" TargetMode="External"/><Relationship Id="rId129" Type="http://schemas.openxmlformats.org/officeDocument/2006/relationships/hyperlink" Target="https://doi.org/10.1145/3746058.3758468" TargetMode="External"/><Relationship Id="rId128" Type="http://schemas.openxmlformats.org/officeDocument/2006/relationships/hyperlink" Target="https://doi.org/10.1145/3800683" TargetMode="External"/><Relationship Id="rId249" Type="http://schemas.openxmlformats.org/officeDocument/2006/relationships/hyperlink" Target="https://doi.org/10.1145/3555153" TargetMode="External"/><Relationship Id="rId127" Type="http://schemas.openxmlformats.org/officeDocument/2006/relationships/hyperlink" Target="https://doi.org/10.1145/3671016.3674821" TargetMode="External"/><Relationship Id="rId248" Type="http://schemas.openxmlformats.org/officeDocument/2006/relationships/hyperlink" Target="https://doi.org/10.1145/3544793.3560382" TargetMode="External"/><Relationship Id="rId369" Type="http://schemas.openxmlformats.org/officeDocument/2006/relationships/hyperlink" Target="https://doi.org/10.1145/581710.581733" TargetMode="External"/><Relationship Id="rId126" Type="http://schemas.openxmlformats.org/officeDocument/2006/relationships/hyperlink" Target="https://doi.org/10.1145/3800580" TargetMode="External"/><Relationship Id="rId247" Type="http://schemas.openxmlformats.org/officeDocument/2006/relationships/hyperlink" Target="https://doi.org/10.1145/3538225" TargetMode="External"/><Relationship Id="rId368" Type="http://schemas.openxmlformats.org/officeDocument/2006/relationships/hyperlink" Target="https://doi.org/10.3115/1117554.1117558" TargetMode="External"/><Relationship Id="rId121" Type="http://schemas.openxmlformats.org/officeDocument/2006/relationships/hyperlink" Target="https://doi.org/10.1145/3706598.3713220" TargetMode="External"/><Relationship Id="rId242" Type="http://schemas.openxmlformats.org/officeDocument/2006/relationships/hyperlink" Target="https://doi.org/10.1145/3640352" TargetMode="External"/><Relationship Id="rId363" Type="http://schemas.openxmlformats.org/officeDocument/2006/relationships/hyperlink" Target="https://doi.org/10.1145/1409360.1409363" TargetMode="External"/><Relationship Id="rId120" Type="http://schemas.openxmlformats.org/officeDocument/2006/relationships/hyperlink" Target="https://doi.org/10.1145/3772318.3790388" TargetMode="External"/><Relationship Id="rId241" Type="http://schemas.openxmlformats.org/officeDocument/2006/relationships/hyperlink" Target="https://doi.org/10.1145/3582515.3609571" TargetMode="External"/><Relationship Id="rId362" Type="http://schemas.openxmlformats.org/officeDocument/2006/relationships/hyperlink" Target="https://doi.org/10.1145/514236.514248" TargetMode="External"/><Relationship Id="rId240" Type="http://schemas.openxmlformats.org/officeDocument/2006/relationships/hyperlink" Target="https://doi.org/10.1145/3491102.3517546" TargetMode="External"/><Relationship Id="rId361" Type="http://schemas.openxmlformats.org/officeDocument/2006/relationships/hyperlink" Target="https://doi.org/10.1145/1596685.1596827" TargetMode="External"/><Relationship Id="rId360" Type="http://schemas.openxmlformats.org/officeDocument/2006/relationships/hyperlink" Target="https://doi.org/10.1145/1807167.1807194" TargetMode="External"/><Relationship Id="rId125" Type="http://schemas.openxmlformats.org/officeDocument/2006/relationships/hyperlink" Target="https://doi.org/10.1145/3706598.3713675" TargetMode="External"/><Relationship Id="rId246" Type="http://schemas.openxmlformats.org/officeDocument/2006/relationships/hyperlink" Target="https://doi.org/10.1145/3544549.3582735" TargetMode="External"/><Relationship Id="rId367" Type="http://schemas.openxmlformats.org/officeDocument/2006/relationships/hyperlink" Target="https://doi.org/10.3115/1220175.1220289" TargetMode="External"/><Relationship Id="rId124" Type="http://schemas.openxmlformats.org/officeDocument/2006/relationships/hyperlink" Target="https://doi.org/10.1145/3793638.3793643" TargetMode="External"/><Relationship Id="rId245" Type="http://schemas.openxmlformats.org/officeDocument/2006/relationships/hyperlink" Target="https://doi.org/10.1145/3448018.3458007" TargetMode="External"/><Relationship Id="rId366" Type="http://schemas.openxmlformats.org/officeDocument/2006/relationships/hyperlink" Target="https://doi.org/10.1145/343048.343076" TargetMode="External"/><Relationship Id="rId123" Type="http://schemas.openxmlformats.org/officeDocument/2006/relationships/hyperlink" Target="https://doi.org/10.1145/3772363.3798562" TargetMode="External"/><Relationship Id="rId244" Type="http://schemas.openxmlformats.org/officeDocument/2006/relationships/hyperlink" Target="https://doi.org/10.1145/3610027" TargetMode="External"/><Relationship Id="rId365" Type="http://schemas.openxmlformats.org/officeDocument/2006/relationships/hyperlink" Target="https://doi.org/10.1145/1621890.1621914" TargetMode="External"/><Relationship Id="rId122" Type="http://schemas.openxmlformats.org/officeDocument/2006/relationships/hyperlink" Target="https://doi.org/10.1145/3746059.3747680" TargetMode="External"/><Relationship Id="rId243" Type="http://schemas.openxmlformats.org/officeDocument/2006/relationships/hyperlink" Target="https://doi.org/10.1145/3655103.3655107" TargetMode="External"/><Relationship Id="rId364" Type="http://schemas.openxmlformats.org/officeDocument/2006/relationships/hyperlink" Target="https://doi.org/10.1145/1394669.1394689" TargetMode="External"/><Relationship Id="rId95" Type="http://schemas.openxmlformats.org/officeDocument/2006/relationships/hyperlink" Target="https://doi.org/10.1145/3762989" TargetMode="External"/><Relationship Id="rId94" Type="http://schemas.openxmlformats.org/officeDocument/2006/relationships/hyperlink" Target="https://doi.org/10.1145/3772318.3790586" TargetMode="External"/><Relationship Id="rId97" Type="http://schemas.openxmlformats.org/officeDocument/2006/relationships/hyperlink" Target="https://doi.org/10.1145/3772318.3791834" TargetMode="External"/><Relationship Id="rId96" Type="http://schemas.openxmlformats.org/officeDocument/2006/relationships/hyperlink" Target="https://doi.org/10.1145/3764687.3764716" TargetMode="External"/><Relationship Id="rId99" Type="http://schemas.openxmlformats.org/officeDocument/2006/relationships/hyperlink" Target="https://doi.org/10.1145/3772318.3791068" TargetMode="External"/><Relationship Id="rId98" Type="http://schemas.openxmlformats.org/officeDocument/2006/relationships/hyperlink" Target="https://doi.org/10.1145/3720554.3735862" TargetMode="External"/><Relationship Id="rId91" Type="http://schemas.openxmlformats.org/officeDocument/2006/relationships/hyperlink" Target="https://doi.org/10.1145/3769686" TargetMode="External"/><Relationship Id="rId90" Type="http://schemas.openxmlformats.org/officeDocument/2006/relationships/hyperlink" Target="https://doi.org/10.1145/3772363.3798995" TargetMode="External"/><Relationship Id="rId93" Type="http://schemas.openxmlformats.org/officeDocument/2006/relationships/hyperlink" Target="https://doi.org/10.1145/3772363.3798685" TargetMode="External"/><Relationship Id="rId92" Type="http://schemas.openxmlformats.org/officeDocument/2006/relationships/hyperlink" Target="https://doi.org/10.1145/3643834.3661525" TargetMode="External"/><Relationship Id="rId118" Type="http://schemas.openxmlformats.org/officeDocument/2006/relationships/hyperlink" Target="https://doi.org/10.1145/3772363.3798919" TargetMode="External"/><Relationship Id="rId239" Type="http://schemas.openxmlformats.org/officeDocument/2006/relationships/hyperlink" Target="https://doi.org/10.1145/3700035.3700036" TargetMode="External"/><Relationship Id="rId117" Type="http://schemas.openxmlformats.org/officeDocument/2006/relationships/hyperlink" Target="https://doi.org/10.1145/3772363.3778699" TargetMode="External"/><Relationship Id="rId238" Type="http://schemas.openxmlformats.org/officeDocument/2006/relationships/hyperlink" Target="https://doi.org/10.1145/3727200.3727226" TargetMode="External"/><Relationship Id="rId359" Type="http://schemas.openxmlformats.org/officeDocument/2006/relationships/hyperlink" Target="https://doi.org/10.1145/1815961.1816002" TargetMode="External"/><Relationship Id="rId116" Type="http://schemas.openxmlformats.org/officeDocument/2006/relationships/hyperlink" Target="https://doi.org/10.1145/3772318.3809068" TargetMode="External"/><Relationship Id="rId237" Type="http://schemas.openxmlformats.org/officeDocument/2006/relationships/hyperlink" Target="https://doi.org/10.1145/3563456" TargetMode="External"/><Relationship Id="rId358" Type="http://schemas.openxmlformats.org/officeDocument/2006/relationships/hyperlink" Target="https://doi.org/10.1145/1740390.1740407" TargetMode="External"/><Relationship Id="rId115" Type="http://schemas.openxmlformats.org/officeDocument/2006/relationships/hyperlink" Target="https://doi.org/10.1145/3786304.3787891" TargetMode="External"/><Relationship Id="rId236" Type="http://schemas.openxmlformats.org/officeDocument/2006/relationships/hyperlink" Target="https://doi.org/10.1145/3660650.3660656" TargetMode="External"/><Relationship Id="rId357" Type="http://schemas.openxmlformats.org/officeDocument/2006/relationships/hyperlink" Target="https://doi.org/10.1145/1866029.1866078" TargetMode="External"/><Relationship Id="rId119" Type="http://schemas.openxmlformats.org/officeDocument/2006/relationships/hyperlink" Target="https://doi.org/10.1145/3757619" TargetMode="External"/><Relationship Id="rId110" Type="http://schemas.openxmlformats.org/officeDocument/2006/relationships/hyperlink" Target="https://doi.org/10.1145/3711896.3736563" TargetMode="External"/><Relationship Id="rId231" Type="http://schemas.openxmlformats.org/officeDocument/2006/relationships/hyperlink" Target="https://doi.org/10.1145/3767154" TargetMode="External"/><Relationship Id="rId352" Type="http://schemas.openxmlformats.org/officeDocument/2006/relationships/hyperlink" Target="https://doi.org/10.1145/1989323.1989461" TargetMode="External"/><Relationship Id="rId230" Type="http://schemas.openxmlformats.org/officeDocument/2006/relationships/hyperlink" Target="https://doi.org/10.1145/3772318.3790685" TargetMode="External"/><Relationship Id="rId351" Type="http://schemas.openxmlformats.org/officeDocument/2006/relationships/hyperlink" Target="https://doi.org/10.1145/1809980.1810034" TargetMode="External"/><Relationship Id="rId350" Type="http://schemas.openxmlformats.org/officeDocument/2006/relationships/hyperlink" Target="https://doi.org/10.1145/1944862.1944886" TargetMode="External"/><Relationship Id="rId114" Type="http://schemas.openxmlformats.org/officeDocument/2006/relationships/hyperlink" Target="https://doi.org/10.1145/3772318.3791319" TargetMode="External"/><Relationship Id="rId235" Type="http://schemas.openxmlformats.org/officeDocument/2006/relationships/hyperlink" Target="https://doi.org/10.1145/3603269.3604880" TargetMode="External"/><Relationship Id="rId356" Type="http://schemas.openxmlformats.org/officeDocument/2006/relationships/hyperlink" Target="https://doi.org/10.1145/1807128.1807164" TargetMode="External"/><Relationship Id="rId113" Type="http://schemas.openxmlformats.org/officeDocument/2006/relationships/hyperlink" Target="https://doi.org/10.1145/3786304.3787865" TargetMode="External"/><Relationship Id="rId234" Type="http://schemas.openxmlformats.org/officeDocument/2006/relationships/hyperlink" Target="https://doi.org/10.1145/3648188.3678216" TargetMode="External"/><Relationship Id="rId355" Type="http://schemas.openxmlformats.org/officeDocument/2006/relationships/hyperlink" Target="https://doi.org/10.1007/978-3-642-24322-6_16" TargetMode="External"/><Relationship Id="rId112" Type="http://schemas.openxmlformats.org/officeDocument/2006/relationships/hyperlink" Target="https://doi.org/10.1145/3717511.3747073" TargetMode="External"/><Relationship Id="rId233" Type="http://schemas.openxmlformats.org/officeDocument/2006/relationships/hyperlink" Target="https://doi.org/10.1145/3613904.3642038" TargetMode="External"/><Relationship Id="rId354" Type="http://schemas.openxmlformats.org/officeDocument/2006/relationships/hyperlink" Target="https://doi.org/10.1007/978-3-642-24322-6_19" TargetMode="External"/><Relationship Id="rId111" Type="http://schemas.openxmlformats.org/officeDocument/2006/relationships/hyperlink" Target="https://doi.org/10.1145/3772318.3791760" TargetMode="External"/><Relationship Id="rId232" Type="http://schemas.openxmlformats.org/officeDocument/2006/relationships/hyperlink" Target="https://doi.org/10.1145/3767695.3769511" TargetMode="External"/><Relationship Id="rId353" Type="http://schemas.openxmlformats.org/officeDocument/2006/relationships/hyperlink" Target="https://doi.org/10.1145/1807167.1807324" TargetMode="External"/><Relationship Id="rId305" Type="http://schemas.openxmlformats.org/officeDocument/2006/relationships/hyperlink" Target="https://doi.org/10.1145/1450579.1450652" TargetMode="External"/><Relationship Id="rId304" Type="http://schemas.openxmlformats.org/officeDocument/2006/relationships/hyperlink" Target="https://doi.org/10.1145/2700312" TargetMode="External"/><Relationship Id="rId303" Type="http://schemas.openxmlformats.org/officeDocument/2006/relationships/hyperlink" Target="https://doi.org/10.1145/2798729" TargetMode="External"/><Relationship Id="rId302" Type="http://schemas.openxmlformats.org/officeDocument/2006/relationships/hyperlink" Target="https://doi.org/10.1145/2807591.2807636" TargetMode="External"/><Relationship Id="rId309" Type="http://schemas.openxmlformats.org/officeDocument/2006/relationships/hyperlink" Target="https://doi.org/10.1145/2365946.2365951" TargetMode="External"/><Relationship Id="rId308" Type="http://schemas.openxmlformats.org/officeDocument/2006/relationships/hyperlink" Target="https://doi.org/10.1145/2482767.2482793" TargetMode="External"/><Relationship Id="rId307" Type="http://schemas.openxmlformats.org/officeDocument/2006/relationships/hyperlink" Target="https://doi.org/10.1109/CCGrid.2015.150" TargetMode="External"/><Relationship Id="rId306" Type="http://schemas.openxmlformats.org/officeDocument/2006/relationships/hyperlink" Target="https://doi.org/10.1145/2043556.2043558" TargetMode="External"/><Relationship Id="rId301" Type="http://schemas.openxmlformats.org/officeDocument/2006/relationships/hyperlink" Target="https://doi.org/10.1145/2723372.2742798" TargetMode="External"/><Relationship Id="rId300" Type="http://schemas.openxmlformats.org/officeDocument/2006/relationships/hyperlink" Target="https://doi.org/10.1145/2043556.2043593" TargetMode="External"/><Relationship Id="rId206" Type="http://schemas.openxmlformats.org/officeDocument/2006/relationships/hyperlink" Target="https://doi.org/10.1145/1965724.1965747" TargetMode="External"/><Relationship Id="rId327" Type="http://schemas.openxmlformats.org/officeDocument/2006/relationships/hyperlink" Target="https://doi.org/10.1145/2503210.2503281" TargetMode="External"/><Relationship Id="rId205" Type="http://schemas.openxmlformats.org/officeDocument/2006/relationships/hyperlink" Target="https://doi.org/10.1145/1037911.1037917" TargetMode="External"/><Relationship Id="rId326" Type="http://schemas.openxmlformats.org/officeDocument/2006/relationships/hyperlink" Target="https://doi.org/10.1145/2003690.2003693" TargetMode="External"/><Relationship Id="rId204" Type="http://schemas.openxmlformats.org/officeDocument/2006/relationships/hyperlink" Target="https://doi.org/10.1145/1978942.1979209" TargetMode="External"/><Relationship Id="rId325" Type="http://schemas.openxmlformats.org/officeDocument/2006/relationships/hyperlink" Target="https://doi.org/10.1145/1839676.1839692" TargetMode="External"/><Relationship Id="rId203" Type="http://schemas.openxmlformats.org/officeDocument/2006/relationships/hyperlink" Target="https://doi.org/10.1145/2124295.2124300" TargetMode="External"/><Relationship Id="rId324" Type="http://schemas.openxmlformats.org/officeDocument/2006/relationships/hyperlink" Target="https://doi.org/10.1007/978-3-642-24322-6_15" TargetMode="External"/><Relationship Id="rId209" Type="http://schemas.openxmlformats.org/officeDocument/2006/relationships/hyperlink" Target="https://doi.org/10.1145/1629575.1629577" TargetMode="External"/><Relationship Id="rId208" Type="http://schemas.openxmlformats.org/officeDocument/2006/relationships/hyperlink" Target="https://doi.org/10.1145/1791314.1791347" TargetMode="External"/><Relationship Id="rId329" Type="http://schemas.openxmlformats.org/officeDocument/2006/relationships/hyperlink" Target="https://doi.org/10.14778/1920841.1921015" TargetMode="External"/><Relationship Id="rId207" Type="http://schemas.openxmlformats.org/officeDocument/2006/relationships/hyperlink" Target="https://doi.org/10.1145/1945023.1945029" TargetMode="External"/><Relationship Id="rId328" Type="http://schemas.openxmlformats.org/officeDocument/2006/relationships/hyperlink" Target="https://doi.org/10.1145/2559206.2581287" TargetMode="External"/><Relationship Id="rId202" Type="http://schemas.openxmlformats.org/officeDocument/2006/relationships/hyperlink" Target="https://doi.org/10.1145/3511047.3536406" TargetMode="External"/><Relationship Id="rId323" Type="http://schemas.openxmlformats.org/officeDocument/2006/relationships/hyperlink" Target="https://doi.org/10.1109/CCGrid.2012.84" TargetMode="External"/><Relationship Id="rId201" Type="http://schemas.openxmlformats.org/officeDocument/2006/relationships/hyperlink" Target="https://doi.org/10.1109/ASONAM49781.2020.9381292" TargetMode="External"/><Relationship Id="rId322" Type="http://schemas.openxmlformats.org/officeDocument/2006/relationships/hyperlink" Target="https://doi.org/10.1145/2188286.2188316" TargetMode="External"/><Relationship Id="rId200" Type="http://schemas.openxmlformats.org/officeDocument/2006/relationships/hyperlink" Target="https://doi.org/10.1145/3007210" TargetMode="External"/><Relationship Id="rId321" Type="http://schemas.openxmlformats.org/officeDocument/2006/relationships/hyperlink" Target="https://doi.org/10.1145/1995896.1995926" TargetMode="External"/><Relationship Id="rId320" Type="http://schemas.openxmlformats.org/officeDocument/2006/relationships/hyperlink" Target="https://doi.org/10.1145/2212908.2212915" TargetMode="External"/><Relationship Id="rId316" Type="http://schemas.openxmlformats.org/officeDocument/2006/relationships/hyperlink" Target="https://doi.org/10.1145/1477862.1477879" TargetMode="External"/><Relationship Id="rId315" Type="http://schemas.openxmlformats.org/officeDocument/2006/relationships/hyperlink" Target="https://doi.org/10.1145/2668260.2668291" TargetMode="External"/><Relationship Id="rId314" Type="http://schemas.openxmlformats.org/officeDocument/2006/relationships/hyperlink" Target="https://doi.org/10.1145/2378356.2378361" TargetMode="External"/><Relationship Id="rId313" Type="http://schemas.openxmlformats.org/officeDocument/2006/relationships/hyperlink" Target="https://doi.org/10.1145/2757667.2757680" TargetMode="External"/><Relationship Id="rId319" Type="http://schemas.openxmlformats.org/officeDocument/2006/relationships/hyperlink" Target="https://doi.org/10.1145/2146382.2146391" TargetMode="External"/><Relationship Id="rId318" Type="http://schemas.openxmlformats.org/officeDocument/2006/relationships/hyperlink" Target="https://doi.org/10.1145/1866296.1866298" TargetMode="External"/><Relationship Id="rId317" Type="http://schemas.openxmlformats.org/officeDocument/2006/relationships/hyperlink" Target="https://doi.org/10.1145/1640089.1640127" TargetMode="External"/><Relationship Id="rId312" Type="http://schemas.openxmlformats.org/officeDocument/2006/relationships/hyperlink" Target="https://doi.org/10.1145/2771937.2771939" TargetMode="External"/><Relationship Id="rId311" Type="http://schemas.openxmlformats.org/officeDocument/2006/relationships/hyperlink" Target="https://doi.org/10.1145/2465529.2465553" TargetMode="External"/><Relationship Id="rId310" Type="http://schemas.openxmlformats.org/officeDocument/2006/relationships/hyperlink" Target="https://doi.org/10.1145/2656204"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doi.org/10.1145/3544793.3560382" TargetMode="External"/><Relationship Id="rId194" Type="http://schemas.openxmlformats.org/officeDocument/2006/relationships/hyperlink" Target="https://doi.org/10.1145/3582515.3609571" TargetMode="External"/><Relationship Id="rId193" Type="http://schemas.openxmlformats.org/officeDocument/2006/relationships/hyperlink" Target="https://doi.org/10.1145/358027.358046" TargetMode="External"/><Relationship Id="rId192" Type="http://schemas.openxmlformats.org/officeDocument/2006/relationships/hyperlink" Target="https://doi.org/10.1145/3563456" TargetMode="External"/><Relationship Id="rId191" Type="http://schemas.openxmlformats.org/officeDocument/2006/relationships/hyperlink" Target="https://doi.org/10.1145/3555153" TargetMode="External"/><Relationship Id="rId187" Type="http://schemas.openxmlformats.org/officeDocument/2006/relationships/hyperlink" Target="https://doi.org/10.1145/3528381" TargetMode="External"/><Relationship Id="rId186" Type="http://schemas.openxmlformats.org/officeDocument/2006/relationships/hyperlink" Target="https://doi.org/10.1145/3511047.3536406" TargetMode="External"/><Relationship Id="rId185" Type="http://schemas.openxmlformats.org/officeDocument/2006/relationships/hyperlink" Target="https://doi.org/10.1145/3492833" TargetMode="External"/><Relationship Id="rId184" Type="http://schemas.openxmlformats.org/officeDocument/2006/relationships/hyperlink" Target="https://doi.org/10.1145/3491102.3517546" TargetMode="External"/><Relationship Id="rId189" Type="http://schemas.openxmlformats.org/officeDocument/2006/relationships/hyperlink" Target="https://doi.org/10.1145/3544549.3582735" TargetMode="External"/><Relationship Id="rId188" Type="http://schemas.openxmlformats.org/officeDocument/2006/relationships/hyperlink" Target="https://doi.org/10.1145/3538225" TargetMode="External"/><Relationship Id="rId183" Type="http://schemas.openxmlformats.org/officeDocument/2006/relationships/hyperlink" Target="https://doi.org/10.1145/3461778.3462087" TargetMode="External"/><Relationship Id="rId182" Type="http://schemas.openxmlformats.org/officeDocument/2006/relationships/hyperlink" Target="https://doi.org/10.1145/3448018.3458007" TargetMode="External"/><Relationship Id="rId181" Type="http://schemas.openxmlformats.org/officeDocument/2006/relationships/hyperlink" Target="https://doi.org/10.1145/3442381.3449990" TargetMode="External"/><Relationship Id="rId180" Type="http://schemas.openxmlformats.org/officeDocument/2006/relationships/hyperlink" Target="https://doi.org/10.1145/343048.343076" TargetMode="External"/><Relationship Id="rId176" Type="http://schemas.openxmlformats.org/officeDocument/2006/relationships/hyperlink" Target="https://doi.org/10.1145/3363459.3363540" TargetMode="External"/><Relationship Id="rId297" Type="http://schemas.openxmlformats.org/officeDocument/2006/relationships/hyperlink" Target="https://doi.org/10.1145/3772318.3790529" TargetMode="External"/><Relationship Id="rId175" Type="http://schemas.openxmlformats.org/officeDocument/2006/relationships/hyperlink" Target="https://doi.org/10.1145/3339458" TargetMode="External"/><Relationship Id="rId296" Type="http://schemas.openxmlformats.org/officeDocument/2006/relationships/hyperlink" Target="https://doi.org/10.1145/3772318.3790461" TargetMode="External"/><Relationship Id="rId174" Type="http://schemas.openxmlformats.org/officeDocument/2006/relationships/hyperlink" Target="https://doi.org/10.1145/3331543.3342580" TargetMode="External"/><Relationship Id="rId295" Type="http://schemas.openxmlformats.org/officeDocument/2006/relationships/hyperlink" Target="https://doi.org/10.1145/3772318.3790456" TargetMode="External"/><Relationship Id="rId173" Type="http://schemas.openxmlformats.org/officeDocument/2006/relationships/hyperlink" Target="https://doi.org/10.1145/333140.333146" TargetMode="External"/><Relationship Id="rId294" Type="http://schemas.openxmlformats.org/officeDocument/2006/relationships/hyperlink" Target="https://doi.org/10.1145/3772318.3790388" TargetMode="External"/><Relationship Id="rId179" Type="http://schemas.openxmlformats.org/officeDocument/2006/relationships/hyperlink" Target="https://doi.org/10.1145/3387514.3405863" TargetMode="External"/><Relationship Id="rId178" Type="http://schemas.openxmlformats.org/officeDocument/2006/relationships/hyperlink" Target="https://doi.org/10.1145/3384473" TargetMode="External"/><Relationship Id="rId299" Type="http://schemas.openxmlformats.org/officeDocument/2006/relationships/hyperlink" Target="https://doi.org/10.1145/3772318.3790685" TargetMode="External"/><Relationship Id="rId177" Type="http://schemas.openxmlformats.org/officeDocument/2006/relationships/hyperlink" Target="https://doi.org/10.1145/3383668.3419909" TargetMode="External"/><Relationship Id="rId298" Type="http://schemas.openxmlformats.org/officeDocument/2006/relationships/hyperlink" Target="https://doi.org/10.1145/3772318.3790586" TargetMode="External"/><Relationship Id="rId198" Type="http://schemas.openxmlformats.org/officeDocument/2006/relationships/hyperlink" Target="https://doi.org/10.1145/3610073" TargetMode="External"/><Relationship Id="rId197" Type="http://schemas.openxmlformats.org/officeDocument/2006/relationships/hyperlink" Target="https://doi.org/10.1145/3610027" TargetMode="External"/><Relationship Id="rId196" Type="http://schemas.openxmlformats.org/officeDocument/2006/relationships/hyperlink" Target="https://doi.org/10.1145/3605764.3623985" TargetMode="External"/><Relationship Id="rId195" Type="http://schemas.openxmlformats.org/officeDocument/2006/relationships/hyperlink" Target="https://doi.org/10.1145/3603269.3604880" TargetMode="External"/><Relationship Id="rId199" Type="http://schemas.openxmlformats.org/officeDocument/2006/relationships/hyperlink" Target="https://doi.org/10.1145/3613904.3642038" TargetMode="External"/><Relationship Id="rId150" Type="http://schemas.openxmlformats.org/officeDocument/2006/relationships/hyperlink" Target="https://doi.org/10.1145/296336.296354" TargetMode="External"/><Relationship Id="rId271" Type="http://schemas.openxmlformats.org/officeDocument/2006/relationships/hyperlink" Target="https://doi.org/10.1145/3757544" TargetMode="External"/><Relationship Id="rId392" Type="http://schemas.openxmlformats.org/officeDocument/2006/relationships/hyperlink" Target="https://doi.org/10.3115/981436.981467" TargetMode="External"/><Relationship Id="rId270" Type="http://schemas.openxmlformats.org/officeDocument/2006/relationships/hyperlink" Target="https://doi.org/10.1145/3757442" TargetMode="External"/><Relationship Id="rId391" Type="http://schemas.openxmlformats.org/officeDocument/2006/relationships/hyperlink" Target="https://doi.org/10.3115/981175.981177" TargetMode="External"/><Relationship Id="rId390" Type="http://schemas.openxmlformats.org/officeDocument/2006/relationships/hyperlink" Target="https://doi.org/10.3115/980262.980281"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oi.org/10.1145/2933349.2933359" TargetMode="External"/><Relationship Id="rId4" Type="http://schemas.openxmlformats.org/officeDocument/2006/relationships/hyperlink" Target="https://doi.org/10.1007/978-3-642-24322-6_15" TargetMode="External"/><Relationship Id="rId148" Type="http://schemas.openxmlformats.org/officeDocument/2006/relationships/hyperlink" Target="https://doi.org/10.1145/2901318.2901337" TargetMode="External"/><Relationship Id="rId269" Type="http://schemas.openxmlformats.org/officeDocument/2006/relationships/hyperlink" Target="https://doi.org/10.1145/3757424" TargetMode="External"/><Relationship Id="rId9" Type="http://schemas.openxmlformats.org/officeDocument/2006/relationships/hyperlink" Target="https://ieeexplore.ieee.org/stamp/stamp.jsp?arnumber=11467909" TargetMode="External"/><Relationship Id="rId143" Type="http://schemas.openxmlformats.org/officeDocument/2006/relationships/hyperlink" Target="https://doi.org/10.1145/2806777.2806850" TargetMode="External"/><Relationship Id="rId264" Type="http://schemas.openxmlformats.org/officeDocument/2006/relationships/hyperlink" Target="https://doi.org/10.1145/3746252.3761151" TargetMode="External"/><Relationship Id="rId385" Type="http://schemas.openxmlformats.org/officeDocument/2006/relationships/hyperlink" Target="https://doi.org/10.14778/3025111.3025113" TargetMode="External"/><Relationship Id="rId142" Type="http://schemas.openxmlformats.org/officeDocument/2006/relationships/hyperlink" Target="https://doi.org/10.1145/2798729" TargetMode="External"/><Relationship Id="rId263" Type="http://schemas.openxmlformats.org/officeDocument/2006/relationships/hyperlink" Target="https://doi.org/10.1145/3746059.3747680" TargetMode="External"/><Relationship Id="rId384" Type="http://schemas.openxmlformats.org/officeDocument/2006/relationships/hyperlink" Target="https://doi.org/10.14778/2947618.2947625" TargetMode="External"/><Relationship Id="rId141" Type="http://schemas.openxmlformats.org/officeDocument/2006/relationships/hyperlink" Target="https://doi.org/10.1145/2791285" TargetMode="External"/><Relationship Id="rId262" Type="http://schemas.openxmlformats.org/officeDocument/2006/relationships/hyperlink" Target="https://doi.org/10.1145/3746058.3758468" TargetMode="External"/><Relationship Id="rId383" Type="http://schemas.openxmlformats.org/officeDocument/2006/relationships/hyperlink" Target="https://doi.org/10.14778/1938545.1938549" TargetMode="External"/><Relationship Id="rId140" Type="http://schemas.openxmlformats.org/officeDocument/2006/relationships/hyperlink" Target="https://doi.org/10.1145/2771937.2771939" TargetMode="External"/><Relationship Id="rId261" Type="http://schemas.openxmlformats.org/officeDocument/2006/relationships/hyperlink" Target="https://doi.org/10.1145/3746027.3755778" TargetMode="External"/><Relationship Id="rId382" Type="http://schemas.openxmlformats.org/officeDocument/2006/relationships/hyperlink" Target="https://doi.org/10.14778/1920841.1921015" TargetMode="External"/><Relationship Id="rId5" Type="http://schemas.openxmlformats.org/officeDocument/2006/relationships/hyperlink" Target="https://doi.org/10.1007/978-3-642-24322-6_16" TargetMode="External"/><Relationship Id="rId147" Type="http://schemas.openxmlformats.org/officeDocument/2006/relationships/hyperlink" Target="https://doi.org/10.1145/2897824.2925888" TargetMode="External"/><Relationship Id="rId268" Type="http://schemas.openxmlformats.org/officeDocument/2006/relationships/hyperlink" Target="https://doi.org/10.1145/3757279.3785553" TargetMode="External"/><Relationship Id="rId389" Type="http://schemas.openxmlformats.org/officeDocument/2006/relationships/hyperlink" Target="https://doi.org/10.3115/1220175.1220289" TargetMode="External"/><Relationship Id="rId6" Type="http://schemas.openxmlformats.org/officeDocument/2006/relationships/hyperlink" Target="https://doi.org/10.1007/978-3-642-24322-6_19" TargetMode="External"/><Relationship Id="rId146" Type="http://schemas.openxmlformats.org/officeDocument/2006/relationships/hyperlink" Target="https://doi.org/10.1145/28395.28431" TargetMode="External"/><Relationship Id="rId267" Type="http://schemas.openxmlformats.org/officeDocument/2006/relationships/hyperlink" Target="https://doi.org/10.1145/375663.375720" TargetMode="External"/><Relationship Id="rId388" Type="http://schemas.openxmlformats.org/officeDocument/2006/relationships/hyperlink" Target="https://doi.org/10.3115/1117554.1117558" TargetMode="External"/><Relationship Id="rId7" Type="http://schemas.openxmlformats.org/officeDocument/2006/relationships/hyperlink" Target="https://ieeexplore.ieee.org/stamp/stamp.jsp?arnumber=8372225" TargetMode="External"/><Relationship Id="rId145" Type="http://schemas.openxmlformats.org/officeDocument/2006/relationships/hyperlink" Target="https://doi.org/10.1145/2830903.2830908" TargetMode="External"/><Relationship Id="rId266" Type="http://schemas.openxmlformats.org/officeDocument/2006/relationships/hyperlink" Target="https://doi.org/10.1145/3748620" TargetMode="External"/><Relationship Id="rId387" Type="http://schemas.openxmlformats.org/officeDocument/2006/relationships/hyperlink" Target="https://doi.org/10.1613/jair.1.17654" TargetMode="External"/><Relationship Id="rId8" Type="http://schemas.openxmlformats.org/officeDocument/2006/relationships/hyperlink" Target="https://ieeexplore.ieee.org/stamp/stamp.jsp?arnumber=735370" TargetMode="External"/><Relationship Id="rId144" Type="http://schemas.openxmlformats.org/officeDocument/2006/relationships/hyperlink" Target="https://doi.org/10.1145/2807591.2807636" TargetMode="External"/><Relationship Id="rId265" Type="http://schemas.openxmlformats.org/officeDocument/2006/relationships/hyperlink" Target="https://doi.org/10.1145/3746252.3761448" TargetMode="External"/><Relationship Id="rId386" Type="http://schemas.openxmlformats.org/officeDocument/2006/relationships/hyperlink" Target="https://doi.org/10.14778/3476311.3476373" TargetMode="External"/><Relationship Id="rId260" Type="http://schemas.openxmlformats.org/officeDocument/2006/relationships/hyperlink" Target="https://doi.org/10.1145/3744169.3744195" TargetMode="External"/><Relationship Id="rId381" Type="http://schemas.openxmlformats.org/officeDocument/2006/relationships/hyperlink" Target="https://doi.org/10.14236/ewic/BCSHCI2025.10" TargetMode="External"/><Relationship Id="rId380" Type="http://schemas.openxmlformats.org/officeDocument/2006/relationships/hyperlink" Target="https://doi.org/10.1145/764008.763957" TargetMode="External"/><Relationship Id="rId139" Type="http://schemas.openxmlformats.org/officeDocument/2006/relationships/hyperlink" Target="https://doi.org/10.1145/2757667.2757680" TargetMode="External"/><Relationship Id="rId138" Type="http://schemas.openxmlformats.org/officeDocument/2006/relationships/hyperlink" Target="https://doi.org/10.1145/274644.274667" TargetMode="External"/><Relationship Id="rId259" Type="http://schemas.openxmlformats.org/officeDocument/2006/relationships/hyperlink" Target="https://doi.org/10.1145/3744169.3744194" TargetMode="External"/><Relationship Id="rId137" Type="http://schemas.openxmlformats.org/officeDocument/2006/relationships/hyperlink" Target="https://doi.org/10.1145/2742488" TargetMode="External"/><Relationship Id="rId258" Type="http://schemas.openxmlformats.org/officeDocument/2006/relationships/hyperlink" Target="https://doi.org/10.1145/3742413.3789223" TargetMode="External"/><Relationship Id="rId379" Type="http://schemas.openxmlformats.org/officeDocument/2006/relationships/hyperlink" Target="https://doi.org/10.1145/67544.66934" TargetMode="External"/><Relationship Id="rId132" Type="http://schemas.openxmlformats.org/officeDocument/2006/relationships/hyperlink" Target="https://doi.org/10.1145/2666216.2666222" TargetMode="External"/><Relationship Id="rId253" Type="http://schemas.openxmlformats.org/officeDocument/2006/relationships/hyperlink" Target="https://doi.org/10.1145/3742413.3789120" TargetMode="External"/><Relationship Id="rId374" Type="http://schemas.openxmlformats.org/officeDocument/2006/relationships/hyperlink" Target="https://doi.org/10.1145/381807.381810" TargetMode="External"/><Relationship Id="rId131" Type="http://schemas.openxmlformats.org/officeDocument/2006/relationships/hyperlink" Target="https://doi.org/10.1145/266399.266405" TargetMode="External"/><Relationship Id="rId252" Type="http://schemas.openxmlformats.org/officeDocument/2006/relationships/hyperlink" Target="https://doi.org/10.1145/3742413.3789111" TargetMode="External"/><Relationship Id="rId373" Type="http://schemas.openxmlformats.org/officeDocument/2006/relationships/hyperlink" Target="https://doi.org/10.1145/3815195" TargetMode="External"/><Relationship Id="rId130" Type="http://schemas.openxmlformats.org/officeDocument/2006/relationships/hyperlink" Target="https://doi.org/10.1145/2656204" TargetMode="External"/><Relationship Id="rId251" Type="http://schemas.openxmlformats.org/officeDocument/2006/relationships/hyperlink" Target="https://doi.org/10.1145/3736731.3786118" TargetMode="External"/><Relationship Id="rId372" Type="http://schemas.openxmlformats.org/officeDocument/2006/relationships/hyperlink" Target="https://doi.org/10.1145/3810945" TargetMode="External"/><Relationship Id="rId250" Type="http://schemas.openxmlformats.org/officeDocument/2006/relationships/hyperlink" Target="https://doi.org/10.1145/3736731.3746137" TargetMode="External"/><Relationship Id="rId371" Type="http://schemas.openxmlformats.org/officeDocument/2006/relationships/hyperlink" Target="https://doi.org/10.1145/3802598" TargetMode="External"/><Relationship Id="rId136" Type="http://schemas.openxmlformats.org/officeDocument/2006/relationships/hyperlink" Target="https://doi.org/10.1145/2741948.2741956" TargetMode="External"/><Relationship Id="rId257" Type="http://schemas.openxmlformats.org/officeDocument/2006/relationships/hyperlink" Target="https://doi.org/10.1145/3742413.3789218" TargetMode="External"/><Relationship Id="rId378" Type="http://schemas.openxmlformats.org/officeDocument/2006/relationships/hyperlink" Target="https://doi.org/10.1145/6617.6618" TargetMode="External"/><Relationship Id="rId135" Type="http://schemas.openxmlformats.org/officeDocument/2006/relationships/hyperlink" Target="https://doi.org/10.1145/2723372.2742798" TargetMode="External"/><Relationship Id="rId256" Type="http://schemas.openxmlformats.org/officeDocument/2006/relationships/hyperlink" Target="https://doi.org/10.1145/3742413.3789147" TargetMode="External"/><Relationship Id="rId377" Type="http://schemas.openxmlformats.org/officeDocument/2006/relationships/hyperlink" Target="https://doi.org/10.1145/63047.63088" TargetMode="External"/><Relationship Id="rId134" Type="http://schemas.openxmlformats.org/officeDocument/2006/relationships/hyperlink" Target="https://doi.org/10.1145/2700312" TargetMode="External"/><Relationship Id="rId255" Type="http://schemas.openxmlformats.org/officeDocument/2006/relationships/hyperlink" Target="https://doi.org/10.1145/3742413.3789136" TargetMode="External"/><Relationship Id="rId376" Type="http://schemas.openxmlformats.org/officeDocument/2006/relationships/hyperlink" Target="https://doi.org/10.1145/581710.581733" TargetMode="External"/><Relationship Id="rId133" Type="http://schemas.openxmlformats.org/officeDocument/2006/relationships/hyperlink" Target="https://doi.org/10.1145/2668260.2668291" TargetMode="External"/><Relationship Id="rId254" Type="http://schemas.openxmlformats.org/officeDocument/2006/relationships/hyperlink" Target="https://doi.org/10.1145/3742413.3789123" TargetMode="External"/><Relationship Id="rId375" Type="http://schemas.openxmlformats.org/officeDocument/2006/relationships/hyperlink" Target="https://doi.org/10.1145/514236.514248" TargetMode="External"/><Relationship Id="rId172" Type="http://schemas.openxmlformats.org/officeDocument/2006/relationships/hyperlink" Target="https://doi.org/10.1145/3330393.3330402" TargetMode="External"/><Relationship Id="rId293" Type="http://schemas.openxmlformats.org/officeDocument/2006/relationships/hyperlink" Target="https://doi.org/10.1145/3772318.3790385" TargetMode="External"/><Relationship Id="rId171" Type="http://schemas.openxmlformats.org/officeDocument/2006/relationships/hyperlink" Target="https://doi.org/10.1145/332040.332406" TargetMode="External"/><Relationship Id="rId292" Type="http://schemas.openxmlformats.org/officeDocument/2006/relationships/hyperlink" Target="https://doi.org/10.1145/3772318.3790358" TargetMode="External"/><Relationship Id="rId170" Type="http://schemas.openxmlformats.org/officeDocument/2006/relationships/hyperlink" Target="https://doi.org/10.1145/3313831.3376612" TargetMode="External"/><Relationship Id="rId291" Type="http://schemas.openxmlformats.org/officeDocument/2006/relationships/hyperlink" Target="https://doi.org/10.1145/3772318.3790340" TargetMode="External"/><Relationship Id="rId290" Type="http://schemas.openxmlformats.org/officeDocument/2006/relationships/hyperlink" Target="https://doi.org/10.1145/3772318.3790332" TargetMode="External"/><Relationship Id="rId165" Type="http://schemas.openxmlformats.org/officeDocument/2006/relationships/hyperlink" Target="https://doi.org/10.1145/3273982.3273989" TargetMode="External"/><Relationship Id="rId286" Type="http://schemas.openxmlformats.org/officeDocument/2006/relationships/hyperlink" Target="https://doi.org/10.1145/3772318.3790271" TargetMode="External"/><Relationship Id="rId164" Type="http://schemas.openxmlformats.org/officeDocument/2006/relationships/hyperlink" Target="https://doi.org/10.1145/3267809.3267847" TargetMode="External"/><Relationship Id="rId285" Type="http://schemas.openxmlformats.org/officeDocument/2006/relationships/hyperlink" Target="https://doi.org/10.1145/3770749" TargetMode="External"/><Relationship Id="rId163" Type="http://schemas.openxmlformats.org/officeDocument/2006/relationships/hyperlink" Target="https://doi.org/10.1145/3241038" TargetMode="External"/><Relationship Id="rId284" Type="http://schemas.openxmlformats.org/officeDocument/2006/relationships/hyperlink" Target="https://doi.org/10.1145/3769689" TargetMode="External"/><Relationship Id="rId162" Type="http://schemas.openxmlformats.org/officeDocument/2006/relationships/hyperlink" Target="https://doi.org/10.1145/3232162" TargetMode="External"/><Relationship Id="rId283" Type="http://schemas.openxmlformats.org/officeDocument/2006/relationships/hyperlink" Target="https://doi.org/10.1145/3769686" TargetMode="External"/><Relationship Id="rId169" Type="http://schemas.openxmlformats.org/officeDocument/2006/relationships/hyperlink" Target="https://doi.org/10.1145/3308558.3313400" TargetMode="External"/><Relationship Id="rId168" Type="http://schemas.openxmlformats.org/officeDocument/2006/relationships/hyperlink" Target="https://doi.org/10.1145/3297858.3304022" TargetMode="External"/><Relationship Id="rId289" Type="http://schemas.openxmlformats.org/officeDocument/2006/relationships/hyperlink" Target="https://doi.org/10.1145/3772318.3790303" TargetMode="External"/><Relationship Id="rId167" Type="http://schemas.openxmlformats.org/officeDocument/2006/relationships/hyperlink" Target="https://doi.org/10.1145/3290607.3312915" TargetMode="External"/><Relationship Id="rId288" Type="http://schemas.openxmlformats.org/officeDocument/2006/relationships/hyperlink" Target="https://doi.org/10.1145/3772318.3790292" TargetMode="External"/><Relationship Id="rId166" Type="http://schemas.openxmlformats.org/officeDocument/2006/relationships/hyperlink" Target="https://doi.org/10.1145/3289604" TargetMode="External"/><Relationship Id="rId287" Type="http://schemas.openxmlformats.org/officeDocument/2006/relationships/hyperlink" Target="https://doi.org/10.1145/3772318.3790279" TargetMode="External"/><Relationship Id="rId161" Type="http://schemas.openxmlformats.org/officeDocument/2006/relationships/hyperlink" Target="https://doi.org/10.1145/3126594.3126640" TargetMode="External"/><Relationship Id="rId282" Type="http://schemas.openxmlformats.org/officeDocument/2006/relationships/hyperlink" Target="https://doi.org/10.1145/3769126.3769241" TargetMode="External"/><Relationship Id="rId160" Type="http://schemas.openxmlformats.org/officeDocument/2006/relationships/hyperlink" Target="https://doi.org/10.1145/309831.309929" TargetMode="External"/><Relationship Id="rId281" Type="http://schemas.openxmlformats.org/officeDocument/2006/relationships/hyperlink" Target="https://doi.org/10.1145/3768165" TargetMode="External"/><Relationship Id="rId280" Type="http://schemas.openxmlformats.org/officeDocument/2006/relationships/hyperlink" Target="https://doi.org/10.1145/3767695.3769511" TargetMode="External"/><Relationship Id="rId159" Type="http://schemas.openxmlformats.org/officeDocument/2006/relationships/hyperlink" Target="https://doi.org/10.1145/3085574" TargetMode="External"/><Relationship Id="rId154" Type="http://schemas.openxmlformats.org/officeDocument/2006/relationships/hyperlink" Target="https://doi.org/10.1145/3007210" TargetMode="External"/><Relationship Id="rId275" Type="http://schemas.openxmlformats.org/officeDocument/2006/relationships/hyperlink" Target="https://doi.org/10.1145/3758871.3758905" TargetMode="External"/><Relationship Id="rId396" Type="http://schemas.openxmlformats.org/officeDocument/2006/relationships/hyperlink" Target="https://ieeexplore.ieee.org/stamp/stamp.jsp?arnumber=11270034" TargetMode="External"/><Relationship Id="rId153" Type="http://schemas.openxmlformats.org/officeDocument/2006/relationships/hyperlink" Target="https://doi.org/10.1145/2987550.2987579" TargetMode="External"/><Relationship Id="rId274" Type="http://schemas.openxmlformats.org/officeDocument/2006/relationships/hyperlink" Target="https://doi.org/10.1145/3757886" TargetMode="External"/><Relationship Id="rId395" Type="http://schemas.openxmlformats.org/officeDocument/2006/relationships/hyperlink" Target="https://doi.org/10.3115/991886.991970" TargetMode="External"/><Relationship Id="rId152" Type="http://schemas.openxmlformats.org/officeDocument/2006/relationships/hyperlink" Target="https://doi.org/10.1145/2983927" TargetMode="External"/><Relationship Id="rId273" Type="http://schemas.openxmlformats.org/officeDocument/2006/relationships/hyperlink" Target="https://doi.org/10.1145/3757659" TargetMode="External"/><Relationship Id="rId394" Type="http://schemas.openxmlformats.org/officeDocument/2006/relationships/hyperlink" Target="https://doi.org/10.3115/991886.991938" TargetMode="External"/><Relationship Id="rId151" Type="http://schemas.openxmlformats.org/officeDocument/2006/relationships/hyperlink" Target="https://doi.org/10.1145/2964284.2984067" TargetMode="External"/><Relationship Id="rId272" Type="http://schemas.openxmlformats.org/officeDocument/2006/relationships/hyperlink" Target="https://doi.org/10.1145/3757619" TargetMode="External"/><Relationship Id="rId393" Type="http://schemas.openxmlformats.org/officeDocument/2006/relationships/hyperlink" Target="https://doi.org/10.3115/990820.990864" TargetMode="External"/><Relationship Id="rId158" Type="http://schemas.openxmlformats.org/officeDocument/2006/relationships/hyperlink" Target="https://doi.org/10.1145/3078468.3078471" TargetMode="External"/><Relationship Id="rId279" Type="http://schemas.openxmlformats.org/officeDocument/2006/relationships/hyperlink" Target="https://doi.org/10.1145/3767154" TargetMode="External"/><Relationship Id="rId157" Type="http://schemas.openxmlformats.org/officeDocument/2006/relationships/hyperlink" Target="https://doi.org/10.1145/3056662.3056667" TargetMode="External"/><Relationship Id="rId278" Type="http://schemas.openxmlformats.org/officeDocument/2006/relationships/hyperlink" Target="https://doi.org/10.1145/3765766.3765852" TargetMode="External"/><Relationship Id="rId399" Type="http://schemas.openxmlformats.org/officeDocument/2006/relationships/drawing" Target="../drawings/drawing3.xml"/><Relationship Id="rId156" Type="http://schemas.openxmlformats.org/officeDocument/2006/relationships/hyperlink" Target="https://doi.org/10.1145/3041960" TargetMode="External"/><Relationship Id="rId277" Type="http://schemas.openxmlformats.org/officeDocument/2006/relationships/hyperlink" Target="https://doi.org/10.1145/3764687.3764716" TargetMode="External"/><Relationship Id="rId398" Type="http://schemas.openxmlformats.org/officeDocument/2006/relationships/hyperlink" Target="https://ieeexplore.ieee.org/stamp/stamp.jsp?arnumber=6921105" TargetMode="External"/><Relationship Id="rId155" Type="http://schemas.openxmlformats.org/officeDocument/2006/relationships/hyperlink" Target="https://doi.org/10.1145/3033273" TargetMode="External"/><Relationship Id="rId276" Type="http://schemas.openxmlformats.org/officeDocument/2006/relationships/hyperlink" Target="https://doi.org/10.1145/3762989" TargetMode="External"/><Relationship Id="rId397" Type="http://schemas.openxmlformats.org/officeDocument/2006/relationships/hyperlink" Target="https://ieeexplore.ieee.org/xpl/ebooks/bookPdfWithBanner.jsp?fileName=8646901.pdf&amp;bkn=8646803&amp;pdfType=chapter" TargetMode="External"/><Relationship Id="rId40" Type="http://schemas.openxmlformats.org/officeDocument/2006/relationships/hyperlink" Target="https://ieeexplore.ieee.org/stamp/stamp.jsp?arnumber=10820709" TargetMode="External"/><Relationship Id="rId42" Type="http://schemas.openxmlformats.org/officeDocument/2006/relationships/hyperlink" Target="https://ieeexplore.ieee.org/stamp/stamp.jsp?arnumber=5427110" TargetMode="External"/><Relationship Id="rId41" Type="http://schemas.openxmlformats.org/officeDocument/2006/relationships/hyperlink" Target="https://ieeexplore.ieee.org/stamp/stamp.jsp?arnumber=11531012" TargetMode="External"/><Relationship Id="rId44" Type="http://schemas.openxmlformats.org/officeDocument/2006/relationships/hyperlink" Target="https://ieeexplore.ieee.org/stamp/stamp.jsp?arnumber=11029593" TargetMode="External"/><Relationship Id="rId43" Type="http://schemas.openxmlformats.org/officeDocument/2006/relationships/hyperlink" Target="https://doi.org/10.1109/TNET.2017.2669215" TargetMode="External"/><Relationship Id="rId46" Type="http://schemas.openxmlformats.org/officeDocument/2006/relationships/hyperlink" Target="https://doi.org/10.1145/1037911.1037917" TargetMode="External"/><Relationship Id="rId45" Type="http://schemas.openxmlformats.org/officeDocument/2006/relationships/hyperlink" Target="https://ieeexplore.ieee.org/stamp/stamp.jsp?arnumber=11189226" TargetMode="External"/><Relationship Id="rId48" Type="http://schemas.openxmlformats.org/officeDocument/2006/relationships/hyperlink" Target="https://doi.org/10.1145/1088222.1088226" TargetMode="External"/><Relationship Id="rId47" Type="http://schemas.openxmlformats.org/officeDocument/2006/relationships/hyperlink" Target="https://doi.org/10.1145/1045264.1045265" TargetMode="External"/><Relationship Id="rId49" Type="http://schemas.openxmlformats.org/officeDocument/2006/relationships/hyperlink" Target="https://doi.org/10.1145/1120212.1120419" TargetMode="External"/><Relationship Id="rId31" Type="http://schemas.openxmlformats.org/officeDocument/2006/relationships/hyperlink" Target="https://ieeexplore.ieee.org/stamp/stamp.jsp?arnumber=4299963" TargetMode="External"/><Relationship Id="rId30" Type="http://schemas.openxmlformats.org/officeDocument/2006/relationships/hyperlink" Target="https://ieeexplore.ieee.org/stamp/stamp.jsp?arnumber=11521627" TargetMode="External"/><Relationship Id="rId33" Type="http://schemas.openxmlformats.org/officeDocument/2006/relationships/hyperlink" Target="https://doi.org/10.1109/ISCA.2016.15" TargetMode="External"/><Relationship Id="rId32" Type="http://schemas.openxmlformats.org/officeDocument/2006/relationships/hyperlink" Target="https://ieeexplore.ieee.org/stamp/stamp.jsp?arnumber=1431446" TargetMode="External"/><Relationship Id="rId35" Type="http://schemas.openxmlformats.org/officeDocument/2006/relationships/hyperlink" Target="https://ieeexplore.ieee.org/stamp/stamp.jsp?arnumber=4580542" TargetMode="External"/><Relationship Id="rId34" Type="http://schemas.openxmlformats.org/officeDocument/2006/relationships/hyperlink" Target="https://ieeexplore.ieee.org/stamp/stamp.jsp?arnumber=11269633" TargetMode="External"/><Relationship Id="rId37" Type="http://schemas.openxmlformats.org/officeDocument/2006/relationships/hyperlink" Target="https://ieeexplore.ieee.org/stamp/stamp.jsp?arnumber=11037824" TargetMode="External"/><Relationship Id="rId36" Type="http://schemas.openxmlformats.org/officeDocument/2006/relationships/hyperlink" Target="https://ieeexplore.ieee.org/stamp/stamp.jsp?arnumber=11345775" TargetMode="External"/><Relationship Id="rId39" Type="http://schemas.openxmlformats.org/officeDocument/2006/relationships/hyperlink" Target="https://doi.org/10.1109/SCW63240.2024.00017" TargetMode="External"/><Relationship Id="rId38" Type="http://schemas.openxmlformats.org/officeDocument/2006/relationships/hyperlink" Target="https://ieeexplore.ieee.org/stamp/stamp.jsp?arnumber=11424465" TargetMode="External"/><Relationship Id="rId20" Type="http://schemas.openxmlformats.org/officeDocument/2006/relationships/hyperlink" Target="https://doi.org/10.1109/CCGRID.2017.49" TargetMode="External"/><Relationship Id="rId22" Type="http://schemas.openxmlformats.org/officeDocument/2006/relationships/hyperlink" Target="https://ieeexplore.ieee.org/stamp/stamp.jsp?arnumber=11519295" TargetMode="External"/><Relationship Id="rId21" Type="http://schemas.openxmlformats.org/officeDocument/2006/relationships/hyperlink" Target="https://ieeexplore.ieee.org/stamp/stamp.jsp?arnumber=1554950" TargetMode="External"/><Relationship Id="rId24" Type="http://schemas.openxmlformats.org/officeDocument/2006/relationships/hyperlink" Target="https://ieeexplore.ieee.org/stamp/stamp.jsp?arnumber=10590666" TargetMode="External"/><Relationship Id="rId23" Type="http://schemas.openxmlformats.org/officeDocument/2006/relationships/hyperlink" Target="https://ieeexplore.ieee.org/stamp/stamp.jsp?arnumber=10585495" TargetMode="External"/><Relationship Id="rId26" Type="http://schemas.openxmlformats.org/officeDocument/2006/relationships/hyperlink" Target="https://ieeexplore.ieee.org/stamp/stamp.jsp?arnumber=11460702" TargetMode="External"/><Relationship Id="rId25" Type="http://schemas.openxmlformats.org/officeDocument/2006/relationships/hyperlink" Target="https://ieeexplore.ieee.org/stamp/stamp.jsp?arnumber=11508939" TargetMode="External"/><Relationship Id="rId28" Type="http://schemas.openxmlformats.org/officeDocument/2006/relationships/hyperlink" Target="https://ieeexplore.ieee.org/stamp/stamp.jsp?arnumber=5409737" TargetMode="External"/><Relationship Id="rId27" Type="http://schemas.openxmlformats.org/officeDocument/2006/relationships/hyperlink" Target="https://ieeexplore.ieee.org/stamp/stamp.jsp?arnumber=11462217" TargetMode="External"/><Relationship Id="rId400" Type="http://schemas.openxmlformats.org/officeDocument/2006/relationships/vmlDrawing" Target="../drawings/vmlDrawing1.vml"/><Relationship Id="rId29" Type="http://schemas.openxmlformats.org/officeDocument/2006/relationships/hyperlink" Target="https://ieeexplore.ieee.org/stamp/stamp.jsp?arnumber=6056911" TargetMode="External"/><Relationship Id="rId11" Type="http://schemas.openxmlformats.org/officeDocument/2006/relationships/hyperlink" Target="https://ieeexplore.ieee.org/stamp/stamp.jsp?arnumber=11449950" TargetMode="External"/><Relationship Id="rId10" Type="http://schemas.openxmlformats.org/officeDocument/2006/relationships/hyperlink" Target="https://ieeexplore.ieee.org/stamp/stamp.jsp?arnumber=10771051" TargetMode="External"/><Relationship Id="rId13" Type="http://schemas.openxmlformats.org/officeDocument/2006/relationships/hyperlink" Target="https://ieeexplore.ieee.org/stamp/stamp.jsp?arnumber=9381292" TargetMode="External"/><Relationship Id="rId12" Type="http://schemas.openxmlformats.org/officeDocument/2006/relationships/hyperlink" Target="https://ieeexplore.ieee.org/stamp/stamp.jsp?arnumber=11334577" TargetMode="External"/><Relationship Id="rId15" Type="http://schemas.openxmlformats.org/officeDocument/2006/relationships/hyperlink" Target="https://ieeexplore.ieee.org/stamp/stamp.jsp?arnumber=10825538" TargetMode="External"/><Relationship Id="rId14" Type="http://schemas.openxmlformats.org/officeDocument/2006/relationships/hyperlink" Target="https://doi.org/10.1109/ASONAM49781.2020.9381292" TargetMode="External"/><Relationship Id="rId17" Type="http://schemas.openxmlformats.org/officeDocument/2006/relationships/hyperlink" Target="https://doi.org/10.1109/CCGrid.2012.84" TargetMode="External"/><Relationship Id="rId16" Type="http://schemas.openxmlformats.org/officeDocument/2006/relationships/hyperlink" Target="https://ieeexplore.ieee.org/stamp/stamp.jsp?arnumber=11400739" TargetMode="External"/><Relationship Id="rId19" Type="http://schemas.openxmlformats.org/officeDocument/2006/relationships/hyperlink" Target="https://doi.org/10.1109/CCGrid.2015.150" TargetMode="External"/><Relationship Id="rId18" Type="http://schemas.openxmlformats.org/officeDocument/2006/relationships/hyperlink" Target="https://doi.org/10.1109/CCGrid.2015.115" TargetMode="External"/><Relationship Id="rId84" Type="http://schemas.openxmlformats.org/officeDocument/2006/relationships/hyperlink" Target="https://doi.org/10.1145/1944862.1944886" TargetMode="External"/><Relationship Id="rId83" Type="http://schemas.openxmlformats.org/officeDocument/2006/relationships/hyperlink" Target="https://doi.org/10.1145/1899928.1899942" TargetMode="External"/><Relationship Id="rId86" Type="http://schemas.openxmlformats.org/officeDocument/2006/relationships/hyperlink" Target="https://doi.org/10.1145/1965724.1965746" TargetMode="External"/><Relationship Id="rId85" Type="http://schemas.openxmlformats.org/officeDocument/2006/relationships/hyperlink" Target="https://doi.org/10.1145/1945023.1945029" TargetMode="External"/><Relationship Id="rId88" Type="http://schemas.openxmlformats.org/officeDocument/2006/relationships/hyperlink" Target="https://doi.org/10.1145/196734.196738" TargetMode="External"/><Relationship Id="rId87" Type="http://schemas.openxmlformats.org/officeDocument/2006/relationships/hyperlink" Target="https://doi.org/10.1145/1965724.1965747" TargetMode="External"/><Relationship Id="rId89" Type="http://schemas.openxmlformats.org/officeDocument/2006/relationships/hyperlink" Target="https://doi.org/10.1145/1978942.1979209" TargetMode="External"/><Relationship Id="rId80" Type="http://schemas.openxmlformats.org/officeDocument/2006/relationships/hyperlink" Target="https://doi.org/10.1145/1839676.1839692" TargetMode="External"/><Relationship Id="rId82" Type="http://schemas.openxmlformats.org/officeDocument/2006/relationships/hyperlink" Target="https://doi.org/10.1145/1866296.1866298" TargetMode="External"/><Relationship Id="rId81" Type="http://schemas.openxmlformats.org/officeDocument/2006/relationships/hyperlink" Target="https://doi.org/10.1145/1866029.1866078" TargetMode="External"/><Relationship Id="rId73" Type="http://schemas.openxmlformats.org/officeDocument/2006/relationships/hyperlink" Target="https://doi.org/10.1145/1807128.1807164" TargetMode="External"/><Relationship Id="rId72" Type="http://schemas.openxmlformats.org/officeDocument/2006/relationships/hyperlink" Target="https://doi.org/10.1145/1807060.1807061" TargetMode="External"/><Relationship Id="rId75" Type="http://schemas.openxmlformats.org/officeDocument/2006/relationships/hyperlink" Target="https://doi.org/10.1145/1807167.1807324" TargetMode="External"/><Relationship Id="rId74" Type="http://schemas.openxmlformats.org/officeDocument/2006/relationships/hyperlink" Target="https://doi.org/10.1145/1807167.1807194" TargetMode="External"/><Relationship Id="rId77" Type="http://schemas.openxmlformats.org/officeDocument/2006/relationships/hyperlink" Target="https://doi.org/10.1145/1815961.1816002" TargetMode="External"/><Relationship Id="rId76" Type="http://schemas.openxmlformats.org/officeDocument/2006/relationships/hyperlink" Target="https://doi.org/10.1145/1809980.1810034" TargetMode="External"/><Relationship Id="rId79" Type="http://schemas.openxmlformats.org/officeDocument/2006/relationships/hyperlink" Target="https://doi.org/10.1145/1837915.1837918" TargetMode="External"/><Relationship Id="rId78" Type="http://schemas.openxmlformats.org/officeDocument/2006/relationships/hyperlink" Target="https://doi.org/10.1145/1823838.1823840" TargetMode="External"/><Relationship Id="rId71" Type="http://schemas.openxmlformats.org/officeDocument/2006/relationships/hyperlink" Target="https://doi.org/10.1145/1791314.1791347" TargetMode="External"/><Relationship Id="rId70" Type="http://schemas.openxmlformats.org/officeDocument/2006/relationships/hyperlink" Target="https://doi.org/10.1145/1755913.1755916" TargetMode="External"/><Relationship Id="rId62" Type="http://schemas.openxmlformats.org/officeDocument/2006/relationships/hyperlink" Target="https://doi.org/10.1145/1596685.1596827" TargetMode="External"/><Relationship Id="rId61" Type="http://schemas.openxmlformats.org/officeDocument/2006/relationships/hyperlink" Target="https://doi.org/10.1145/1518701.1519021" TargetMode="External"/><Relationship Id="rId64" Type="http://schemas.openxmlformats.org/officeDocument/2006/relationships/hyperlink" Target="https://doi.org/10.1145/1629575.1629577" TargetMode="External"/><Relationship Id="rId63" Type="http://schemas.openxmlformats.org/officeDocument/2006/relationships/hyperlink" Target="https://doi.org/10.1145/1621890.1621914" TargetMode="External"/><Relationship Id="rId66" Type="http://schemas.openxmlformats.org/officeDocument/2006/relationships/hyperlink" Target="https://doi.org/10.1145/1740390.1740407" TargetMode="External"/><Relationship Id="rId65" Type="http://schemas.openxmlformats.org/officeDocument/2006/relationships/hyperlink" Target="https://doi.org/10.1145/1640089.1640127" TargetMode="External"/><Relationship Id="rId68" Type="http://schemas.openxmlformats.org/officeDocument/2006/relationships/hyperlink" Target="https://doi.org/10.1145/174690.174697" TargetMode="External"/><Relationship Id="rId67" Type="http://schemas.openxmlformats.org/officeDocument/2006/relationships/hyperlink" Target="https://doi.org/10.1145/1740390.1740408" TargetMode="External"/><Relationship Id="rId60" Type="http://schemas.openxmlformats.org/officeDocument/2006/relationships/hyperlink" Target="https://doi.org/10.1145/1500175.1500178" TargetMode="External"/><Relationship Id="rId69" Type="http://schemas.openxmlformats.org/officeDocument/2006/relationships/hyperlink" Target="https://doi.org/10.1145/175208.175220" TargetMode="External"/><Relationship Id="rId51" Type="http://schemas.openxmlformats.org/officeDocument/2006/relationships/hyperlink" Target="https://doi.org/10.1145/1216295.1216357" TargetMode="External"/><Relationship Id="rId50" Type="http://schemas.openxmlformats.org/officeDocument/2006/relationships/hyperlink" Target="https://doi.org/10.1145/1141880.1523452" TargetMode="External"/><Relationship Id="rId53" Type="http://schemas.openxmlformats.org/officeDocument/2006/relationships/hyperlink" Target="https://doi.org/10.1145/122153.122160" TargetMode="External"/><Relationship Id="rId52" Type="http://schemas.openxmlformats.org/officeDocument/2006/relationships/hyperlink" Target="https://doi.org/10.1145/122153.122159" TargetMode="External"/><Relationship Id="rId55" Type="http://schemas.openxmlformats.org/officeDocument/2006/relationships/hyperlink" Target="https://doi.org/10.1145/1276958.1277335" TargetMode="External"/><Relationship Id="rId54" Type="http://schemas.openxmlformats.org/officeDocument/2006/relationships/hyperlink" Target="https://doi.org/10.1145/1274000.1274062" TargetMode="External"/><Relationship Id="rId57" Type="http://schemas.openxmlformats.org/officeDocument/2006/relationships/hyperlink" Target="https://doi.org/10.1145/1409360.1409363" TargetMode="External"/><Relationship Id="rId56" Type="http://schemas.openxmlformats.org/officeDocument/2006/relationships/hyperlink" Target="https://doi.org/10.1145/1394669.1394689" TargetMode="External"/><Relationship Id="rId59" Type="http://schemas.openxmlformats.org/officeDocument/2006/relationships/hyperlink" Target="https://doi.org/10.1145/1477862.1477879" TargetMode="External"/><Relationship Id="rId58" Type="http://schemas.openxmlformats.org/officeDocument/2006/relationships/hyperlink" Target="https://doi.org/10.1145/1450579.1450652" TargetMode="External"/><Relationship Id="rId107" Type="http://schemas.openxmlformats.org/officeDocument/2006/relationships/hyperlink" Target="https://doi.org/10.1145/221270.221624" TargetMode="External"/><Relationship Id="rId228" Type="http://schemas.openxmlformats.org/officeDocument/2006/relationships/hyperlink" Target="https://doi.org/10.1145/3708359.3712104" TargetMode="External"/><Relationship Id="rId349" Type="http://schemas.openxmlformats.org/officeDocument/2006/relationships/hyperlink" Target="https://doi.org/10.1145/3772363.3798923" TargetMode="External"/><Relationship Id="rId106" Type="http://schemas.openxmlformats.org/officeDocument/2006/relationships/hyperlink" Target="https://doi.org/10.1145/2188286.2188316" TargetMode="External"/><Relationship Id="rId227" Type="http://schemas.openxmlformats.org/officeDocument/2006/relationships/hyperlink" Target="https://doi.org/10.1145/3706599.3719976" TargetMode="External"/><Relationship Id="rId348" Type="http://schemas.openxmlformats.org/officeDocument/2006/relationships/hyperlink" Target="https://doi.org/10.1145/3772363.3798919" TargetMode="External"/><Relationship Id="rId105" Type="http://schemas.openxmlformats.org/officeDocument/2006/relationships/hyperlink" Target="https://doi.org/10.1145/2155620.2155651" TargetMode="External"/><Relationship Id="rId226" Type="http://schemas.openxmlformats.org/officeDocument/2006/relationships/hyperlink" Target="https://doi.org/10.1145/3706598.3713675" TargetMode="External"/><Relationship Id="rId347" Type="http://schemas.openxmlformats.org/officeDocument/2006/relationships/hyperlink" Target="https://doi.org/10.1145/3772363.3798812" TargetMode="External"/><Relationship Id="rId104" Type="http://schemas.openxmlformats.org/officeDocument/2006/relationships/hyperlink" Target="https://doi.org/10.1145/2146382.2146391" TargetMode="External"/><Relationship Id="rId225" Type="http://schemas.openxmlformats.org/officeDocument/2006/relationships/hyperlink" Target="https://doi.org/10.1145/3706598.3713408" TargetMode="External"/><Relationship Id="rId346" Type="http://schemas.openxmlformats.org/officeDocument/2006/relationships/hyperlink" Target="https://doi.org/10.1145/3772363.3798705" TargetMode="External"/><Relationship Id="rId109" Type="http://schemas.openxmlformats.org/officeDocument/2006/relationships/hyperlink" Target="https://doi.org/10.1145/2254756.2254766" TargetMode="External"/><Relationship Id="rId108" Type="http://schemas.openxmlformats.org/officeDocument/2006/relationships/hyperlink" Target="https://doi.org/10.1145/2212908.2212915" TargetMode="External"/><Relationship Id="rId229" Type="http://schemas.openxmlformats.org/officeDocument/2006/relationships/hyperlink" Target="https://doi.org/10.1145/3708359.3712145" TargetMode="External"/><Relationship Id="rId220" Type="http://schemas.openxmlformats.org/officeDocument/2006/relationships/hyperlink" Target="https://doi.org/10.1145/3703454" TargetMode="External"/><Relationship Id="rId341" Type="http://schemas.openxmlformats.org/officeDocument/2006/relationships/hyperlink" Target="https://doi.org/10.1145/3772363.3798512" TargetMode="External"/><Relationship Id="rId340" Type="http://schemas.openxmlformats.org/officeDocument/2006/relationships/hyperlink" Target="https://doi.org/10.1145/3772363.3798453" TargetMode="External"/><Relationship Id="rId103" Type="http://schemas.openxmlformats.org/officeDocument/2006/relationships/hyperlink" Target="https://doi.org/10.1145/2133382.2133388" TargetMode="External"/><Relationship Id="rId224" Type="http://schemas.openxmlformats.org/officeDocument/2006/relationships/hyperlink" Target="https://doi.org/10.1145/3706598.3713406" TargetMode="External"/><Relationship Id="rId345" Type="http://schemas.openxmlformats.org/officeDocument/2006/relationships/hyperlink" Target="https://doi.org/10.1145/3772363.3798685" TargetMode="External"/><Relationship Id="rId102" Type="http://schemas.openxmlformats.org/officeDocument/2006/relationships/hyperlink" Target="https://doi.org/10.1145/2124295.2124300" TargetMode="External"/><Relationship Id="rId223" Type="http://schemas.openxmlformats.org/officeDocument/2006/relationships/hyperlink" Target="https://doi.org/10.1145/3706598.3713220" TargetMode="External"/><Relationship Id="rId344" Type="http://schemas.openxmlformats.org/officeDocument/2006/relationships/hyperlink" Target="https://doi.org/10.1145/3772363.3798611" TargetMode="External"/><Relationship Id="rId101" Type="http://schemas.openxmlformats.org/officeDocument/2006/relationships/hyperlink" Target="https://doi.org/10.1145/2110205.2110209" TargetMode="External"/><Relationship Id="rId222" Type="http://schemas.openxmlformats.org/officeDocument/2006/relationships/hyperlink" Target="https://doi.org/10.1145/3706468.3706564" TargetMode="External"/><Relationship Id="rId343" Type="http://schemas.openxmlformats.org/officeDocument/2006/relationships/hyperlink" Target="https://doi.org/10.1145/3772363.3798575" TargetMode="External"/><Relationship Id="rId100" Type="http://schemas.openxmlformats.org/officeDocument/2006/relationships/hyperlink" Target="https://doi.org/10.1145/2107502.2107511" TargetMode="External"/><Relationship Id="rId221" Type="http://schemas.openxmlformats.org/officeDocument/2006/relationships/hyperlink" Target="https://doi.org/10.1145/3705294" TargetMode="External"/><Relationship Id="rId342" Type="http://schemas.openxmlformats.org/officeDocument/2006/relationships/hyperlink" Target="https://doi.org/10.1145/3772363.3798562" TargetMode="External"/><Relationship Id="rId217" Type="http://schemas.openxmlformats.org/officeDocument/2006/relationships/hyperlink" Target="https://doi.org/10.1145/3700035.3700036" TargetMode="External"/><Relationship Id="rId338" Type="http://schemas.openxmlformats.org/officeDocument/2006/relationships/hyperlink" Target="https://doi.org/10.1145/3772363.3778699" TargetMode="External"/><Relationship Id="rId216" Type="http://schemas.openxmlformats.org/officeDocument/2006/relationships/hyperlink" Target="https://doi.org/10.1145/3698896.3722209" TargetMode="External"/><Relationship Id="rId337" Type="http://schemas.openxmlformats.org/officeDocument/2006/relationships/hyperlink" Target="https://doi.org/10.1145/3772318.3809104" TargetMode="External"/><Relationship Id="rId215" Type="http://schemas.openxmlformats.org/officeDocument/2006/relationships/hyperlink" Target="https://doi.org/10.1145/3676536.3698390" TargetMode="External"/><Relationship Id="rId336" Type="http://schemas.openxmlformats.org/officeDocument/2006/relationships/hyperlink" Target="https://doi.org/10.1145/3772318.3809068" TargetMode="External"/><Relationship Id="rId214" Type="http://schemas.openxmlformats.org/officeDocument/2006/relationships/hyperlink" Target="https://doi.org/10.1145/3671016.3674821" TargetMode="External"/><Relationship Id="rId335" Type="http://schemas.openxmlformats.org/officeDocument/2006/relationships/hyperlink" Target="https://doi.org/10.1145/3772318.3808894" TargetMode="External"/><Relationship Id="rId219" Type="http://schemas.openxmlformats.org/officeDocument/2006/relationships/hyperlink" Target="https://doi.org/10.1145/3703155" TargetMode="External"/><Relationship Id="rId218" Type="http://schemas.openxmlformats.org/officeDocument/2006/relationships/hyperlink" Target="https://doi.org/10.1145/3701188" TargetMode="External"/><Relationship Id="rId339" Type="http://schemas.openxmlformats.org/officeDocument/2006/relationships/hyperlink" Target="https://doi.org/10.1145/3772363.3778745" TargetMode="External"/><Relationship Id="rId330" Type="http://schemas.openxmlformats.org/officeDocument/2006/relationships/hyperlink" Target="https://doi.org/10.1145/3772318.3791845" TargetMode="External"/><Relationship Id="rId213" Type="http://schemas.openxmlformats.org/officeDocument/2006/relationships/hyperlink" Target="https://doi.org/10.1145/3663547.3746319" TargetMode="External"/><Relationship Id="rId334" Type="http://schemas.openxmlformats.org/officeDocument/2006/relationships/hyperlink" Target="https://doi.org/10.1145/3772318.3793266" TargetMode="External"/><Relationship Id="rId212" Type="http://schemas.openxmlformats.org/officeDocument/2006/relationships/hyperlink" Target="https://doi.org/10.1145/3660650.3660656" TargetMode="External"/><Relationship Id="rId333" Type="http://schemas.openxmlformats.org/officeDocument/2006/relationships/hyperlink" Target="https://doi.org/10.1145/3772318.3791915" TargetMode="External"/><Relationship Id="rId211" Type="http://schemas.openxmlformats.org/officeDocument/2006/relationships/hyperlink" Target="https://doi.org/10.1145/3658644.3691638" TargetMode="External"/><Relationship Id="rId332" Type="http://schemas.openxmlformats.org/officeDocument/2006/relationships/hyperlink" Target="https://doi.org/10.1145/3772318.3791880" TargetMode="External"/><Relationship Id="rId210" Type="http://schemas.openxmlformats.org/officeDocument/2006/relationships/hyperlink" Target="https://doi.org/10.1145/3657604.3662042" TargetMode="External"/><Relationship Id="rId331" Type="http://schemas.openxmlformats.org/officeDocument/2006/relationships/hyperlink" Target="https://doi.org/10.1145/3772318.3791851" TargetMode="External"/><Relationship Id="rId370" Type="http://schemas.openxmlformats.org/officeDocument/2006/relationships/hyperlink" Target="https://doi.org/10.1145/3800687" TargetMode="External"/><Relationship Id="rId129" Type="http://schemas.openxmlformats.org/officeDocument/2006/relationships/hyperlink" Target="https://doi.org/10.1145/2631187" TargetMode="External"/><Relationship Id="rId128" Type="http://schemas.openxmlformats.org/officeDocument/2006/relationships/hyperlink" Target="https://doi.org/10.1145/262116.262142" TargetMode="External"/><Relationship Id="rId249" Type="http://schemas.openxmlformats.org/officeDocument/2006/relationships/hyperlink" Target="https://doi.org/10.1145/3736425.3770093" TargetMode="External"/><Relationship Id="rId127" Type="http://schemas.openxmlformats.org/officeDocument/2006/relationships/hyperlink" Target="https://doi.org/10.1145/2559206.2581287" TargetMode="External"/><Relationship Id="rId248" Type="http://schemas.openxmlformats.org/officeDocument/2006/relationships/hyperlink" Target="https://doi.org/10.1145/3735402" TargetMode="External"/><Relationship Id="rId369" Type="http://schemas.openxmlformats.org/officeDocument/2006/relationships/hyperlink" Target="https://doi.org/10.1145/3800683" TargetMode="External"/><Relationship Id="rId126" Type="http://schemas.openxmlformats.org/officeDocument/2006/relationships/hyperlink" Target="https://doi.org/10.1145/2541940.2541951" TargetMode="External"/><Relationship Id="rId247" Type="http://schemas.openxmlformats.org/officeDocument/2006/relationships/hyperlink" Target="https://doi.org/10.1145/3731459.3786222" TargetMode="External"/><Relationship Id="rId368" Type="http://schemas.openxmlformats.org/officeDocument/2006/relationships/hyperlink" Target="https://doi.org/10.1145/3800580" TargetMode="External"/><Relationship Id="rId121" Type="http://schemas.openxmlformats.org/officeDocument/2006/relationships/hyperlink" Target="https://doi.org/10.1145/2504847" TargetMode="External"/><Relationship Id="rId242" Type="http://schemas.openxmlformats.org/officeDocument/2006/relationships/hyperlink" Target="https://doi.org/10.1145/3719160.3736611" TargetMode="External"/><Relationship Id="rId363" Type="http://schemas.openxmlformats.org/officeDocument/2006/relationships/hyperlink" Target="https://doi.org/10.1145/3786335.3813137" TargetMode="External"/><Relationship Id="rId120" Type="http://schemas.openxmlformats.org/officeDocument/2006/relationships/hyperlink" Target="https://doi.org/10.1145/2503210.2503281" TargetMode="External"/><Relationship Id="rId241" Type="http://schemas.openxmlformats.org/officeDocument/2006/relationships/hyperlink" Target="https://doi.org/10.1145/3717511.3747073" TargetMode="External"/><Relationship Id="rId362" Type="http://schemas.openxmlformats.org/officeDocument/2006/relationships/hyperlink" Target="https://doi.org/10.1145/3786304.3787891" TargetMode="External"/><Relationship Id="rId240" Type="http://schemas.openxmlformats.org/officeDocument/2006/relationships/hyperlink" Target="https://doi.org/10.1145/3716628" TargetMode="External"/><Relationship Id="rId361" Type="http://schemas.openxmlformats.org/officeDocument/2006/relationships/hyperlink" Target="https://doi.org/10.1145/3786304.3787879" TargetMode="External"/><Relationship Id="rId360" Type="http://schemas.openxmlformats.org/officeDocument/2006/relationships/hyperlink" Target="https://doi.org/10.1145/3786304.3787865" TargetMode="External"/><Relationship Id="rId125" Type="http://schemas.openxmlformats.org/officeDocument/2006/relationships/hyperlink" Target="https://doi.org/10.1145/2536536.2536628" TargetMode="External"/><Relationship Id="rId246" Type="http://schemas.openxmlformats.org/officeDocument/2006/relationships/hyperlink" Target="https://doi.org/10.1145/3727200.3727226" TargetMode="External"/><Relationship Id="rId367" Type="http://schemas.openxmlformats.org/officeDocument/2006/relationships/hyperlink" Target="https://doi.org/10.1145/3799914.3799919" TargetMode="External"/><Relationship Id="rId124" Type="http://schemas.openxmlformats.org/officeDocument/2006/relationships/hyperlink" Target="https://doi.org/10.1145/2523616.2523635" TargetMode="External"/><Relationship Id="rId245" Type="http://schemas.openxmlformats.org/officeDocument/2006/relationships/hyperlink" Target="https://doi.org/10.1145/3721201.3721385" TargetMode="External"/><Relationship Id="rId366" Type="http://schemas.openxmlformats.org/officeDocument/2006/relationships/hyperlink" Target="https://doi.org/10.1145/3793679" TargetMode="External"/><Relationship Id="rId123" Type="http://schemas.openxmlformats.org/officeDocument/2006/relationships/hyperlink" Target="https://doi.org/10.1145/2512348" TargetMode="External"/><Relationship Id="rId244" Type="http://schemas.openxmlformats.org/officeDocument/2006/relationships/hyperlink" Target="https://doi.org/10.1145/3720554.3735862" TargetMode="External"/><Relationship Id="rId365" Type="http://schemas.openxmlformats.org/officeDocument/2006/relationships/hyperlink" Target="https://doi.org/10.1145/3793638.3793643" TargetMode="External"/><Relationship Id="rId122" Type="http://schemas.openxmlformats.org/officeDocument/2006/relationships/hyperlink" Target="https://doi.org/10.1145/2508363.2508381" TargetMode="External"/><Relationship Id="rId243" Type="http://schemas.openxmlformats.org/officeDocument/2006/relationships/hyperlink" Target="https://doi.org/10.1145/3719160.3736618" TargetMode="External"/><Relationship Id="rId364" Type="http://schemas.openxmlformats.org/officeDocument/2006/relationships/hyperlink" Target="https://doi.org/10.1145/3788646.3789536" TargetMode="External"/><Relationship Id="rId95" Type="http://schemas.openxmlformats.org/officeDocument/2006/relationships/hyperlink" Target="https://doi.org/10.1145/2018584.2018596" TargetMode="External"/><Relationship Id="rId94" Type="http://schemas.openxmlformats.org/officeDocument/2006/relationships/hyperlink" Target="https://doi.org/10.1145/2003690.2003693" TargetMode="External"/><Relationship Id="rId97" Type="http://schemas.openxmlformats.org/officeDocument/2006/relationships/hyperlink" Target="https://doi.org/10.1145/2038916.2038939" TargetMode="External"/><Relationship Id="rId96" Type="http://schemas.openxmlformats.org/officeDocument/2006/relationships/hyperlink" Target="https://doi.org/10.1145/2038916.2038917" TargetMode="External"/><Relationship Id="rId99" Type="http://schemas.openxmlformats.org/officeDocument/2006/relationships/hyperlink" Target="https://doi.org/10.1145/2043556.2043593" TargetMode="External"/><Relationship Id="rId98" Type="http://schemas.openxmlformats.org/officeDocument/2006/relationships/hyperlink" Target="https://doi.org/10.1145/2043556.2043558" TargetMode="External"/><Relationship Id="rId91" Type="http://schemas.openxmlformats.org/officeDocument/2006/relationships/hyperlink" Target="https://doi.org/10.1145/1989323.1989461" TargetMode="External"/><Relationship Id="rId90" Type="http://schemas.openxmlformats.org/officeDocument/2006/relationships/hyperlink" Target="https://doi.org/10.1145/1989323.1989327" TargetMode="External"/><Relationship Id="rId93" Type="http://schemas.openxmlformats.org/officeDocument/2006/relationships/hyperlink" Target="https://doi.org/10.1145/199688.199776" TargetMode="External"/><Relationship Id="rId92" Type="http://schemas.openxmlformats.org/officeDocument/2006/relationships/hyperlink" Target="https://doi.org/10.1145/1995896.1995926" TargetMode="External"/><Relationship Id="rId118" Type="http://schemas.openxmlformats.org/officeDocument/2006/relationships/hyperlink" Target="https://doi.org/10.1145/2465529.2465553" TargetMode="External"/><Relationship Id="rId239" Type="http://schemas.openxmlformats.org/officeDocument/2006/relationships/hyperlink" Target="https://doi.org/10.1145/3716553.3750784" TargetMode="External"/><Relationship Id="rId117" Type="http://schemas.openxmlformats.org/officeDocument/2006/relationships/hyperlink" Target="https://doi.org/10.1145/2465351.2465361" TargetMode="External"/><Relationship Id="rId238" Type="http://schemas.openxmlformats.org/officeDocument/2006/relationships/hyperlink" Target="https://doi.org/10.1145/3715275.3732146" TargetMode="External"/><Relationship Id="rId359" Type="http://schemas.openxmlformats.org/officeDocument/2006/relationships/hyperlink" Target="https://doi.org/10.1145/3786167.3788413" TargetMode="External"/><Relationship Id="rId116" Type="http://schemas.openxmlformats.org/officeDocument/2006/relationships/hyperlink" Target="https://doi.org/10.1145/2391229.2391237" TargetMode="External"/><Relationship Id="rId237" Type="http://schemas.openxmlformats.org/officeDocument/2006/relationships/hyperlink" Target="https://doi.org/10.1145/3715275.3732094" TargetMode="External"/><Relationship Id="rId358" Type="http://schemas.openxmlformats.org/officeDocument/2006/relationships/hyperlink" Target="https://doi.org/10.1145/3779295" TargetMode="External"/><Relationship Id="rId115" Type="http://schemas.openxmlformats.org/officeDocument/2006/relationships/hyperlink" Target="https://doi.org/10.1145/238168.238181" TargetMode="External"/><Relationship Id="rId236" Type="http://schemas.openxmlformats.org/officeDocument/2006/relationships/hyperlink" Target="https://doi.org/10.1145/3715275.3732063" TargetMode="External"/><Relationship Id="rId357" Type="http://schemas.openxmlformats.org/officeDocument/2006/relationships/hyperlink" Target="https://doi.org/10.1145/3778354" TargetMode="External"/><Relationship Id="rId119" Type="http://schemas.openxmlformats.org/officeDocument/2006/relationships/hyperlink" Target="https://doi.org/10.1145/2482767.2482793" TargetMode="External"/><Relationship Id="rId110" Type="http://schemas.openxmlformats.org/officeDocument/2006/relationships/hyperlink" Target="https://doi.org/10.1145/2336727.2336738" TargetMode="External"/><Relationship Id="rId231" Type="http://schemas.openxmlformats.org/officeDocument/2006/relationships/hyperlink" Target="https://doi.org/10.1145/3714394.3756275" TargetMode="External"/><Relationship Id="rId352" Type="http://schemas.openxmlformats.org/officeDocument/2006/relationships/hyperlink" Target="https://doi.org/10.1145/3772363.3799334" TargetMode="External"/><Relationship Id="rId230" Type="http://schemas.openxmlformats.org/officeDocument/2006/relationships/hyperlink" Target="https://doi.org/10.1145/3711896.3736563" TargetMode="External"/><Relationship Id="rId351" Type="http://schemas.openxmlformats.org/officeDocument/2006/relationships/hyperlink" Target="https://doi.org/10.1145/3772363.3799156" TargetMode="External"/><Relationship Id="rId350" Type="http://schemas.openxmlformats.org/officeDocument/2006/relationships/hyperlink" Target="https://doi.org/10.1145/3772363.3798995" TargetMode="External"/><Relationship Id="rId114" Type="http://schemas.openxmlformats.org/officeDocument/2006/relationships/hyperlink" Target="https://doi.org/10.1145/2378356.2378361" TargetMode="External"/><Relationship Id="rId235" Type="http://schemas.openxmlformats.org/officeDocument/2006/relationships/hyperlink" Target="https://doi.org/10.1145/3715275.3732039" TargetMode="External"/><Relationship Id="rId356" Type="http://schemas.openxmlformats.org/officeDocument/2006/relationships/hyperlink" Target="https://doi.org/10.1145/3776734.3794532" TargetMode="External"/><Relationship Id="rId113" Type="http://schemas.openxmlformats.org/officeDocument/2006/relationships/hyperlink" Target="https://doi.org/10.1145/2377677.2377681" TargetMode="External"/><Relationship Id="rId234" Type="http://schemas.openxmlformats.org/officeDocument/2006/relationships/hyperlink" Target="https://doi.org/10.1145/3715275.3732038" TargetMode="External"/><Relationship Id="rId355" Type="http://schemas.openxmlformats.org/officeDocument/2006/relationships/hyperlink" Target="https://doi.org/10.1145/3774904.3792976" TargetMode="External"/><Relationship Id="rId112" Type="http://schemas.openxmlformats.org/officeDocument/2006/relationships/hyperlink" Target="https://doi.org/10.1145/2365946.2365951" TargetMode="External"/><Relationship Id="rId233" Type="http://schemas.openxmlformats.org/officeDocument/2006/relationships/hyperlink" Target="https://doi.org/10.1145/3715073.3715075" TargetMode="External"/><Relationship Id="rId354" Type="http://schemas.openxmlformats.org/officeDocument/2006/relationships/hyperlink" Target="https://doi.org/10.1145/3774904.3792671" TargetMode="External"/><Relationship Id="rId111" Type="http://schemas.openxmlformats.org/officeDocument/2006/relationships/hyperlink" Target="https://doi.org/10.1145/2342356.2342360" TargetMode="External"/><Relationship Id="rId232" Type="http://schemas.openxmlformats.org/officeDocument/2006/relationships/hyperlink" Target="https://doi.org/10.1145/3715070.3749272" TargetMode="External"/><Relationship Id="rId353" Type="http://schemas.openxmlformats.org/officeDocument/2006/relationships/hyperlink" Target="https://doi.org/10.1145/3774904.3792506" TargetMode="External"/><Relationship Id="rId305" Type="http://schemas.openxmlformats.org/officeDocument/2006/relationships/hyperlink" Target="https://doi.org/10.1145/3772318.3790934" TargetMode="External"/><Relationship Id="rId304" Type="http://schemas.openxmlformats.org/officeDocument/2006/relationships/hyperlink" Target="https://doi.org/10.1145/3772318.3790907" TargetMode="External"/><Relationship Id="rId303" Type="http://schemas.openxmlformats.org/officeDocument/2006/relationships/hyperlink" Target="https://doi.org/10.1145/3772318.3790859" TargetMode="External"/><Relationship Id="rId302" Type="http://schemas.openxmlformats.org/officeDocument/2006/relationships/hyperlink" Target="https://doi.org/10.1145/3772318.3790812" TargetMode="External"/><Relationship Id="rId309" Type="http://schemas.openxmlformats.org/officeDocument/2006/relationships/hyperlink" Target="https://doi.org/10.1145/3772318.3791079" TargetMode="External"/><Relationship Id="rId308" Type="http://schemas.openxmlformats.org/officeDocument/2006/relationships/hyperlink" Target="https://doi.org/10.1145/3772318.3791068" TargetMode="External"/><Relationship Id="rId307" Type="http://schemas.openxmlformats.org/officeDocument/2006/relationships/hyperlink" Target="https://doi.org/10.1145/3772318.3791060" TargetMode="External"/><Relationship Id="rId306" Type="http://schemas.openxmlformats.org/officeDocument/2006/relationships/hyperlink" Target="https://doi.org/10.1145/3772318.3791012" TargetMode="External"/><Relationship Id="rId301" Type="http://schemas.openxmlformats.org/officeDocument/2006/relationships/hyperlink" Target="https://doi.org/10.1145/3772318.3790739" TargetMode="External"/><Relationship Id="rId300" Type="http://schemas.openxmlformats.org/officeDocument/2006/relationships/hyperlink" Target="https://doi.org/10.1145/3772318.3790697" TargetMode="External"/><Relationship Id="rId206" Type="http://schemas.openxmlformats.org/officeDocument/2006/relationships/hyperlink" Target="https://doi.org/10.1145/3642979.3642984" TargetMode="External"/><Relationship Id="rId327" Type="http://schemas.openxmlformats.org/officeDocument/2006/relationships/hyperlink" Target="https://doi.org/10.1145/3772318.3791760" TargetMode="External"/><Relationship Id="rId205" Type="http://schemas.openxmlformats.org/officeDocument/2006/relationships/hyperlink" Target="https://doi.org/10.1145/3640543.3645148" TargetMode="External"/><Relationship Id="rId326" Type="http://schemas.openxmlformats.org/officeDocument/2006/relationships/hyperlink" Target="https://doi.org/10.1145/3772318.3791726" TargetMode="External"/><Relationship Id="rId204" Type="http://schemas.openxmlformats.org/officeDocument/2006/relationships/hyperlink" Target="https://doi.org/10.1145/3640352" TargetMode="External"/><Relationship Id="rId325" Type="http://schemas.openxmlformats.org/officeDocument/2006/relationships/hyperlink" Target="https://doi.org/10.1145/3772318.3791640" TargetMode="External"/><Relationship Id="rId203" Type="http://schemas.openxmlformats.org/officeDocument/2006/relationships/hyperlink" Target="https://doi.org/10.1145/3639372" TargetMode="External"/><Relationship Id="rId324" Type="http://schemas.openxmlformats.org/officeDocument/2006/relationships/hyperlink" Target="https://doi.org/10.1145/3772318.3791632" TargetMode="External"/><Relationship Id="rId209" Type="http://schemas.openxmlformats.org/officeDocument/2006/relationships/hyperlink" Target="https://doi.org/10.1145/3655103.3655107" TargetMode="External"/><Relationship Id="rId208" Type="http://schemas.openxmlformats.org/officeDocument/2006/relationships/hyperlink" Target="https://doi.org/10.1145/3648188.3678216" TargetMode="External"/><Relationship Id="rId329" Type="http://schemas.openxmlformats.org/officeDocument/2006/relationships/hyperlink" Target="https://doi.org/10.1145/3772318.3791834" TargetMode="External"/><Relationship Id="rId207" Type="http://schemas.openxmlformats.org/officeDocument/2006/relationships/hyperlink" Target="https://doi.org/10.1145/3643834.3661525" TargetMode="External"/><Relationship Id="rId328" Type="http://schemas.openxmlformats.org/officeDocument/2006/relationships/hyperlink" Target="https://doi.org/10.1145/3772318.3791775" TargetMode="External"/><Relationship Id="rId202" Type="http://schemas.openxmlformats.org/officeDocument/2006/relationships/hyperlink" Target="https://doi.org/10.1145/3637528.3671481" TargetMode="External"/><Relationship Id="rId323" Type="http://schemas.openxmlformats.org/officeDocument/2006/relationships/hyperlink" Target="https://doi.org/10.1145/3772318.3791600" TargetMode="External"/><Relationship Id="rId201" Type="http://schemas.openxmlformats.org/officeDocument/2006/relationships/hyperlink" Target="https://doi.org/10.1145/3630106.3659037" TargetMode="External"/><Relationship Id="rId322" Type="http://schemas.openxmlformats.org/officeDocument/2006/relationships/hyperlink" Target="https://doi.org/10.1145/3772318.3791571" TargetMode="External"/><Relationship Id="rId200" Type="http://schemas.openxmlformats.org/officeDocument/2006/relationships/hyperlink" Target="https://doi.org/10.1145/3613904.3642159" TargetMode="External"/><Relationship Id="rId321" Type="http://schemas.openxmlformats.org/officeDocument/2006/relationships/hyperlink" Target="https://doi.org/10.1145/3772318.3791560" TargetMode="External"/><Relationship Id="rId320" Type="http://schemas.openxmlformats.org/officeDocument/2006/relationships/hyperlink" Target="https://doi.org/10.1145/3772318.3791556" TargetMode="External"/><Relationship Id="rId316" Type="http://schemas.openxmlformats.org/officeDocument/2006/relationships/hyperlink" Target="https://doi.org/10.1145/3772318.3791365" TargetMode="External"/><Relationship Id="rId315" Type="http://schemas.openxmlformats.org/officeDocument/2006/relationships/hyperlink" Target="https://doi.org/10.1145/3772318.3791363" TargetMode="External"/><Relationship Id="rId314" Type="http://schemas.openxmlformats.org/officeDocument/2006/relationships/hyperlink" Target="https://doi.org/10.1145/3772318.3791319" TargetMode="External"/><Relationship Id="rId313" Type="http://schemas.openxmlformats.org/officeDocument/2006/relationships/hyperlink" Target="https://doi.org/10.1145/3772318.3791300" TargetMode="External"/><Relationship Id="rId319" Type="http://schemas.openxmlformats.org/officeDocument/2006/relationships/hyperlink" Target="https://doi.org/10.1145/3772318.3791484" TargetMode="External"/><Relationship Id="rId318" Type="http://schemas.openxmlformats.org/officeDocument/2006/relationships/hyperlink" Target="https://doi.org/10.1145/3772318.3791428" TargetMode="External"/><Relationship Id="rId317" Type="http://schemas.openxmlformats.org/officeDocument/2006/relationships/hyperlink" Target="https://doi.org/10.1145/3772318.3791381" TargetMode="External"/><Relationship Id="rId312" Type="http://schemas.openxmlformats.org/officeDocument/2006/relationships/hyperlink" Target="https://doi.org/10.1145/3772318.3791248" TargetMode="External"/><Relationship Id="rId311" Type="http://schemas.openxmlformats.org/officeDocument/2006/relationships/hyperlink" Target="https://doi.org/10.1145/3772318.3791233" TargetMode="External"/><Relationship Id="rId310" Type="http://schemas.openxmlformats.org/officeDocument/2006/relationships/hyperlink" Target="https://doi.org/10.1145/3772318.3791149"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oi.org/10.1145/3544793.3560382" TargetMode="External"/><Relationship Id="rId194" Type="http://schemas.openxmlformats.org/officeDocument/2006/relationships/hyperlink" Target="https://doi.org/10.1145/3582515.3609571" TargetMode="External"/><Relationship Id="rId193" Type="http://schemas.openxmlformats.org/officeDocument/2006/relationships/hyperlink" Target="https://doi.org/10.1145/358027.358046" TargetMode="External"/><Relationship Id="rId192" Type="http://schemas.openxmlformats.org/officeDocument/2006/relationships/hyperlink" Target="https://doi.org/10.1145/3563456" TargetMode="External"/><Relationship Id="rId191" Type="http://schemas.openxmlformats.org/officeDocument/2006/relationships/hyperlink" Target="https://doi.org/10.1145/3555153" TargetMode="External"/><Relationship Id="rId187" Type="http://schemas.openxmlformats.org/officeDocument/2006/relationships/hyperlink" Target="https://doi.org/10.1145/3528381" TargetMode="External"/><Relationship Id="rId186" Type="http://schemas.openxmlformats.org/officeDocument/2006/relationships/hyperlink" Target="https://doi.org/10.1145/3511047.3536406" TargetMode="External"/><Relationship Id="rId185" Type="http://schemas.openxmlformats.org/officeDocument/2006/relationships/hyperlink" Target="https://doi.org/10.1145/3492833" TargetMode="External"/><Relationship Id="rId184" Type="http://schemas.openxmlformats.org/officeDocument/2006/relationships/hyperlink" Target="https://doi.org/10.1145/3491102.3517546" TargetMode="External"/><Relationship Id="rId189" Type="http://schemas.openxmlformats.org/officeDocument/2006/relationships/hyperlink" Target="https://doi.org/10.1145/3544549.3582735" TargetMode="External"/><Relationship Id="rId188" Type="http://schemas.openxmlformats.org/officeDocument/2006/relationships/hyperlink" Target="https://doi.org/10.1145/3538225" TargetMode="External"/><Relationship Id="rId183" Type="http://schemas.openxmlformats.org/officeDocument/2006/relationships/hyperlink" Target="https://doi.org/10.1145/3461778.3462087" TargetMode="External"/><Relationship Id="rId182" Type="http://schemas.openxmlformats.org/officeDocument/2006/relationships/hyperlink" Target="https://doi.org/10.1145/3448018.3458007" TargetMode="External"/><Relationship Id="rId181" Type="http://schemas.openxmlformats.org/officeDocument/2006/relationships/hyperlink" Target="https://doi.org/10.1145/3442381.3449990" TargetMode="External"/><Relationship Id="rId180" Type="http://schemas.openxmlformats.org/officeDocument/2006/relationships/hyperlink" Target="https://doi.org/10.1145/343048.343076" TargetMode="External"/><Relationship Id="rId176" Type="http://schemas.openxmlformats.org/officeDocument/2006/relationships/hyperlink" Target="https://doi.org/10.1145/3363459.3363540" TargetMode="External"/><Relationship Id="rId297" Type="http://schemas.openxmlformats.org/officeDocument/2006/relationships/hyperlink" Target="https://doi.org/10.1145/3772318.3790529" TargetMode="External"/><Relationship Id="rId175" Type="http://schemas.openxmlformats.org/officeDocument/2006/relationships/hyperlink" Target="https://doi.org/10.1145/3339458" TargetMode="External"/><Relationship Id="rId296" Type="http://schemas.openxmlformats.org/officeDocument/2006/relationships/hyperlink" Target="https://doi.org/10.1145/3772318.3790461" TargetMode="External"/><Relationship Id="rId174" Type="http://schemas.openxmlformats.org/officeDocument/2006/relationships/hyperlink" Target="https://doi.org/10.1145/3331543.3342580" TargetMode="External"/><Relationship Id="rId295" Type="http://schemas.openxmlformats.org/officeDocument/2006/relationships/hyperlink" Target="https://doi.org/10.1145/3772318.3790456" TargetMode="External"/><Relationship Id="rId173" Type="http://schemas.openxmlformats.org/officeDocument/2006/relationships/hyperlink" Target="https://doi.org/10.1145/333140.333146" TargetMode="External"/><Relationship Id="rId294" Type="http://schemas.openxmlformats.org/officeDocument/2006/relationships/hyperlink" Target="https://doi.org/10.1145/3772318.3790388" TargetMode="External"/><Relationship Id="rId179" Type="http://schemas.openxmlformats.org/officeDocument/2006/relationships/hyperlink" Target="https://doi.org/10.1145/3387514.3405863" TargetMode="External"/><Relationship Id="rId178" Type="http://schemas.openxmlformats.org/officeDocument/2006/relationships/hyperlink" Target="https://doi.org/10.1145/3384473" TargetMode="External"/><Relationship Id="rId299" Type="http://schemas.openxmlformats.org/officeDocument/2006/relationships/hyperlink" Target="https://doi.org/10.1145/3772318.3790685" TargetMode="External"/><Relationship Id="rId177" Type="http://schemas.openxmlformats.org/officeDocument/2006/relationships/hyperlink" Target="https://doi.org/10.1145/3383668.3419909" TargetMode="External"/><Relationship Id="rId298" Type="http://schemas.openxmlformats.org/officeDocument/2006/relationships/hyperlink" Target="https://doi.org/10.1145/3772318.3790586" TargetMode="External"/><Relationship Id="rId198" Type="http://schemas.openxmlformats.org/officeDocument/2006/relationships/hyperlink" Target="https://doi.org/10.1145/3610073" TargetMode="External"/><Relationship Id="rId197" Type="http://schemas.openxmlformats.org/officeDocument/2006/relationships/hyperlink" Target="https://doi.org/10.1145/3610027" TargetMode="External"/><Relationship Id="rId196" Type="http://schemas.openxmlformats.org/officeDocument/2006/relationships/hyperlink" Target="https://doi.org/10.1145/3605764.3623985" TargetMode="External"/><Relationship Id="rId195" Type="http://schemas.openxmlformats.org/officeDocument/2006/relationships/hyperlink" Target="https://doi.org/10.1145/3603269.3604880" TargetMode="External"/><Relationship Id="rId199" Type="http://schemas.openxmlformats.org/officeDocument/2006/relationships/hyperlink" Target="https://doi.org/10.1145/3613904.3642038" TargetMode="External"/><Relationship Id="rId150" Type="http://schemas.openxmlformats.org/officeDocument/2006/relationships/hyperlink" Target="https://doi.org/10.1145/296336.296354" TargetMode="External"/><Relationship Id="rId271" Type="http://schemas.openxmlformats.org/officeDocument/2006/relationships/hyperlink" Target="https://doi.org/10.1145/3757544" TargetMode="External"/><Relationship Id="rId392" Type="http://schemas.openxmlformats.org/officeDocument/2006/relationships/hyperlink" Target="https://doi.org/10.3115/981436.981467" TargetMode="External"/><Relationship Id="rId270" Type="http://schemas.openxmlformats.org/officeDocument/2006/relationships/hyperlink" Target="https://doi.org/10.1145/3757442" TargetMode="External"/><Relationship Id="rId391" Type="http://schemas.openxmlformats.org/officeDocument/2006/relationships/hyperlink" Target="https://doi.org/10.3115/981175.981177" TargetMode="External"/><Relationship Id="rId390" Type="http://schemas.openxmlformats.org/officeDocument/2006/relationships/hyperlink" Target="https://doi.org/10.3115/980262.980281"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oi.org/10.1145/2933349.2933359" TargetMode="External"/><Relationship Id="rId4" Type="http://schemas.openxmlformats.org/officeDocument/2006/relationships/hyperlink" Target="https://doi.org/10.1007/978-3-642-24322-6_15" TargetMode="External"/><Relationship Id="rId148" Type="http://schemas.openxmlformats.org/officeDocument/2006/relationships/hyperlink" Target="https://doi.org/10.1145/2901318.2901337" TargetMode="External"/><Relationship Id="rId269" Type="http://schemas.openxmlformats.org/officeDocument/2006/relationships/hyperlink" Target="https://doi.org/10.1145/3757424" TargetMode="External"/><Relationship Id="rId9" Type="http://schemas.openxmlformats.org/officeDocument/2006/relationships/hyperlink" Target="https://ieeexplore.ieee.org/stamp/stamp.jsp?arnumber=11467909" TargetMode="External"/><Relationship Id="rId143" Type="http://schemas.openxmlformats.org/officeDocument/2006/relationships/hyperlink" Target="https://doi.org/10.1145/2806777.2806850" TargetMode="External"/><Relationship Id="rId264" Type="http://schemas.openxmlformats.org/officeDocument/2006/relationships/hyperlink" Target="https://doi.org/10.1145/3746252.3761151" TargetMode="External"/><Relationship Id="rId385" Type="http://schemas.openxmlformats.org/officeDocument/2006/relationships/hyperlink" Target="https://doi.org/10.14778/3025111.3025113" TargetMode="External"/><Relationship Id="rId142" Type="http://schemas.openxmlformats.org/officeDocument/2006/relationships/hyperlink" Target="https://doi.org/10.1145/2798729" TargetMode="External"/><Relationship Id="rId263" Type="http://schemas.openxmlformats.org/officeDocument/2006/relationships/hyperlink" Target="https://doi.org/10.1145/3746059.3747680" TargetMode="External"/><Relationship Id="rId384" Type="http://schemas.openxmlformats.org/officeDocument/2006/relationships/hyperlink" Target="https://doi.org/10.14778/2947618.2947625" TargetMode="External"/><Relationship Id="rId141" Type="http://schemas.openxmlformats.org/officeDocument/2006/relationships/hyperlink" Target="https://doi.org/10.1145/2791285" TargetMode="External"/><Relationship Id="rId262" Type="http://schemas.openxmlformats.org/officeDocument/2006/relationships/hyperlink" Target="https://doi.org/10.1145/3746058.3758468" TargetMode="External"/><Relationship Id="rId383" Type="http://schemas.openxmlformats.org/officeDocument/2006/relationships/hyperlink" Target="https://doi.org/10.14778/1938545.1938549" TargetMode="External"/><Relationship Id="rId140" Type="http://schemas.openxmlformats.org/officeDocument/2006/relationships/hyperlink" Target="https://doi.org/10.1145/2771937.2771939" TargetMode="External"/><Relationship Id="rId261" Type="http://schemas.openxmlformats.org/officeDocument/2006/relationships/hyperlink" Target="https://doi.org/10.1145/3746027.3755778" TargetMode="External"/><Relationship Id="rId382" Type="http://schemas.openxmlformats.org/officeDocument/2006/relationships/hyperlink" Target="https://doi.org/10.14778/1920841.1921015" TargetMode="External"/><Relationship Id="rId5" Type="http://schemas.openxmlformats.org/officeDocument/2006/relationships/hyperlink" Target="https://doi.org/10.1007/978-3-642-24322-6_16" TargetMode="External"/><Relationship Id="rId147" Type="http://schemas.openxmlformats.org/officeDocument/2006/relationships/hyperlink" Target="https://doi.org/10.1145/2897824.2925888" TargetMode="External"/><Relationship Id="rId268" Type="http://schemas.openxmlformats.org/officeDocument/2006/relationships/hyperlink" Target="https://doi.org/10.1145/3757279.3785553" TargetMode="External"/><Relationship Id="rId389" Type="http://schemas.openxmlformats.org/officeDocument/2006/relationships/hyperlink" Target="https://doi.org/10.3115/1220175.1220289" TargetMode="External"/><Relationship Id="rId6" Type="http://schemas.openxmlformats.org/officeDocument/2006/relationships/hyperlink" Target="https://doi.org/10.1007/978-3-642-24322-6_19" TargetMode="External"/><Relationship Id="rId146" Type="http://schemas.openxmlformats.org/officeDocument/2006/relationships/hyperlink" Target="https://doi.org/10.1145/28395.28431" TargetMode="External"/><Relationship Id="rId267" Type="http://schemas.openxmlformats.org/officeDocument/2006/relationships/hyperlink" Target="https://doi.org/10.1145/375663.375720" TargetMode="External"/><Relationship Id="rId388" Type="http://schemas.openxmlformats.org/officeDocument/2006/relationships/hyperlink" Target="https://doi.org/10.3115/1117554.1117558" TargetMode="External"/><Relationship Id="rId7" Type="http://schemas.openxmlformats.org/officeDocument/2006/relationships/hyperlink" Target="https://ieeexplore.ieee.org/stamp/stamp.jsp?arnumber=8372225" TargetMode="External"/><Relationship Id="rId145" Type="http://schemas.openxmlformats.org/officeDocument/2006/relationships/hyperlink" Target="https://doi.org/10.1145/2830903.2830908" TargetMode="External"/><Relationship Id="rId266" Type="http://schemas.openxmlformats.org/officeDocument/2006/relationships/hyperlink" Target="https://doi.org/10.1145/3748620" TargetMode="External"/><Relationship Id="rId387" Type="http://schemas.openxmlformats.org/officeDocument/2006/relationships/hyperlink" Target="https://doi.org/10.1613/jair.1.17654" TargetMode="External"/><Relationship Id="rId8" Type="http://schemas.openxmlformats.org/officeDocument/2006/relationships/hyperlink" Target="https://ieeexplore.ieee.org/stamp/stamp.jsp?arnumber=735370" TargetMode="External"/><Relationship Id="rId144" Type="http://schemas.openxmlformats.org/officeDocument/2006/relationships/hyperlink" Target="https://doi.org/10.1145/2807591.2807636" TargetMode="External"/><Relationship Id="rId265" Type="http://schemas.openxmlformats.org/officeDocument/2006/relationships/hyperlink" Target="https://doi.org/10.1145/3746252.3761448" TargetMode="External"/><Relationship Id="rId386" Type="http://schemas.openxmlformats.org/officeDocument/2006/relationships/hyperlink" Target="https://doi.org/10.14778/3476311.3476373" TargetMode="External"/><Relationship Id="rId260" Type="http://schemas.openxmlformats.org/officeDocument/2006/relationships/hyperlink" Target="https://doi.org/10.1145/3744169.3744195" TargetMode="External"/><Relationship Id="rId381" Type="http://schemas.openxmlformats.org/officeDocument/2006/relationships/hyperlink" Target="https://doi.org/10.14236/ewic/BCSHCI2025.10" TargetMode="External"/><Relationship Id="rId380" Type="http://schemas.openxmlformats.org/officeDocument/2006/relationships/hyperlink" Target="https://doi.org/10.1145/764008.763957" TargetMode="External"/><Relationship Id="rId139" Type="http://schemas.openxmlformats.org/officeDocument/2006/relationships/hyperlink" Target="https://doi.org/10.1145/2757667.2757680" TargetMode="External"/><Relationship Id="rId138" Type="http://schemas.openxmlformats.org/officeDocument/2006/relationships/hyperlink" Target="https://doi.org/10.1145/274644.274667" TargetMode="External"/><Relationship Id="rId259" Type="http://schemas.openxmlformats.org/officeDocument/2006/relationships/hyperlink" Target="https://doi.org/10.1145/3744169.3744194" TargetMode="External"/><Relationship Id="rId137" Type="http://schemas.openxmlformats.org/officeDocument/2006/relationships/hyperlink" Target="https://doi.org/10.1145/2742488" TargetMode="External"/><Relationship Id="rId258" Type="http://schemas.openxmlformats.org/officeDocument/2006/relationships/hyperlink" Target="https://doi.org/10.1145/3742413.3789223" TargetMode="External"/><Relationship Id="rId379" Type="http://schemas.openxmlformats.org/officeDocument/2006/relationships/hyperlink" Target="https://doi.org/10.1145/67544.66934" TargetMode="External"/><Relationship Id="rId132" Type="http://schemas.openxmlformats.org/officeDocument/2006/relationships/hyperlink" Target="https://doi.org/10.1145/2666216.2666222" TargetMode="External"/><Relationship Id="rId253" Type="http://schemas.openxmlformats.org/officeDocument/2006/relationships/hyperlink" Target="https://doi.org/10.1145/3742413.3789120" TargetMode="External"/><Relationship Id="rId374" Type="http://schemas.openxmlformats.org/officeDocument/2006/relationships/hyperlink" Target="https://doi.org/10.1145/381807.381810" TargetMode="External"/><Relationship Id="rId131" Type="http://schemas.openxmlformats.org/officeDocument/2006/relationships/hyperlink" Target="https://doi.org/10.1145/266399.266405" TargetMode="External"/><Relationship Id="rId252" Type="http://schemas.openxmlformats.org/officeDocument/2006/relationships/hyperlink" Target="https://doi.org/10.1145/3742413.3789111" TargetMode="External"/><Relationship Id="rId373" Type="http://schemas.openxmlformats.org/officeDocument/2006/relationships/hyperlink" Target="https://doi.org/10.1145/3815195" TargetMode="External"/><Relationship Id="rId130" Type="http://schemas.openxmlformats.org/officeDocument/2006/relationships/hyperlink" Target="https://doi.org/10.1145/2656204" TargetMode="External"/><Relationship Id="rId251" Type="http://schemas.openxmlformats.org/officeDocument/2006/relationships/hyperlink" Target="https://doi.org/10.1145/3736731.3786118" TargetMode="External"/><Relationship Id="rId372" Type="http://schemas.openxmlformats.org/officeDocument/2006/relationships/hyperlink" Target="https://doi.org/10.1145/3810945" TargetMode="External"/><Relationship Id="rId250" Type="http://schemas.openxmlformats.org/officeDocument/2006/relationships/hyperlink" Target="https://doi.org/10.1145/3736731.3746137" TargetMode="External"/><Relationship Id="rId371" Type="http://schemas.openxmlformats.org/officeDocument/2006/relationships/hyperlink" Target="https://doi.org/10.1145/3802598" TargetMode="External"/><Relationship Id="rId136" Type="http://schemas.openxmlformats.org/officeDocument/2006/relationships/hyperlink" Target="https://doi.org/10.1145/2741948.2741956" TargetMode="External"/><Relationship Id="rId257" Type="http://schemas.openxmlformats.org/officeDocument/2006/relationships/hyperlink" Target="https://doi.org/10.1145/3742413.3789218" TargetMode="External"/><Relationship Id="rId378" Type="http://schemas.openxmlformats.org/officeDocument/2006/relationships/hyperlink" Target="https://doi.org/10.1145/6617.6618" TargetMode="External"/><Relationship Id="rId135" Type="http://schemas.openxmlformats.org/officeDocument/2006/relationships/hyperlink" Target="https://doi.org/10.1145/2723372.2742798" TargetMode="External"/><Relationship Id="rId256" Type="http://schemas.openxmlformats.org/officeDocument/2006/relationships/hyperlink" Target="https://doi.org/10.1145/3742413.3789147" TargetMode="External"/><Relationship Id="rId377" Type="http://schemas.openxmlformats.org/officeDocument/2006/relationships/hyperlink" Target="https://doi.org/10.1145/63047.63088" TargetMode="External"/><Relationship Id="rId134" Type="http://schemas.openxmlformats.org/officeDocument/2006/relationships/hyperlink" Target="https://doi.org/10.1145/2700312" TargetMode="External"/><Relationship Id="rId255" Type="http://schemas.openxmlformats.org/officeDocument/2006/relationships/hyperlink" Target="https://doi.org/10.1145/3742413.3789136" TargetMode="External"/><Relationship Id="rId376" Type="http://schemas.openxmlformats.org/officeDocument/2006/relationships/hyperlink" Target="https://doi.org/10.1145/581710.581733" TargetMode="External"/><Relationship Id="rId133" Type="http://schemas.openxmlformats.org/officeDocument/2006/relationships/hyperlink" Target="https://doi.org/10.1145/2668260.2668291" TargetMode="External"/><Relationship Id="rId254" Type="http://schemas.openxmlformats.org/officeDocument/2006/relationships/hyperlink" Target="https://doi.org/10.1145/3742413.3789123" TargetMode="External"/><Relationship Id="rId375" Type="http://schemas.openxmlformats.org/officeDocument/2006/relationships/hyperlink" Target="https://doi.org/10.1145/514236.514248" TargetMode="External"/><Relationship Id="rId172" Type="http://schemas.openxmlformats.org/officeDocument/2006/relationships/hyperlink" Target="https://doi.org/10.1145/3330393.3330402" TargetMode="External"/><Relationship Id="rId293" Type="http://schemas.openxmlformats.org/officeDocument/2006/relationships/hyperlink" Target="https://doi.org/10.1145/3772318.3790385" TargetMode="External"/><Relationship Id="rId171" Type="http://schemas.openxmlformats.org/officeDocument/2006/relationships/hyperlink" Target="https://doi.org/10.1145/332040.332406" TargetMode="External"/><Relationship Id="rId292" Type="http://schemas.openxmlformats.org/officeDocument/2006/relationships/hyperlink" Target="https://doi.org/10.1145/3772318.3790358" TargetMode="External"/><Relationship Id="rId170" Type="http://schemas.openxmlformats.org/officeDocument/2006/relationships/hyperlink" Target="https://doi.org/10.1145/3313831.3376612" TargetMode="External"/><Relationship Id="rId291" Type="http://schemas.openxmlformats.org/officeDocument/2006/relationships/hyperlink" Target="https://doi.org/10.1145/3772318.3790340" TargetMode="External"/><Relationship Id="rId290" Type="http://schemas.openxmlformats.org/officeDocument/2006/relationships/hyperlink" Target="https://doi.org/10.1145/3772318.3790332" TargetMode="External"/><Relationship Id="rId165" Type="http://schemas.openxmlformats.org/officeDocument/2006/relationships/hyperlink" Target="https://doi.org/10.1145/3273982.3273989" TargetMode="External"/><Relationship Id="rId286" Type="http://schemas.openxmlformats.org/officeDocument/2006/relationships/hyperlink" Target="https://doi.org/10.1145/3772318.3790271" TargetMode="External"/><Relationship Id="rId164" Type="http://schemas.openxmlformats.org/officeDocument/2006/relationships/hyperlink" Target="https://doi.org/10.1145/3267809.3267847" TargetMode="External"/><Relationship Id="rId285" Type="http://schemas.openxmlformats.org/officeDocument/2006/relationships/hyperlink" Target="https://doi.org/10.1145/3770749" TargetMode="External"/><Relationship Id="rId163" Type="http://schemas.openxmlformats.org/officeDocument/2006/relationships/hyperlink" Target="https://doi.org/10.1145/3241038" TargetMode="External"/><Relationship Id="rId284" Type="http://schemas.openxmlformats.org/officeDocument/2006/relationships/hyperlink" Target="https://doi.org/10.1145/3769689" TargetMode="External"/><Relationship Id="rId162" Type="http://schemas.openxmlformats.org/officeDocument/2006/relationships/hyperlink" Target="https://doi.org/10.1145/3232162" TargetMode="External"/><Relationship Id="rId283" Type="http://schemas.openxmlformats.org/officeDocument/2006/relationships/hyperlink" Target="https://doi.org/10.1145/3769686" TargetMode="External"/><Relationship Id="rId169" Type="http://schemas.openxmlformats.org/officeDocument/2006/relationships/hyperlink" Target="https://doi.org/10.1145/3308558.3313400" TargetMode="External"/><Relationship Id="rId168" Type="http://schemas.openxmlformats.org/officeDocument/2006/relationships/hyperlink" Target="https://doi.org/10.1145/3297858.3304022" TargetMode="External"/><Relationship Id="rId289" Type="http://schemas.openxmlformats.org/officeDocument/2006/relationships/hyperlink" Target="https://doi.org/10.1145/3772318.3790303" TargetMode="External"/><Relationship Id="rId167" Type="http://schemas.openxmlformats.org/officeDocument/2006/relationships/hyperlink" Target="https://doi.org/10.1145/3290607.3312915" TargetMode="External"/><Relationship Id="rId288" Type="http://schemas.openxmlformats.org/officeDocument/2006/relationships/hyperlink" Target="https://doi.org/10.1145/3772318.3790292" TargetMode="External"/><Relationship Id="rId166" Type="http://schemas.openxmlformats.org/officeDocument/2006/relationships/hyperlink" Target="https://doi.org/10.1145/3289604" TargetMode="External"/><Relationship Id="rId287" Type="http://schemas.openxmlformats.org/officeDocument/2006/relationships/hyperlink" Target="https://doi.org/10.1145/3772318.3790279" TargetMode="External"/><Relationship Id="rId161" Type="http://schemas.openxmlformats.org/officeDocument/2006/relationships/hyperlink" Target="https://doi.org/10.1145/3126594.3126640" TargetMode="External"/><Relationship Id="rId282" Type="http://schemas.openxmlformats.org/officeDocument/2006/relationships/hyperlink" Target="https://doi.org/10.1145/3769126.3769241" TargetMode="External"/><Relationship Id="rId160" Type="http://schemas.openxmlformats.org/officeDocument/2006/relationships/hyperlink" Target="https://doi.org/10.1145/309831.309929" TargetMode="External"/><Relationship Id="rId281" Type="http://schemas.openxmlformats.org/officeDocument/2006/relationships/hyperlink" Target="https://doi.org/10.1145/3768165" TargetMode="External"/><Relationship Id="rId280" Type="http://schemas.openxmlformats.org/officeDocument/2006/relationships/hyperlink" Target="https://doi.org/10.1145/3767695.3769511" TargetMode="External"/><Relationship Id="rId159" Type="http://schemas.openxmlformats.org/officeDocument/2006/relationships/hyperlink" Target="https://doi.org/10.1145/3085574" TargetMode="External"/><Relationship Id="rId154" Type="http://schemas.openxmlformats.org/officeDocument/2006/relationships/hyperlink" Target="https://doi.org/10.1145/3007210" TargetMode="External"/><Relationship Id="rId275" Type="http://schemas.openxmlformats.org/officeDocument/2006/relationships/hyperlink" Target="https://doi.org/10.1145/3758871.3758905" TargetMode="External"/><Relationship Id="rId396" Type="http://schemas.openxmlformats.org/officeDocument/2006/relationships/hyperlink" Target="https://ieeexplore.ieee.org/stamp/stamp.jsp?arnumber=11270034" TargetMode="External"/><Relationship Id="rId153" Type="http://schemas.openxmlformats.org/officeDocument/2006/relationships/hyperlink" Target="https://doi.org/10.1145/2987550.2987579" TargetMode="External"/><Relationship Id="rId274" Type="http://schemas.openxmlformats.org/officeDocument/2006/relationships/hyperlink" Target="https://doi.org/10.1145/3757886" TargetMode="External"/><Relationship Id="rId395" Type="http://schemas.openxmlformats.org/officeDocument/2006/relationships/hyperlink" Target="https://doi.org/10.3115/991886.991970" TargetMode="External"/><Relationship Id="rId152" Type="http://schemas.openxmlformats.org/officeDocument/2006/relationships/hyperlink" Target="https://doi.org/10.1145/2983927" TargetMode="External"/><Relationship Id="rId273" Type="http://schemas.openxmlformats.org/officeDocument/2006/relationships/hyperlink" Target="https://doi.org/10.1145/3757659" TargetMode="External"/><Relationship Id="rId394" Type="http://schemas.openxmlformats.org/officeDocument/2006/relationships/hyperlink" Target="https://doi.org/10.3115/991886.991938" TargetMode="External"/><Relationship Id="rId151" Type="http://schemas.openxmlformats.org/officeDocument/2006/relationships/hyperlink" Target="https://doi.org/10.1145/2964284.2984067" TargetMode="External"/><Relationship Id="rId272" Type="http://schemas.openxmlformats.org/officeDocument/2006/relationships/hyperlink" Target="https://doi.org/10.1145/3757619" TargetMode="External"/><Relationship Id="rId393" Type="http://schemas.openxmlformats.org/officeDocument/2006/relationships/hyperlink" Target="https://doi.org/10.3115/990820.990864" TargetMode="External"/><Relationship Id="rId158" Type="http://schemas.openxmlformats.org/officeDocument/2006/relationships/hyperlink" Target="https://doi.org/10.1145/3078468.3078471" TargetMode="External"/><Relationship Id="rId279" Type="http://schemas.openxmlformats.org/officeDocument/2006/relationships/hyperlink" Target="https://doi.org/10.1145/3767154" TargetMode="External"/><Relationship Id="rId157" Type="http://schemas.openxmlformats.org/officeDocument/2006/relationships/hyperlink" Target="https://doi.org/10.1145/3056662.3056667" TargetMode="External"/><Relationship Id="rId278" Type="http://schemas.openxmlformats.org/officeDocument/2006/relationships/hyperlink" Target="https://doi.org/10.1145/3765766.3765852" TargetMode="External"/><Relationship Id="rId399" Type="http://schemas.openxmlformats.org/officeDocument/2006/relationships/drawing" Target="../drawings/drawing4.xml"/><Relationship Id="rId156" Type="http://schemas.openxmlformats.org/officeDocument/2006/relationships/hyperlink" Target="https://doi.org/10.1145/3041960" TargetMode="External"/><Relationship Id="rId277" Type="http://schemas.openxmlformats.org/officeDocument/2006/relationships/hyperlink" Target="https://doi.org/10.1145/3764687.3764716" TargetMode="External"/><Relationship Id="rId398" Type="http://schemas.openxmlformats.org/officeDocument/2006/relationships/hyperlink" Target="https://ieeexplore.ieee.org/xpl/ebooks/bookPdfWithBanner.jsp?fileName=8646901.pdf&amp;bkn=8646803&amp;pdfType=chapter" TargetMode="External"/><Relationship Id="rId155" Type="http://schemas.openxmlformats.org/officeDocument/2006/relationships/hyperlink" Target="https://doi.org/10.1145/3033273" TargetMode="External"/><Relationship Id="rId276" Type="http://schemas.openxmlformats.org/officeDocument/2006/relationships/hyperlink" Target="https://doi.org/10.1145/3762989" TargetMode="External"/><Relationship Id="rId397" Type="http://schemas.openxmlformats.org/officeDocument/2006/relationships/hyperlink" Target="https://ieeexplore.ieee.org/stamp/stamp.jsp?arnumber=6921105" TargetMode="External"/><Relationship Id="rId40" Type="http://schemas.openxmlformats.org/officeDocument/2006/relationships/hyperlink" Target="https://ieeexplore.ieee.org/stamp/stamp.jsp?arnumber=10820709" TargetMode="External"/><Relationship Id="rId42" Type="http://schemas.openxmlformats.org/officeDocument/2006/relationships/hyperlink" Target="https://ieeexplore.ieee.org/stamp/stamp.jsp?arnumber=5427110" TargetMode="External"/><Relationship Id="rId41" Type="http://schemas.openxmlformats.org/officeDocument/2006/relationships/hyperlink" Target="https://ieeexplore.ieee.org/stamp/stamp.jsp?arnumber=11531012" TargetMode="External"/><Relationship Id="rId44" Type="http://schemas.openxmlformats.org/officeDocument/2006/relationships/hyperlink" Target="https://ieeexplore.ieee.org/stamp/stamp.jsp?arnumber=11029593" TargetMode="External"/><Relationship Id="rId43" Type="http://schemas.openxmlformats.org/officeDocument/2006/relationships/hyperlink" Target="https://doi.org/10.1109/TNET.2017.2669215" TargetMode="External"/><Relationship Id="rId46" Type="http://schemas.openxmlformats.org/officeDocument/2006/relationships/hyperlink" Target="https://doi.org/10.1145/1037911.1037917" TargetMode="External"/><Relationship Id="rId45" Type="http://schemas.openxmlformats.org/officeDocument/2006/relationships/hyperlink" Target="https://ieeexplore.ieee.org/stamp/stamp.jsp?arnumber=11189226" TargetMode="External"/><Relationship Id="rId48" Type="http://schemas.openxmlformats.org/officeDocument/2006/relationships/hyperlink" Target="https://doi.org/10.1145/1088222.1088226" TargetMode="External"/><Relationship Id="rId47" Type="http://schemas.openxmlformats.org/officeDocument/2006/relationships/hyperlink" Target="https://doi.org/10.1145/1045264.1045265" TargetMode="External"/><Relationship Id="rId49" Type="http://schemas.openxmlformats.org/officeDocument/2006/relationships/hyperlink" Target="https://doi.org/10.1145/1120212.1120419" TargetMode="External"/><Relationship Id="rId31" Type="http://schemas.openxmlformats.org/officeDocument/2006/relationships/hyperlink" Target="https://ieeexplore.ieee.org/stamp/stamp.jsp?arnumber=4299963" TargetMode="External"/><Relationship Id="rId30" Type="http://schemas.openxmlformats.org/officeDocument/2006/relationships/hyperlink" Target="https://ieeexplore.ieee.org/stamp/stamp.jsp?arnumber=11521627" TargetMode="External"/><Relationship Id="rId33" Type="http://schemas.openxmlformats.org/officeDocument/2006/relationships/hyperlink" Target="https://doi.org/10.1109/ISCA.2016.15" TargetMode="External"/><Relationship Id="rId32" Type="http://schemas.openxmlformats.org/officeDocument/2006/relationships/hyperlink" Target="https://ieeexplore.ieee.org/stamp/stamp.jsp?arnumber=1431446" TargetMode="External"/><Relationship Id="rId35" Type="http://schemas.openxmlformats.org/officeDocument/2006/relationships/hyperlink" Target="https://ieeexplore.ieee.org/stamp/stamp.jsp?arnumber=4580542" TargetMode="External"/><Relationship Id="rId34" Type="http://schemas.openxmlformats.org/officeDocument/2006/relationships/hyperlink" Target="https://ieeexplore.ieee.org/stamp/stamp.jsp?arnumber=11269633" TargetMode="External"/><Relationship Id="rId37" Type="http://schemas.openxmlformats.org/officeDocument/2006/relationships/hyperlink" Target="https://ieeexplore.ieee.org/stamp/stamp.jsp?arnumber=11037824" TargetMode="External"/><Relationship Id="rId36" Type="http://schemas.openxmlformats.org/officeDocument/2006/relationships/hyperlink" Target="https://ieeexplore.ieee.org/stamp/stamp.jsp?arnumber=11345775" TargetMode="External"/><Relationship Id="rId39" Type="http://schemas.openxmlformats.org/officeDocument/2006/relationships/hyperlink" Target="https://doi.org/10.1109/SCW63240.2024.00017" TargetMode="External"/><Relationship Id="rId38" Type="http://schemas.openxmlformats.org/officeDocument/2006/relationships/hyperlink" Target="https://ieeexplore.ieee.org/stamp/stamp.jsp?arnumber=11424465" TargetMode="External"/><Relationship Id="rId20" Type="http://schemas.openxmlformats.org/officeDocument/2006/relationships/hyperlink" Target="https://doi.org/10.1109/CCGRID.2017.49" TargetMode="External"/><Relationship Id="rId22" Type="http://schemas.openxmlformats.org/officeDocument/2006/relationships/hyperlink" Target="https://ieeexplore.ieee.org/stamp/stamp.jsp?arnumber=11519295" TargetMode="External"/><Relationship Id="rId21" Type="http://schemas.openxmlformats.org/officeDocument/2006/relationships/hyperlink" Target="https://ieeexplore.ieee.org/stamp/stamp.jsp?arnumber=1554950" TargetMode="External"/><Relationship Id="rId24" Type="http://schemas.openxmlformats.org/officeDocument/2006/relationships/hyperlink" Target="https://ieeexplore.ieee.org/stamp/stamp.jsp?arnumber=10590666" TargetMode="External"/><Relationship Id="rId23" Type="http://schemas.openxmlformats.org/officeDocument/2006/relationships/hyperlink" Target="https://ieeexplore.ieee.org/stamp/stamp.jsp?arnumber=10585495" TargetMode="External"/><Relationship Id="rId26" Type="http://schemas.openxmlformats.org/officeDocument/2006/relationships/hyperlink" Target="https://ieeexplore.ieee.org/stamp/stamp.jsp?arnumber=11460702" TargetMode="External"/><Relationship Id="rId25" Type="http://schemas.openxmlformats.org/officeDocument/2006/relationships/hyperlink" Target="https://ieeexplore.ieee.org/stamp/stamp.jsp?arnumber=11508939" TargetMode="External"/><Relationship Id="rId28" Type="http://schemas.openxmlformats.org/officeDocument/2006/relationships/hyperlink" Target="https://ieeexplore.ieee.org/stamp/stamp.jsp?arnumber=5409737" TargetMode="External"/><Relationship Id="rId27" Type="http://schemas.openxmlformats.org/officeDocument/2006/relationships/hyperlink" Target="https://ieeexplore.ieee.org/stamp/stamp.jsp?arnumber=11462217" TargetMode="External"/><Relationship Id="rId400" Type="http://schemas.openxmlformats.org/officeDocument/2006/relationships/vmlDrawing" Target="../drawings/vmlDrawing2.vml"/><Relationship Id="rId29" Type="http://schemas.openxmlformats.org/officeDocument/2006/relationships/hyperlink" Target="https://ieeexplore.ieee.org/stamp/stamp.jsp?arnumber=6056911" TargetMode="External"/><Relationship Id="rId11" Type="http://schemas.openxmlformats.org/officeDocument/2006/relationships/hyperlink" Target="https://ieeexplore.ieee.org/stamp/stamp.jsp?arnumber=11449950" TargetMode="External"/><Relationship Id="rId10" Type="http://schemas.openxmlformats.org/officeDocument/2006/relationships/hyperlink" Target="https://ieeexplore.ieee.org/stamp/stamp.jsp?arnumber=10771051" TargetMode="External"/><Relationship Id="rId13" Type="http://schemas.openxmlformats.org/officeDocument/2006/relationships/hyperlink" Target="https://doi.org/10.1109/ASONAM49781.2020.9381292" TargetMode="External"/><Relationship Id="rId12" Type="http://schemas.openxmlformats.org/officeDocument/2006/relationships/hyperlink" Target="https://ieeexplore.ieee.org/stamp/stamp.jsp?arnumber=11334577" TargetMode="External"/><Relationship Id="rId15" Type="http://schemas.openxmlformats.org/officeDocument/2006/relationships/hyperlink" Target="https://ieeexplore.ieee.org/stamp/stamp.jsp?arnumber=10825538" TargetMode="External"/><Relationship Id="rId14" Type="http://schemas.openxmlformats.org/officeDocument/2006/relationships/hyperlink" Target="https://ieeexplore.ieee.org/stamp/stamp.jsp?arnumber=9381292" TargetMode="External"/><Relationship Id="rId17" Type="http://schemas.openxmlformats.org/officeDocument/2006/relationships/hyperlink" Target="https://doi.org/10.1109/CCGrid.2012.84" TargetMode="External"/><Relationship Id="rId16" Type="http://schemas.openxmlformats.org/officeDocument/2006/relationships/hyperlink" Target="https://ieeexplore.ieee.org/stamp/stamp.jsp?arnumber=11400739" TargetMode="External"/><Relationship Id="rId19" Type="http://schemas.openxmlformats.org/officeDocument/2006/relationships/hyperlink" Target="https://doi.org/10.1109/CCGrid.2015.150" TargetMode="External"/><Relationship Id="rId18" Type="http://schemas.openxmlformats.org/officeDocument/2006/relationships/hyperlink" Target="https://doi.org/10.1109/CCGrid.2015.115" TargetMode="External"/><Relationship Id="rId84" Type="http://schemas.openxmlformats.org/officeDocument/2006/relationships/hyperlink" Target="https://doi.org/10.1145/1944862.1944886" TargetMode="External"/><Relationship Id="rId83" Type="http://schemas.openxmlformats.org/officeDocument/2006/relationships/hyperlink" Target="https://doi.org/10.1145/1899928.1899942" TargetMode="External"/><Relationship Id="rId86" Type="http://schemas.openxmlformats.org/officeDocument/2006/relationships/hyperlink" Target="https://doi.org/10.1145/1965724.1965746" TargetMode="External"/><Relationship Id="rId85" Type="http://schemas.openxmlformats.org/officeDocument/2006/relationships/hyperlink" Target="https://doi.org/10.1145/1945023.1945029" TargetMode="External"/><Relationship Id="rId88" Type="http://schemas.openxmlformats.org/officeDocument/2006/relationships/hyperlink" Target="https://doi.org/10.1145/196734.196738" TargetMode="External"/><Relationship Id="rId87" Type="http://schemas.openxmlformats.org/officeDocument/2006/relationships/hyperlink" Target="https://doi.org/10.1145/1965724.1965747" TargetMode="External"/><Relationship Id="rId89" Type="http://schemas.openxmlformats.org/officeDocument/2006/relationships/hyperlink" Target="https://doi.org/10.1145/1978942.1979209" TargetMode="External"/><Relationship Id="rId80" Type="http://schemas.openxmlformats.org/officeDocument/2006/relationships/hyperlink" Target="https://doi.org/10.1145/1839676.1839692" TargetMode="External"/><Relationship Id="rId82" Type="http://schemas.openxmlformats.org/officeDocument/2006/relationships/hyperlink" Target="https://doi.org/10.1145/1866296.1866298" TargetMode="External"/><Relationship Id="rId81" Type="http://schemas.openxmlformats.org/officeDocument/2006/relationships/hyperlink" Target="https://doi.org/10.1145/1866029.1866078" TargetMode="External"/><Relationship Id="rId73" Type="http://schemas.openxmlformats.org/officeDocument/2006/relationships/hyperlink" Target="https://doi.org/10.1145/1807128.1807164" TargetMode="External"/><Relationship Id="rId72" Type="http://schemas.openxmlformats.org/officeDocument/2006/relationships/hyperlink" Target="https://doi.org/10.1145/1807060.1807061" TargetMode="External"/><Relationship Id="rId75" Type="http://schemas.openxmlformats.org/officeDocument/2006/relationships/hyperlink" Target="https://doi.org/10.1145/1807167.1807324" TargetMode="External"/><Relationship Id="rId74" Type="http://schemas.openxmlformats.org/officeDocument/2006/relationships/hyperlink" Target="https://doi.org/10.1145/1807167.1807194" TargetMode="External"/><Relationship Id="rId77" Type="http://schemas.openxmlformats.org/officeDocument/2006/relationships/hyperlink" Target="https://doi.org/10.1145/1815961.1816002" TargetMode="External"/><Relationship Id="rId76" Type="http://schemas.openxmlformats.org/officeDocument/2006/relationships/hyperlink" Target="https://doi.org/10.1145/1809980.1810034" TargetMode="External"/><Relationship Id="rId79" Type="http://schemas.openxmlformats.org/officeDocument/2006/relationships/hyperlink" Target="https://doi.org/10.1145/1837915.1837918" TargetMode="External"/><Relationship Id="rId78" Type="http://schemas.openxmlformats.org/officeDocument/2006/relationships/hyperlink" Target="https://doi.org/10.1145/1823838.1823840" TargetMode="External"/><Relationship Id="rId71" Type="http://schemas.openxmlformats.org/officeDocument/2006/relationships/hyperlink" Target="https://doi.org/10.1145/1791314.1791347" TargetMode="External"/><Relationship Id="rId70" Type="http://schemas.openxmlformats.org/officeDocument/2006/relationships/hyperlink" Target="https://doi.org/10.1145/1755913.1755916" TargetMode="External"/><Relationship Id="rId62" Type="http://schemas.openxmlformats.org/officeDocument/2006/relationships/hyperlink" Target="https://doi.org/10.1145/1596685.1596827" TargetMode="External"/><Relationship Id="rId61" Type="http://schemas.openxmlformats.org/officeDocument/2006/relationships/hyperlink" Target="https://doi.org/10.1145/1518701.1519021" TargetMode="External"/><Relationship Id="rId64" Type="http://schemas.openxmlformats.org/officeDocument/2006/relationships/hyperlink" Target="https://doi.org/10.1145/1629575.1629577" TargetMode="External"/><Relationship Id="rId63" Type="http://schemas.openxmlformats.org/officeDocument/2006/relationships/hyperlink" Target="https://doi.org/10.1145/1621890.1621914" TargetMode="External"/><Relationship Id="rId66" Type="http://schemas.openxmlformats.org/officeDocument/2006/relationships/hyperlink" Target="https://doi.org/10.1145/1740390.1740407" TargetMode="External"/><Relationship Id="rId65" Type="http://schemas.openxmlformats.org/officeDocument/2006/relationships/hyperlink" Target="https://doi.org/10.1145/1640089.1640127" TargetMode="External"/><Relationship Id="rId68" Type="http://schemas.openxmlformats.org/officeDocument/2006/relationships/hyperlink" Target="https://doi.org/10.1145/174690.174697" TargetMode="External"/><Relationship Id="rId67" Type="http://schemas.openxmlformats.org/officeDocument/2006/relationships/hyperlink" Target="https://doi.org/10.1145/1740390.1740408" TargetMode="External"/><Relationship Id="rId60" Type="http://schemas.openxmlformats.org/officeDocument/2006/relationships/hyperlink" Target="https://doi.org/10.1145/1500175.1500178" TargetMode="External"/><Relationship Id="rId69" Type="http://schemas.openxmlformats.org/officeDocument/2006/relationships/hyperlink" Target="https://doi.org/10.1145/175208.175220" TargetMode="External"/><Relationship Id="rId51" Type="http://schemas.openxmlformats.org/officeDocument/2006/relationships/hyperlink" Target="https://doi.org/10.1145/1216295.1216357" TargetMode="External"/><Relationship Id="rId50" Type="http://schemas.openxmlformats.org/officeDocument/2006/relationships/hyperlink" Target="https://doi.org/10.1145/1141880.1523452" TargetMode="External"/><Relationship Id="rId53" Type="http://schemas.openxmlformats.org/officeDocument/2006/relationships/hyperlink" Target="https://doi.org/10.1145/122153.122160" TargetMode="External"/><Relationship Id="rId52" Type="http://schemas.openxmlformats.org/officeDocument/2006/relationships/hyperlink" Target="https://doi.org/10.1145/122153.122159" TargetMode="External"/><Relationship Id="rId55" Type="http://schemas.openxmlformats.org/officeDocument/2006/relationships/hyperlink" Target="https://doi.org/10.1145/1276958.1277335" TargetMode="External"/><Relationship Id="rId54" Type="http://schemas.openxmlformats.org/officeDocument/2006/relationships/hyperlink" Target="https://doi.org/10.1145/1274000.1274062" TargetMode="External"/><Relationship Id="rId57" Type="http://schemas.openxmlformats.org/officeDocument/2006/relationships/hyperlink" Target="https://doi.org/10.1145/1409360.1409363" TargetMode="External"/><Relationship Id="rId56" Type="http://schemas.openxmlformats.org/officeDocument/2006/relationships/hyperlink" Target="https://doi.org/10.1145/1394669.1394689" TargetMode="External"/><Relationship Id="rId59" Type="http://schemas.openxmlformats.org/officeDocument/2006/relationships/hyperlink" Target="https://doi.org/10.1145/1477862.1477879" TargetMode="External"/><Relationship Id="rId58" Type="http://schemas.openxmlformats.org/officeDocument/2006/relationships/hyperlink" Target="https://doi.org/10.1145/1450579.1450652" TargetMode="External"/><Relationship Id="rId107" Type="http://schemas.openxmlformats.org/officeDocument/2006/relationships/hyperlink" Target="https://doi.org/10.1145/221270.221624" TargetMode="External"/><Relationship Id="rId228" Type="http://schemas.openxmlformats.org/officeDocument/2006/relationships/hyperlink" Target="https://doi.org/10.1145/3708359.3712104" TargetMode="External"/><Relationship Id="rId349" Type="http://schemas.openxmlformats.org/officeDocument/2006/relationships/hyperlink" Target="https://doi.org/10.1145/3772363.3798923" TargetMode="External"/><Relationship Id="rId106" Type="http://schemas.openxmlformats.org/officeDocument/2006/relationships/hyperlink" Target="https://doi.org/10.1145/2188286.2188316" TargetMode="External"/><Relationship Id="rId227" Type="http://schemas.openxmlformats.org/officeDocument/2006/relationships/hyperlink" Target="https://doi.org/10.1145/3706599.3719976" TargetMode="External"/><Relationship Id="rId348" Type="http://schemas.openxmlformats.org/officeDocument/2006/relationships/hyperlink" Target="https://doi.org/10.1145/3772363.3798919" TargetMode="External"/><Relationship Id="rId105" Type="http://schemas.openxmlformats.org/officeDocument/2006/relationships/hyperlink" Target="https://doi.org/10.1145/2155620.2155651" TargetMode="External"/><Relationship Id="rId226" Type="http://schemas.openxmlformats.org/officeDocument/2006/relationships/hyperlink" Target="https://doi.org/10.1145/3706598.3713675" TargetMode="External"/><Relationship Id="rId347" Type="http://schemas.openxmlformats.org/officeDocument/2006/relationships/hyperlink" Target="https://doi.org/10.1145/3772363.3798812" TargetMode="External"/><Relationship Id="rId104" Type="http://schemas.openxmlformats.org/officeDocument/2006/relationships/hyperlink" Target="https://doi.org/10.1145/2146382.2146391" TargetMode="External"/><Relationship Id="rId225" Type="http://schemas.openxmlformats.org/officeDocument/2006/relationships/hyperlink" Target="https://doi.org/10.1145/3706598.3713408" TargetMode="External"/><Relationship Id="rId346" Type="http://schemas.openxmlformats.org/officeDocument/2006/relationships/hyperlink" Target="https://doi.org/10.1145/3772363.3798705" TargetMode="External"/><Relationship Id="rId109" Type="http://schemas.openxmlformats.org/officeDocument/2006/relationships/hyperlink" Target="https://doi.org/10.1145/2254756.2254766" TargetMode="External"/><Relationship Id="rId108" Type="http://schemas.openxmlformats.org/officeDocument/2006/relationships/hyperlink" Target="https://doi.org/10.1145/2212908.2212915" TargetMode="External"/><Relationship Id="rId229" Type="http://schemas.openxmlformats.org/officeDocument/2006/relationships/hyperlink" Target="https://doi.org/10.1145/3708359.3712145" TargetMode="External"/><Relationship Id="rId220" Type="http://schemas.openxmlformats.org/officeDocument/2006/relationships/hyperlink" Target="https://doi.org/10.1145/3703454" TargetMode="External"/><Relationship Id="rId341" Type="http://schemas.openxmlformats.org/officeDocument/2006/relationships/hyperlink" Target="https://doi.org/10.1145/3772363.3798512" TargetMode="External"/><Relationship Id="rId340" Type="http://schemas.openxmlformats.org/officeDocument/2006/relationships/hyperlink" Target="https://doi.org/10.1145/3772363.3798453" TargetMode="External"/><Relationship Id="rId103" Type="http://schemas.openxmlformats.org/officeDocument/2006/relationships/hyperlink" Target="https://doi.org/10.1145/2133382.2133388" TargetMode="External"/><Relationship Id="rId224" Type="http://schemas.openxmlformats.org/officeDocument/2006/relationships/hyperlink" Target="https://doi.org/10.1145/3706598.3713406" TargetMode="External"/><Relationship Id="rId345" Type="http://schemas.openxmlformats.org/officeDocument/2006/relationships/hyperlink" Target="https://doi.org/10.1145/3772363.3798685" TargetMode="External"/><Relationship Id="rId102" Type="http://schemas.openxmlformats.org/officeDocument/2006/relationships/hyperlink" Target="https://doi.org/10.1145/2124295.2124300" TargetMode="External"/><Relationship Id="rId223" Type="http://schemas.openxmlformats.org/officeDocument/2006/relationships/hyperlink" Target="https://doi.org/10.1145/3706598.3713220" TargetMode="External"/><Relationship Id="rId344" Type="http://schemas.openxmlformats.org/officeDocument/2006/relationships/hyperlink" Target="https://doi.org/10.1145/3772363.3798611" TargetMode="External"/><Relationship Id="rId101" Type="http://schemas.openxmlformats.org/officeDocument/2006/relationships/hyperlink" Target="https://doi.org/10.1145/2110205.2110209" TargetMode="External"/><Relationship Id="rId222" Type="http://schemas.openxmlformats.org/officeDocument/2006/relationships/hyperlink" Target="https://doi.org/10.1145/3706468.3706564" TargetMode="External"/><Relationship Id="rId343" Type="http://schemas.openxmlformats.org/officeDocument/2006/relationships/hyperlink" Target="https://doi.org/10.1145/3772363.3798575" TargetMode="External"/><Relationship Id="rId100" Type="http://schemas.openxmlformats.org/officeDocument/2006/relationships/hyperlink" Target="https://doi.org/10.1145/2107502.2107511" TargetMode="External"/><Relationship Id="rId221" Type="http://schemas.openxmlformats.org/officeDocument/2006/relationships/hyperlink" Target="https://doi.org/10.1145/3705294" TargetMode="External"/><Relationship Id="rId342" Type="http://schemas.openxmlformats.org/officeDocument/2006/relationships/hyperlink" Target="https://doi.org/10.1145/3772363.3798562" TargetMode="External"/><Relationship Id="rId217" Type="http://schemas.openxmlformats.org/officeDocument/2006/relationships/hyperlink" Target="https://doi.org/10.1145/3700035.3700036" TargetMode="External"/><Relationship Id="rId338" Type="http://schemas.openxmlformats.org/officeDocument/2006/relationships/hyperlink" Target="https://doi.org/10.1145/3772363.3778699" TargetMode="External"/><Relationship Id="rId216" Type="http://schemas.openxmlformats.org/officeDocument/2006/relationships/hyperlink" Target="https://doi.org/10.1145/3698896.3722209" TargetMode="External"/><Relationship Id="rId337" Type="http://schemas.openxmlformats.org/officeDocument/2006/relationships/hyperlink" Target="https://doi.org/10.1145/3772318.3809104" TargetMode="External"/><Relationship Id="rId215" Type="http://schemas.openxmlformats.org/officeDocument/2006/relationships/hyperlink" Target="https://doi.org/10.1145/3676536.3698390" TargetMode="External"/><Relationship Id="rId336" Type="http://schemas.openxmlformats.org/officeDocument/2006/relationships/hyperlink" Target="https://doi.org/10.1145/3772318.3809068" TargetMode="External"/><Relationship Id="rId214" Type="http://schemas.openxmlformats.org/officeDocument/2006/relationships/hyperlink" Target="https://doi.org/10.1145/3671016.3674821" TargetMode="External"/><Relationship Id="rId335" Type="http://schemas.openxmlformats.org/officeDocument/2006/relationships/hyperlink" Target="https://doi.org/10.1145/3772318.3808894" TargetMode="External"/><Relationship Id="rId219" Type="http://schemas.openxmlformats.org/officeDocument/2006/relationships/hyperlink" Target="https://doi.org/10.1145/3703155" TargetMode="External"/><Relationship Id="rId218" Type="http://schemas.openxmlformats.org/officeDocument/2006/relationships/hyperlink" Target="https://doi.org/10.1145/3701188" TargetMode="External"/><Relationship Id="rId339" Type="http://schemas.openxmlformats.org/officeDocument/2006/relationships/hyperlink" Target="https://doi.org/10.1145/3772363.3778745" TargetMode="External"/><Relationship Id="rId330" Type="http://schemas.openxmlformats.org/officeDocument/2006/relationships/hyperlink" Target="https://doi.org/10.1145/3772318.3791845" TargetMode="External"/><Relationship Id="rId213" Type="http://schemas.openxmlformats.org/officeDocument/2006/relationships/hyperlink" Target="https://doi.org/10.1145/3663547.3746319" TargetMode="External"/><Relationship Id="rId334" Type="http://schemas.openxmlformats.org/officeDocument/2006/relationships/hyperlink" Target="https://doi.org/10.1145/3772318.3793266" TargetMode="External"/><Relationship Id="rId212" Type="http://schemas.openxmlformats.org/officeDocument/2006/relationships/hyperlink" Target="https://doi.org/10.1145/3660650.3660656" TargetMode="External"/><Relationship Id="rId333" Type="http://schemas.openxmlformats.org/officeDocument/2006/relationships/hyperlink" Target="https://doi.org/10.1145/3772318.3791915" TargetMode="External"/><Relationship Id="rId211" Type="http://schemas.openxmlformats.org/officeDocument/2006/relationships/hyperlink" Target="https://doi.org/10.1145/3658644.3691638" TargetMode="External"/><Relationship Id="rId332" Type="http://schemas.openxmlformats.org/officeDocument/2006/relationships/hyperlink" Target="https://doi.org/10.1145/3772318.3791880" TargetMode="External"/><Relationship Id="rId210" Type="http://schemas.openxmlformats.org/officeDocument/2006/relationships/hyperlink" Target="https://doi.org/10.1145/3657604.3662042" TargetMode="External"/><Relationship Id="rId331" Type="http://schemas.openxmlformats.org/officeDocument/2006/relationships/hyperlink" Target="https://doi.org/10.1145/3772318.3791851" TargetMode="External"/><Relationship Id="rId370" Type="http://schemas.openxmlformats.org/officeDocument/2006/relationships/hyperlink" Target="https://doi.org/10.1145/3800687" TargetMode="External"/><Relationship Id="rId129" Type="http://schemas.openxmlformats.org/officeDocument/2006/relationships/hyperlink" Target="https://doi.org/10.1145/2631187" TargetMode="External"/><Relationship Id="rId128" Type="http://schemas.openxmlformats.org/officeDocument/2006/relationships/hyperlink" Target="https://doi.org/10.1145/262116.262142" TargetMode="External"/><Relationship Id="rId249" Type="http://schemas.openxmlformats.org/officeDocument/2006/relationships/hyperlink" Target="https://doi.org/10.1145/3736425.3770093" TargetMode="External"/><Relationship Id="rId127" Type="http://schemas.openxmlformats.org/officeDocument/2006/relationships/hyperlink" Target="https://doi.org/10.1145/2559206.2581287" TargetMode="External"/><Relationship Id="rId248" Type="http://schemas.openxmlformats.org/officeDocument/2006/relationships/hyperlink" Target="https://doi.org/10.1145/3735402" TargetMode="External"/><Relationship Id="rId369" Type="http://schemas.openxmlformats.org/officeDocument/2006/relationships/hyperlink" Target="https://doi.org/10.1145/3800683" TargetMode="External"/><Relationship Id="rId126" Type="http://schemas.openxmlformats.org/officeDocument/2006/relationships/hyperlink" Target="https://doi.org/10.1145/2541940.2541951" TargetMode="External"/><Relationship Id="rId247" Type="http://schemas.openxmlformats.org/officeDocument/2006/relationships/hyperlink" Target="https://doi.org/10.1145/3731459.3786222" TargetMode="External"/><Relationship Id="rId368" Type="http://schemas.openxmlformats.org/officeDocument/2006/relationships/hyperlink" Target="https://doi.org/10.1145/3800580" TargetMode="External"/><Relationship Id="rId121" Type="http://schemas.openxmlformats.org/officeDocument/2006/relationships/hyperlink" Target="https://doi.org/10.1145/2504847" TargetMode="External"/><Relationship Id="rId242" Type="http://schemas.openxmlformats.org/officeDocument/2006/relationships/hyperlink" Target="https://doi.org/10.1145/3719160.3736611" TargetMode="External"/><Relationship Id="rId363" Type="http://schemas.openxmlformats.org/officeDocument/2006/relationships/hyperlink" Target="https://doi.org/10.1145/3786335.3813137" TargetMode="External"/><Relationship Id="rId120" Type="http://schemas.openxmlformats.org/officeDocument/2006/relationships/hyperlink" Target="https://doi.org/10.1145/2503210.2503281" TargetMode="External"/><Relationship Id="rId241" Type="http://schemas.openxmlformats.org/officeDocument/2006/relationships/hyperlink" Target="https://doi.org/10.1145/3717511.3747073" TargetMode="External"/><Relationship Id="rId362" Type="http://schemas.openxmlformats.org/officeDocument/2006/relationships/hyperlink" Target="https://doi.org/10.1145/3786304.3787891" TargetMode="External"/><Relationship Id="rId240" Type="http://schemas.openxmlformats.org/officeDocument/2006/relationships/hyperlink" Target="https://doi.org/10.1145/3716628" TargetMode="External"/><Relationship Id="rId361" Type="http://schemas.openxmlformats.org/officeDocument/2006/relationships/hyperlink" Target="https://doi.org/10.1145/3786304.3787879" TargetMode="External"/><Relationship Id="rId360" Type="http://schemas.openxmlformats.org/officeDocument/2006/relationships/hyperlink" Target="https://doi.org/10.1145/3786304.3787865" TargetMode="External"/><Relationship Id="rId125" Type="http://schemas.openxmlformats.org/officeDocument/2006/relationships/hyperlink" Target="https://doi.org/10.1145/2536536.2536628" TargetMode="External"/><Relationship Id="rId246" Type="http://schemas.openxmlformats.org/officeDocument/2006/relationships/hyperlink" Target="https://doi.org/10.1145/3727200.3727226" TargetMode="External"/><Relationship Id="rId367" Type="http://schemas.openxmlformats.org/officeDocument/2006/relationships/hyperlink" Target="https://doi.org/10.1145/3799914.3799919" TargetMode="External"/><Relationship Id="rId124" Type="http://schemas.openxmlformats.org/officeDocument/2006/relationships/hyperlink" Target="https://doi.org/10.1145/2523616.2523635" TargetMode="External"/><Relationship Id="rId245" Type="http://schemas.openxmlformats.org/officeDocument/2006/relationships/hyperlink" Target="https://doi.org/10.1145/3721201.3721385" TargetMode="External"/><Relationship Id="rId366" Type="http://schemas.openxmlformats.org/officeDocument/2006/relationships/hyperlink" Target="https://doi.org/10.1145/3793679" TargetMode="External"/><Relationship Id="rId123" Type="http://schemas.openxmlformats.org/officeDocument/2006/relationships/hyperlink" Target="https://doi.org/10.1145/2512348" TargetMode="External"/><Relationship Id="rId244" Type="http://schemas.openxmlformats.org/officeDocument/2006/relationships/hyperlink" Target="https://doi.org/10.1145/3720554.3735862" TargetMode="External"/><Relationship Id="rId365" Type="http://schemas.openxmlformats.org/officeDocument/2006/relationships/hyperlink" Target="https://doi.org/10.1145/3793638.3793643" TargetMode="External"/><Relationship Id="rId122" Type="http://schemas.openxmlformats.org/officeDocument/2006/relationships/hyperlink" Target="https://doi.org/10.1145/2508363.2508381" TargetMode="External"/><Relationship Id="rId243" Type="http://schemas.openxmlformats.org/officeDocument/2006/relationships/hyperlink" Target="https://doi.org/10.1145/3719160.3736618" TargetMode="External"/><Relationship Id="rId364" Type="http://schemas.openxmlformats.org/officeDocument/2006/relationships/hyperlink" Target="https://doi.org/10.1145/3788646.3789536" TargetMode="External"/><Relationship Id="rId95" Type="http://schemas.openxmlformats.org/officeDocument/2006/relationships/hyperlink" Target="https://doi.org/10.1145/2018584.2018596" TargetMode="External"/><Relationship Id="rId94" Type="http://schemas.openxmlformats.org/officeDocument/2006/relationships/hyperlink" Target="https://doi.org/10.1145/2003690.2003693" TargetMode="External"/><Relationship Id="rId97" Type="http://schemas.openxmlformats.org/officeDocument/2006/relationships/hyperlink" Target="https://doi.org/10.1145/2038916.2038939" TargetMode="External"/><Relationship Id="rId96" Type="http://schemas.openxmlformats.org/officeDocument/2006/relationships/hyperlink" Target="https://doi.org/10.1145/2038916.2038917" TargetMode="External"/><Relationship Id="rId99" Type="http://schemas.openxmlformats.org/officeDocument/2006/relationships/hyperlink" Target="https://doi.org/10.1145/2043556.2043593" TargetMode="External"/><Relationship Id="rId98" Type="http://schemas.openxmlformats.org/officeDocument/2006/relationships/hyperlink" Target="https://doi.org/10.1145/2043556.2043558" TargetMode="External"/><Relationship Id="rId91" Type="http://schemas.openxmlformats.org/officeDocument/2006/relationships/hyperlink" Target="https://doi.org/10.1145/1989323.1989461" TargetMode="External"/><Relationship Id="rId90" Type="http://schemas.openxmlformats.org/officeDocument/2006/relationships/hyperlink" Target="https://doi.org/10.1145/1989323.1989327" TargetMode="External"/><Relationship Id="rId93" Type="http://schemas.openxmlformats.org/officeDocument/2006/relationships/hyperlink" Target="https://doi.org/10.1145/199688.199776" TargetMode="External"/><Relationship Id="rId92" Type="http://schemas.openxmlformats.org/officeDocument/2006/relationships/hyperlink" Target="https://doi.org/10.1145/1995896.1995926" TargetMode="External"/><Relationship Id="rId118" Type="http://schemas.openxmlformats.org/officeDocument/2006/relationships/hyperlink" Target="https://doi.org/10.1145/2465529.2465553" TargetMode="External"/><Relationship Id="rId239" Type="http://schemas.openxmlformats.org/officeDocument/2006/relationships/hyperlink" Target="https://doi.org/10.1145/3716553.3750784" TargetMode="External"/><Relationship Id="rId117" Type="http://schemas.openxmlformats.org/officeDocument/2006/relationships/hyperlink" Target="https://doi.org/10.1145/2465351.2465361" TargetMode="External"/><Relationship Id="rId238" Type="http://schemas.openxmlformats.org/officeDocument/2006/relationships/hyperlink" Target="https://doi.org/10.1145/3715275.3732146" TargetMode="External"/><Relationship Id="rId359" Type="http://schemas.openxmlformats.org/officeDocument/2006/relationships/hyperlink" Target="https://doi.org/10.1145/3786167.3788413" TargetMode="External"/><Relationship Id="rId116" Type="http://schemas.openxmlformats.org/officeDocument/2006/relationships/hyperlink" Target="https://doi.org/10.1145/2391229.2391237" TargetMode="External"/><Relationship Id="rId237" Type="http://schemas.openxmlformats.org/officeDocument/2006/relationships/hyperlink" Target="https://doi.org/10.1145/3715275.3732094" TargetMode="External"/><Relationship Id="rId358" Type="http://schemas.openxmlformats.org/officeDocument/2006/relationships/hyperlink" Target="https://doi.org/10.1145/3779295" TargetMode="External"/><Relationship Id="rId115" Type="http://schemas.openxmlformats.org/officeDocument/2006/relationships/hyperlink" Target="https://doi.org/10.1145/238168.238181" TargetMode="External"/><Relationship Id="rId236" Type="http://schemas.openxmlformats.org/officeDocument/2006/relationships/hyperlink" Target="https://doi.org/10.1145/3715275.3732063" TargetMode="External"/><Relationship Id="rId357" Type="http://schemas.openxmlformats.org/officeDocument/2006/relationships/hyperlink" Target="https://doi.org/10.1145/3778354" TargetMode="External"/><Relationship Id="rId119" Type="http://schemas.openxmlformats.org/officeDocument/2006/relationships/hyperlink" Target="https://doi.org/10.1145/2482767.2482793" TargetMode="External"/><Relationship Id="rId110" Type="http://schemas.openxmlformats.org/officeDocument/2006/relationships/hyperlink" Target="https://doi.org/10.1145/2336727.2336738" TargetMode="External"/><Relationship Id="rId231" Type="http://schemas.openxmlformats.org/officeDocument/2006/relationships/hyperlink" Target="https://doi.org/10.1145/3714394.3756275" TargetMode="External"/><Relationship Id="rId352" Type="http://schemas.openxmlformats.org/officeDocument/2006/relationships/hyperlink" Target="https://doi.org/10.1145/3772363.3799334" TargetMode="External"/><Relationship Id="rId230" Type="http://schemas.openxmlformats.org/officeDocument/2006/relationships/hyperlink" Target="https://doi.org/10.1145/3711896.3736563" TargetMode="External"/><Relationship Id="rId351" Type="http://schemas.openxmlformats.org/officeDocument/2006/relationships/hyperlink" Target="https://doi.org/10.1145/3772363.3799156" TargetMode="External"/><Relationship Id="rId350" Type="http://schemas.openxmlformats.org/officeDocument/2006/relationships/hyperlink" Target="https://doi.org/10.1145/3772363.3798995" TargetMode="External"/><Relationship Id="rId114" Type="http://schemas.openxmlformats.org/officeDocument/2006/relationships/hyperlink" Target="https://doi.org/10.1145/2378356.2378361" TargetMode="External"/><Relationship Id="rId235" Type="http://schemas.openxmlformats.org/officeDocument/2006/relationships/hyperlink" Target="https://doi.org/10.1145/3715275.3732039" TargetMode="External"/><Relationship Id="rId356" Type="http://schemas.openxmlformats.org/officeDocument/2006/relationships/hyperlink" Target="https://doi.org/10.1145/3776734.3794532" TargetMode="External"/><Relationship Id="rId113" Type="http://schemas.openxmlformats.org/officeDocument/2006/relationships/hyperlink" Target="https://doi.org/10.1145/2377677.2377681" TargetMode="External"/><Relationship Id="rId234" Type="http://schemas.openxmlformats.org/officeDocument/2006/relationships/hyperlink" Target="https://doi.org/10.1145/3715275.3732038" TargetMode="External"/><Relationship Id="rId355" Type="http://schemas.openxmlformats.org/officeDocument/2006/relationships/hyperlink" Target="https://doi.org/10.1145/3774904.3792976" TargetMode="External"/><Relationship Id="rId112" Type="http://schemas.openxmlformats.org/officeDocument/2006/relationships/hyperlink" Target="https://doi.org/10.1145/2365946.2365951" TargetMode="External"/><Relationship Id="rId233" Type="http://schemas.openxmlformats.org/officeDocument/2006/relationships/hyperlink" Target="https://doi.org/10.1145/3715073.3715075" TargetMode="External"/><Relationship Id="rId354" Type="http://schemas.openxmlformats.org/officeDocument/2006/relationships/hyperlink" Target="https://doi.org/10.1145/3774904.3792671" TargetMode="External"/><Relationship Id="rId111" Type="http://schemas.openxmlformats.org/officeDocument/2006/relationships/hyperlink" Target="https://doi.org/10.1145/2342356.2342360" TargetMode="External"/><Relationship Id="rId232" Type="http://schemas.openxmlformats.org/officeDocument/2006/relationships/hyperlink" Target="https://doi.org/10.1145/3715070.3749272" TargetMode="External"/><Relationship Id="rId353" Type="http://schemas.openxmlformats.org/officeDocument/2006/relationships/hyperlink" Target="https://doi.org/10.1145/3774904.3792506" TargetMode="External"/><Relationship Id="rId305" Type="http://schemas.openxmlformats.org/officeDocument/2006/relationships/hyperlink" Target="https://doi.org/10.1145/3772318.3790934" TargetMode="External"/><Relationship Id="rId304" Type="http://schemas.openxmlformats.org/officeDocument/2006/relationships/hyperlink" Target="https://doi.org/10.1145/3772318.3790907" TargetMode="External"/><Relationship Id="rId303" Type="http://schemas.openxmlformats.org/officeDocument/2006/relationships/hyperlink" Target="https://doi.org/10.1145/3772318.3790859" TargetMode="External"/><Relationship Id="rId302" Type="http://schemas.openxmlformats.org/officeDocument/2006/relationships/hyperlink" Target="https://doi.org/10.1145/3772318.3790812" TargetMode="External"/><Relationship Id="rId309" Type="http://schemas.openxmlformats.org/officeDocument/2006/relationships/hyperlink" Target="https://doi.org/10.1145/3772318.3791079" TargetMode="External"/><Relationship Id="rId308" Type="http://schemas.openxmlformats.org/officeDocument/2006/relationships/hyperlink" Target="https://doi.org/10.1145/3772318.3791068" TargetMode="External"/><Relationship Id="rId307" Type="http://schemas.openxmlformats.org/officeDocument/2006/relationships/hyperlink" Target="https://doi.org/10.1145/3772318.3791060" TargetMode="External"/><Relationship Id="rId306" Type="http://schemas.openxmlformats.org/officeDocument/2006/relationships/hyperlink" Target="https://doi.org/10.1145/3772318.3791012" TargetMode="External"/><Relationship Id="rId301" Type="http://schemas.openxmlformats.org/officeDocument/2006/relationships/hyperlink" Target="https://doi.org/10.1145/3772318.3790739" TargetMode="External"/><Relationship Id="rId300" Type="http://schemas.openxmlformats.org/officeDocument/2006/relationships/hyperlink" Target="https://doi.org/10.1145/3772318.3790697" TargetMode="External"/><Relationship Id="rId206" Type="http://schemas.openxmlformats.org/officeDocument/2006/relationships/hyperlink" Target="https://doi.org/10.1145/3642979.3642984" TargetMode="External"/><Relationship Id="rId327" Type="http://schemas.openxmlformats.org/officeDocument/2006/relationships/hyperlink" Target="https://doi.org/10.1145/3772318.3791760" TargetMode="External"/><Relationship Id="rId205" Type="http://schemas.openxmlformats.org/officeDocument/2006/relationships/hyperlink" Target="https://doi.org/10.1145/3640543.3645148" TargetMode="External"/><Relationship Id="rId326" Type="http://schemas.openxmlformats.org/officeDocument/2006/relationships/hyperlink" Target="https://doi.org/10.1145/3772318.3791726" TargetMode="External"/><Relationship Id="rId204" Type="http://schemas.openxmlformats.org/officeDocument/2006/relationships/hyperlink" Target="https://doi.org/10.1145/3640352" TargetMode="External"/><Relationship Id="rId325" Type="http://schemas.openxmlformats.org/officeDocument/2006/relationships/hyperlink" Target="https://doi.org/10.1145/3772318.3791640" TargetMode="External"/><Relationship Id="rId203" Type="http://schemas.openxmlformats.org/officeDocument/2006/relationships/hyperlink" Target="https://doi.org/10.1145/3639372" TargetMode="External"/><Relationship Id="rId324" Type="http://schemas.openxmlformats.org/officeDocument/2006/relationships/hyperlink" Target="https://doi.org/10.1145/3772318.3791632" TargetMode="External"/><Relationship Id="rId209" Type="http://schemas.openxmlformats.org/officeDocument/2006/relationships/hyperlink" Target="https://doi.org/10.1145/3655103.3655107" TargetMode="External"/><Relationship Id="rId208" Type="http://schemas.openxmlformats.org/officeDocument/2006/relationships/hyperlink" Target="https://doi.org/10.1145/3648188.3678216" TargetMode="External"/><Relationship Id="rId329" Type="http://schemas.openxmlformats.org/officeDocument/2006/relationships/hyperlink" Target="https://doi.org/10.1145/3772318.3791834" TargetMode="External"/><Relationship Id="rId207" Type="http://schemas.openxmlformats.org/officeDocument/2006/relationships/hyperlink" Target="https://doi.org/10.1145/3643834.3661525" TargetMode="External"/><Relationship Id="rId328" Type="http://schemas.openxmlformats.org/officeDocument/2006/relationships/hyperlink" Target="https://doi.org/10.1145/3772318.3791775" TargetMode="External"/><Relationship Id="rId202" Type="http://schemas.openxmlformats.org/officeDocument/2006/relationships/hyperlink" Target="https://doi.org/10.1145/3637528.3671481" TargetMode="External"/><Relationship Id="rId323" Type="http://schemas.openxmlformats.org/officeDocument/2006/relationships/hyperlink" Target="https://doi.org/10.1145/3772318.3791600" TargetMode="External"/><Relationship Id="rId201" Type="http://schemas.openxmlformats.org/officeDocument/2006/relationships/hyperlink" Target="https://doi.org/10.1145/3630106.3659037" TargetMode="External"/><Relationship Id="rId322" Type="http://schemas.openxmlformats.org/officeDocument/2006/relationships/hyperlink" Target="https://doi.org/10.1145/3772318.3791571" TargetMode="External"/><Relationship Id="rId200" Type="http://schemas.openxmlformats.org/officeDocument/2006/relationships/hyperlink" Target="https://doi.org/10.1145/3613904.3642159" TargetMode="External"/><Relationship Id="rId321" Type="http://schemas.openxmlformats.org/officeDocument/2006/relationships/hyperlink" Target="https://doi.org/10.1145/3772318.3791560" TargetMode="External"/><Relationship Id="rId320" Type="http://schemas.openxmlformats.org/officeDocument/2006/relationships/hyperlink" Target="https://doi.org/10.1145/3772318.3791556" TargetMode="External"/><Relationship Id="rId316" Type="http://schemas.openxmlformats.org/officeDocument/2006/relationships/hyperlink" Target="https://doi.org/10.1145/3772318.3791365" TargetMode="External"/><Relationship Id="rId315" Type="http://schemas.openxmlformats.org/officeDocument/2006/relationships/hyperlink" Target="https://doi.org/10.1145/3772318.3791363" TargetMode="External"/><Relationship Id="rId314" Type="http://schemas.openxmlformats.org/officeDocument/2006/relationships/hyperlink" Target="https://doi.org/10.1145/3772318.3791319" TargetMode="External"/><Relationship Id="rId313" Type="http://schemas.openxmlformats.org/officeDocument/2006/relationships/hyperlink" Target="https://doi.org/10.1145/3772318.3791300" TargetMode="External"/><Relationship Id="rId319" Type="http://schemas.openxmlformats.org/officeDocument/2006/relationships/hyperlink" Target="https://doi.org/10.1145/3772318.3791484" TargetMode="External"/><Relationship Id="rId318" Type="http://schemas.openxmlformats.org/officeDocument/2006/relationships/hyperlink" Target="https://doi.org/10.1145/3772318.3791428" TargetMode="External"/><Relationship Id="rId317" Type="http://schemas.openxmlformats.org/officeDocument/2006/relationships/hyperlink" Target="https://doi.org/10.1145/3772318.3791381" TargetMode="External"/><Relationship Id="rId312" Type="http://schemas.openxmlformats.org/officeDocument/2006/relationships/hyperlink" Target="https://doi.org/10.1145/3772318.3791248" TargetMode="External"/><Relationship Id="rId311" Type="http://schemas.openxmlformats.org/officeDocument/2006/relationships/hyperlink" Target="https://doi.org/10.1145/3772318.3791233" TargetMode="External"/><Relationship Id="rId310" Type="http://schemas.openxmlformats.org/officeDocument/2006/relationships/hyperlink" Target="https://doi.org/10.1145/3772318.3791149"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dl.acm.org/doi/proceedings/10.1145/3772318" TargetMode="External"/><Relationship Id="rId194" Type="http://schemas.openxmlformats.org/officeDocument/2006/relationships/hyperlink" Target="https://dl.acm.org/doi/proceedings/10.1145/3772318" TargetMode="External"/><Relationship Id="rId193" Type="http://schemas.openxmlformats.org/officeDocument/2006/relationships/hyperlink" Target="https://dl.acm.org/doi/proceedings/10.1145/3772318" TargetMode="External"/><Relationship Id="rId192" Type="http://schemas.openxmlformats.org/officeDocument/2006/relationships/hyperlink" Target="https://dl.acm.org/doi/proceedings/10.1145/3772318" TargetMode="External"/><Relationship Id="rId191" Type="http://schemas.openxmlformats.org/officeDocument/2006/relationships/hyperlink" Target="https://dl.acm.org/doi/proceedings/10.1145/3772318" TargetMode="External"/><Relationship Id="rId187" Type="http://schemas.openxmlformats.org/officeDocument/2006/relationships/hyperlink" Target="https://dl.acm.org/doi/proceedings/10.1145/3772318" TargetMode="External"/><Relationship Id="rId186" Type="http://schemas.openxmlformats.org/officeDocument/2006/relationships/hyperlink" Target="https://dl.acm.org/doi/proceedings/10.1145/3772318" TargetMode="External"/><Relationship Id="rId185" Type="http://schemas.openxmlformats.org/officeDocument/2006/relationships/hyperlink" Target="https://dl.acm.org/doi/proceedings/10.1145/3772318" TargetMode="External"/><Relationship Id="rId184" Type="http://schemas.openxmlformats.org/officeDocument/2006/relationships/hyperlink" Target="https://dl.acm.org/doi/proceedings/10.1145/3772318" TargetMode="External"/><Relationship Id="rId189" Type="http://schemas.openxmlformats.org/officeDocument/2006/relationships/hyperlink" Target="https://dl.acm.org/doi/proceedings/10.1145/3772318" TargetMode="External"/><Relationship Id="rId188" Type="http://schemas.openxmlformats.org/officeDocument/2006/relationships/hyperlink" Target="https://dl.acm.org/doi/proceedings/10.1145/3772318" TargetMode="External"/><Relationship Id="rId183" Type="http://schemas.openxmlformats.org/officeDocument/2006/relationships/hyperlink" Target="https://dl.acm.org/doi/proceedings/10.1145/3772318" TargetMode="External"/><Relationship Id="rId182" Type="http://schemas.openxmlformats.org/officeDocument/2006/relationships/hyperlink" Target="https://dl.acm.org/doi/proceedings/10.1145/3772318" TargetMode="External"/><Relationship Id="rId181" Type="http://schemas.openxmlformats.org/officeDocument/2006/relationships/hyperlink" Target="https://dl.acm.org/doi/proceedings/10.1145/3772318" TargetMode="External"/><Relationship Id="rId180" Type="http://schemas.openxmlformats.org/officeDocument/2006/relationships/hyperlink" Target="https://dl.acm.org/doi/proceedings/10.1145/3772318" TargetMode="External"/><Relationship Id="rId176" Type="http://schemas.openxmlformats.org/officeDocument/2006/relationships/hyperlink" Target="https://dl.acm.org/doi/proceedings/10.1145/3772318" TargetMode="External"/><Relationship Id="rId175" Type="http://schemas.openxmlformats.org/officeDocument/2006/relationships/hyperlink" Target="https://dl.acm.org/doi/proceedings/10.1145/3772318" TargetMode="External"/><Relationship Id="rId174" Type="http://schemas.openxmlformats.org/officeDocument/2006/relationships/hyperlink" Target="https://dl.acm.org/doi/proceedings/10.1145/3772318" TargetMode="External"/><Relationship Id="rId173" Type="http://schemas.openxmlformats.org/officeDocument/2006/relationships/hyperlink" Target="https://dl.acm.org/doi/proceedings/10.1145/3772318" TargetMode="External"/><Relationship Id="rId179" Type="http://schemas.openxmlformats.org/officeDocument/2006/relationships/hyperlink" Target="https://dl.acm.org/doi/proceedings/10.1145/3772318" TargetMode="External"/><Relationship Id="rId178" Type="http://schemas.openxmlformats.org/officeDocument/2006/relationships/hyperlink" Target="https://dl.acm.org/doi/proceedings/10.1145/3772318" TargetMode="External"/><Relationship Id="rId177" Type="http://schemas.openxmlformats.org/officeDocument/2006/relationships/hyperlink" Target="https://dl.acm.org/doi/proceedings/10.1145/3772318" TargetMode="External"/><Relationship Id="rId198" Type="http://schemas.openxmlformats.org/officeDocument/2006/relationships/hyperlink" Target="https://dl.acm.org/doi/proceedings/10.1145/3772318" TargetMode="External"/><Relationship Id="rId197" Type="http://schemas.openxmlformats.org/officeDocument/2006/relationships/hyperlink" Target="https://dl.acm.org/doi/proceedings/10.1145/3772318" TargetMode="External"/><Relationship Id="rId196" Type="http://schemas.openxmlformats.org/officeDocument/2006/relationships/hyperlink" Target="https://dl.acm.org/doi/proceedings/10.1145/3772318" TargetMode="External"/><Relationship Id="rId195" Type="http://schemas.openxmlformats.org/officeDocument/2006/relationships/hyperlink" Target="https://dl.acm.org/doi/proceedings/10.1145/3772318" TargetMode="External"/><Relationship Id="rId199" Type="http://schemas.openxmlformats.org/officeDocument/2006/relationships/hyperlink" Target="https://dl.acm.org/doi/proceedings/10.1145/3772318" TargetMode="External"/><Relationship Id="rId150" Type="http://schemas.openxmlformats.org/officeDocument/2006/relationships/hyperlink" Target="https://dl.acm.org/doi/proceedings/10.1145/3772318" TargetMode="External"/><Relationship Id="rId1" Type="http://schemas.openxmlformats.org/officeDocument/2006/relationships/hyperlink" Target="https://dl.acm.org/doi/proceedings/10.1145/3772318" TargetMode="External"/><Relationship Id="rId2" Type="http://schemas.openxmlformats.org/officeDocument/2006/relationships/hyperlink" Target="https://dl.acm.org/doi/proceedings/10.1145/3772318" TargetMode="External"/><Relationship Id="rId3" Type="http://schemas.openxmlformats.org/officeDocument/2006/relationships/hyperlink" Target="https://dl.acm.org/doi/proceedings/10.1145/3772318" TargetMode="External"/><Relationship Id="rId149" Type="http://schemas.openxmlformats.org/officeDocument/2006/relationships/hyperlink" Target="https://dl.acm.org/doi/proceedings/10.1145/3772318" TargetMode="External"/><Relationship Id="rId4" Type="http://schemas.openxmlformats.org/officeDocument/2006/relationships/hyperlink" Target="https://dl.acm.org/doi/proceedings/10.1145/3772318" TargetMode="External"/><Relationship Id="rId148" Type="http://schemas.openxmlformats.org/officeDocument/2006/relationships/hyperlink" Target="https://dl.acm.org/doi/proceedings/10.1145/3772318" TargetMode="External"/><Relationship Id="rId9" Type="http://schemas.openxmlformats.org/officeDocument/2006/relationships/hyperlink" Target="https://dl.acm.org/doi/proceedings/10.1145/3772318" TargetMode="External"/><Relationship Id="rId143" Type="http://schemas.openxmlformats.org/officeDocument/2006/relationships/hyperlink" Target="https://dl.acm.org/doi/proceedings/10.1145/3772318" TargetMode="External"/><Relationship Id="rId142" Type="http://schemas.openxmlformats.org/officeDocument/2006/relationships/hyperlink" Target="https://dl.acm.org/doi/proceedings/10.1145/3772318" TargetMode="External"/><Relationship Id="rId141" Type="http://schemas.openxmlformats.org/officeDocument/2006/relationships/hyperlink" Target="https://dl.acm.org/doi/proceedings/10.1145/3772318" TargetMode="External"/><Relationship Id="rId140" Type="http://schemas.openxmlformats.org/officeDocument/2006/relationships/hyperlink" Target="https://dl.acm.org/doi/proceedings/10.1145/3772318" TargetMode="External"/><Relationship Id="rId5" Type="http://schemas.openxmlformats.org/officeDocument/2006/relationships/hyperlink" Target="https://dl.acm.org/doi/proceedings/10.1145/3772318" TargetMode="External"/><Relationship Id="rId147" Type="http://schemas.openxmlformats.org/officeDocument/2006/relationships/hyperlink" Target="https://dl.acm.org/doi/proceedings/10.1145/3772318" TargetMode="External"/><Relationship Id="rId6" Type="http://schemas.openxmlformats.org/officeDocument/2006/relationships/hyperlink" Target="https://dl.acm.org/doi/proceedings/10.1145/3772318" TargetMode="External"/><Relationship Id="rId146" Type="http://schemas.openxmlformats.org/officeDocument/2006/relationships/hyperlink" Target="https://dl.acm.org/doi/proceedings/10.1145/3772318" TargetMode="External"/><Relationship Id="rId7" Type="http://schemas.openxmlformats.org/officeDocument/2006/relationships/hyperlink" Target="https://dl.acm.org/doi/proceedings/10.1145/3772318" TargetMode="External"/><Relationship Id="rId145" Type="http://schemas.openxmlformats.org/officeDocument/2006/relationships/hyperlink" Target="https://dl.acm.org/doi/proceedings/10.1145/3772318" TargetMode="External"/><Relationship Id="rId8" Type="http://schemas.openxmlformats.org/officeDocument/2006/relationships/hyperlink" Target="https://dl.acm.org/doi/proceedings/10.1145/3772318" TargetMode="External"/><Relationship Id="rId144" Type="http://schemas.openxmlformats.org/officeDocument/2006/relationships/hyperlink" Target="https://dl.acm.org/doi/proceedings/10.1145/3772318" TargetMode="External"/><Relationship Id="rId139" Type="http://schemas.openxmlformats.org/officeDocument/2006/relationships/hyperlink" Target="https://dl.acm.org/doi/proceedings/10.1145/3772318" TargetMode="External"/><Relationship Id="rId138" Type="http://schemas.openxmlformats.org/officeDocument/2006/relationships/hyperlink" Target="https://dl.acm.org/doi/proceedings/10.1145/3772318" TargetMode="External"/><Relationship Id="rId137" Type="http://schemas.openxmlformats.org/officeDocument/2006/relationships/hyperlink" Target="https://dl.acm.org/doi/proceedings/10.1145/3772318" TargetMode="External"/><Relationship Id="rId132" Type="http://schemas.openxmlformats.org/officeDocument/2006/relationships/hyperlink" Target="https://dl.acm.org/doi/proceedings/10.1145/3772318" TargetMode="External"/><Relationship Id="rId131" Type="http://schemas.openxmlformats.org/officeDocument/2006/relationships/hyperlink" Target="https://dl.acm.org/doi/proceedings/10.1145/3772318" TargetMode="External"/><Relationship Id="rId130" Type="http://schemas.openxmlformats.org/officeDocument/2006/relationships/hyperlink" Target="https://dl.acm.org/doi/proceedings/10.1145/3772318" TargetMode="External"/><Relationship Id="rId136" Type="http://schemas.openxmlformats.org/officeDocument/2006/relationships/hyperlink" Target="https://dl.acm.org/doi/proceedings/10.1145/3772318" TargetMode="External"/><Relationship Id="rId135" Type="http://schemas.openxmlformats.org/officeDocument/2006/relationships/hyperlink" Target="https://dl.acm.org/doi/proceedings/10.1145/3772318" TargetMode="External"/><Relationship Id="rId134" Type="http://schemas.openxmlformats.org/officeDocument/2006/relationships/hyperlink" Target="https://dl.acm.org/doi/proceedings/10.1145/3772318" TargetMode="External"/><Relationship Id="rId133" Type="http://schemas.openxmlformats.org/officeDocument/2006/relationships/hyperlink" Target="https://dl.acm.org/doi/proceedings/10.1145/3772318" TargetMode="External"/><Relationship Id="rId172" Type="http://schemas.openxmlformats.org/officeDocument/2006/relationships/hyperlink" Target="https://dl.acm.org/doi/proceedings/10.1145/3772318" TargetMode="External"/><Relationship Id="rId171" Type="http://schemas.openxmlformats.org/officeDocument/2006/relationships/hyperlink" Target="https://dl.acm.org/doi/proceedings/10.1145/3772318" TargetMode="External"/><Relationship Id="rId170" Type="http://schemas.openxmlformats.org/officeDocument/2006/relationships/hyperlink" Target="https://dl.acm.org/doi/proceedings/10.1145/3772318" TargetMode="External"/><Relationship Id="rId165" Type="http://schemas.openxmlformats.org/officeDocument/2006/relationships/hyperlink" Target="https://dl.acm.org/doi/proceedings/10.1145/3772318" TargetMode="External"/><Relationship Id="rId164" Type="http://schemas.openxmlformats.org/officeDocument/2006/relationships/hyperlink" Target="https://dl.acm.org/doi/proceedings/10.1145/3772318" TargetMode="External"/><Relationship Id="rId163" Type="http://schemas.openxmlformats.org/officeDocument/2006/relationships/hyperlink" Target="https://dl.acm.org/doi/proceedings/10.1145/3772318" TargetMode="External"/><Relationship Id="rId162" Type="http://schemas.openxmlformats.org/officeDocument/2006/relationships/hyperlink" Target="https://dl.acm.org/doi/proceedings/10.1145/3772318" TargetMode="External"/><Relationship Id="rId169" Type="http://schemas.openxmlformats.org/officeDocument/2006/relationships/hyperlink" Target="https://dl.acm.org/doi/proceedings/10.1145/3772318" TargetMode="External"/><Relationship Id="rId168" Type="http://schemas.openxmlformats.org/officeDocument/2006/relationships/hyperlink" Target="https://dl.acm.org/doi/proceedings/10.1145/3772318" TargetMode="External"/><Relationship Id="rId167" Type="http://schemas.openxmlformats.org/officeDocument/2006/relationships/hyperlink" Target="https://dl.acm.org/doi/proceedings/10.1145/3772318" TargetMode="External"/><Relationship Id="rId166" Type="http://schemas.openxmlformats.org/officeDocument/2006/relationships/hyperlink" Target="https://dl.acm.org/doi/proceedings/10.1145/3772318" TargetMode="External"/><Relationship Id="rId161" Type="http://schemas.openxmlformats.org/officeDocument/2006/relationships/hyperlink" Target="https://dl.acm.org/doi/proceedings/10.1145/3772318" TargetMode="External"/><Relationship Id="rId160" Type="http://schemas.openxmlformats.org/officeDocument/2006/relationships/hyperlink" Target="https://dl.acm.org/doi/proceedings/10.1145/3772318" TargetMode="External"/><Relationship Id="rId159" Type="http://schemas.openxmlformats.org/officeDocument/2006/relationships/hyperlink" Target="https://dl.acm.org/doi/proceedings/10.1145/3772318" TargetMode="External"/><Relationship Id="rId154" Type="http://schemas.openxmlformats.org/officeDocument/2006/relationships/hyperlink" Target="https://dl.acm.org/doi/proceedings/10.1145/3772318" TargetMode="External"/><Relationship Id="rId153" Type="http://schemas.openxmlformats.org/officeDocument/2006/relationships/hyperlink" Target="https://dl.acm.org/doi/proceedings/10.1145/3772318" TargetMode="External"/><Relationship Id="rId152" Type="http://schemas.openxmlformats.org/officeDocument/2006/relationships/hyperlink" Target="https://dl.acm.org/doi/proceedings/10.1145/3772318" TargetMode="External"/><Relationship Id="rId151" Type="http://schemas.openxmlformats.org/officeDocument/2006/relationships/hyperlink" Target="https://dl.acm.org/doi/proceedings/10.1145/3772318" TargetMode="External"/><Relationship Id="rId158" Type="http://schemas.openxmlformats.org/officeDocument/2006/relationships/hyperlink" Target="https://dl.acm.org/doi/proceedings/10.1145/3772318" TargetMode="External"/><Relationship Id="rId157" Type="http://schemas.openxmlformats.org/officeDocument/2006/relationships/hyperlink" Target="https://dl.acm.org/doi/proceedings/10.1145/3772318" TargetMode="External"/><Relationship Id="rId156" Type="http://schemas.openxmlformats.org/officeDocument/2006/relationships/hyperlink" Target="https://dl.acm.org/doi/proceedings/10.1145/3772318" TargetMode="External"/><Relationship Id="rId155" Type="http://schemas.openxmlformats.org/officeDocument/2006/relationships/hyperlink" Target="https://dl.acm.org/doi/proceedings/10.1145/3772318" TargetMode="External"/><Relationship Id="rId40" Type="http://schemas.openxmlformats.org/officeDocument/2006/relationships/hyperlink" Target="https://dl.acm.org/doi/proceedings/10.1145/3772318" TargetMode="External"/><Relationship Id="rId42" Type="http://schemas.openxmlformats.org/officeDocument/2006/relationships/hyperlink" Target="https://dl.acm.org/doi/proceedings/10.1145/3772318" TargetMode="External"/><Relationship Id="rId41" Type="http://schemas.openxmlformats.org/officeDocument/2006/relationships/hyperlink" Target="https://dl.acm.org/doi/proceedings/10.1145/3772318" TargetMode="External"/><Relationship Id="rId44" Type="http://schemas.openxmlformats.org/officeDocument/2006/relationships/hyperlink" Target="https://dl.acm.org/doi/proceedings/10.1145/3772318" TargetMode="External"/><Relationship Id="rId43" Type="http://schemas.openxmlformats.org/officeDocument/2006/relationships/hyperlink" Target="https://dl.acm.org/doi/proceedings/10.1145/3772318" TargetMode="External"/><Relationship Id="rId46" Type="http://schemas.openxmlformats.org/officeDocument/2006/relationships/hyperlink" Target="https://dl.acm.org/doi/proceedings/10.1145/3772318" TargetMode="External"/><Relationship Id="rId45" Type="http://schemas.openxmlformats.org/officeDocument/2006/relationships/hyperlink" Target="https://dl.acm.org/doi/proceedings/10.1145/3772318" TargetMode="External"/><Relationship Id="rId48" Type="http://schemas.openxmlformats.org/officeDocument/2006/relationships/hyperlink" Target="https://dl.acm.org/doi/proceedings/10.1145/3772318" TargetMode="External"/><Relationship Id="rId47" Type="http://schemas.openxmlformats.org/officeDocument/2006/relationships/hyperlink" Target="https://dl.acm.org/doi/proceedings/10.1145/3772318" TargetMode="External"/><Relationship Id="rId49" Type="http://schemas.openxmlformats.org/officeDocument/2006/relationships/hyperlink" Target="https://dl.acm.org/doi/proceedings/10.1145/3772318" TargetMode="External"/><Relationship Id="rId31" Type="http://schemas.openxmlformats.org/officeDocument/2006/relationships/hyperlink" Target="https://dl.acm.org/doi/proceedings/10.1145/3772318" TargetMode="External"/><Relationship Id="rId30" Type="http://schemas.openxmlformats.org/officeDocument/2006/relationships/hyperlink" Target="https://dl.acm.org/doi/proceedings/10.1145/3772318" TargetMode="External"/><Relationship Id="rId33" Type="http://schemas.openxmlformats.org/officeDocument/2006/relationships/hyperlink" Target="https://dl.acm.org/doi/proceedings/10.1145/3772318" TargetMode="External"/><Relationship Id="rId32" Type="http://schemas.openxmlformats.org/officeDocument/2006/relationships/hyperlink" Target="https://dl.acm.org/doi/proceedings/10.1145/3772318" TargetMode="External"/><Relationship Id="rId35" Type="http://schemas.openxmlformats.org/officeDocument/2006/relationships/hyperlink" Target="https://dl.acm.org/doi/proceedings/10.1145/3772318" TargetMode="External"/><Relationship Id="rId34" Type="http://schemas.openxmlformats.org/officeDocument/2006/relationships/hyperlink" Target="https://dl.acm.org/doi/proceedings/10.1145/3772318" TargetMode="External"/><Relationship Id="rId37" Type="http://schemas.openxmlformats.org/officeDocument/2006/relationships/hyperlink" Target="https://dl.acm.org/doi/proceedings/10.1145/3772318" TargetMode="External"/><Relationship Id="rId36" Type="http://schemas.openxmlformats.org/officeDocument/2006/relationships/hyperlink" Target="https://dl.acm.org/doi/proceedings/10.1145/3772318" TargetMode="External"/><Relationship Id="rId39" Type="http://schemas.openxmlformats.org/officeDocument/2006/relationships/hyperlink" Target="https://dl.acm.org/doi/proceedings/10.1145/3772318" TargetMode="External"/><Relationship Id="rId38" Type="http://schemas.openxmlformats.org/officeDocument/2006/relationships/hyperlink" Target="https://dl.acm.org/doi/proceedings/10.1145/3772318" TargetMode="External"/><Relationship Id="rId20" Type="http://schemas.openxmlformats.org/officeDocument/2006/relationships/hyperlink" Target="https://dl.acm.org/doi/proceedings/10.1145/3772318" TargetMode="External"/><Relationship Id="rId22" Type="http://schemas.openxmlformats.org/officeDocument/2006/relationships/hyperlink" Target="https://dl.acm.org/doi/proceedings/10.1145/3772318" TargetMode="External"/><Relationship Id="rId21" Type="http://schemas.openxmlformats.org/officeDocument/2006/relationships/hyperlink" Target="https://dl.acm.org/doi/proceedings/10.1145/3772318" TargetMode="External"/><Relationship Id="rId24" Type="http://schemas.openxmlformats.org/officeDocument/2006/relationships/hyperlink" Target="https://dl.acm.org/doi/proceedings/10.1145/3772318" TargetMode="External"/><Relationship Id="rId23" Type="http://schemas.openxmlformats.org/officeDocument/2006/relationships/hyperlink" Target="https://dl.acm.org/doi/proceedings/10.1145/3772318" TargetMode="External"/><Relationship Id="rId26" Type="http://schemas.openxmlformats.org/officeDocument/2006/relationships/hyperlink" Target="https://dl.acm.org/doi/proceedings/10.1145/3772318" TargetMode="External"/><Relationship Id="rId25" Type="http://schemas.openxmlformats.org/officeDocument/2006/relationships/hyperlink" Target="https://dl.acm.org/doi/proceedings/10.1145/3772318" TargetMode="External"/><Relationship Id="rId28" Type="http://schemas.openxmlformats.org/officeDocument/2006/relationships/hyperlink" Target="https://dl.acm.org/doi/proceedings/10.1145/3772318" TargetMode="External"/><Relationship Id="rId27" Type="http://schemas.openxmlformats.org/officeDocument/2006/relationships/hyperlink" Target="https://dl.acm.org/doi/proceedings/10.1145/3772318" TargetMode="External"/><Relationship Id="rId29" Type="http://schemas.openxmlformats.org/officeDocument/2006/relationships/hyperlink" Target="https://dl.acm.org/doi/proceedings/10.1145/3772318" TargetMode="External"/><Relationship Id="rId11" Type="http://schemas.openxmlformats.org/officeDocument/2006/relationships/hyperlink" Target="https://dl.acm.org/doi/proceedings/10.1145/3772318" TargetMode="External"/><Relationship Id="rId10" Type="http://schemas.openxmlformats.org/officeDocument/2006/relationships/hyperlink" Target="https://dl.acm.org/doi/proceedings/10.1145/3772318" TargetMode="External"/><Relationship Id="rId13" Type="http://schemas.openxmlformats.org/officeDocument/2006/relationships/hyperlink" Target="https://dl.acm.org/doi/proceedings/10.1145/3772318" TargetMode="External"/><Relationship Id="rId12" Type="http://schemas.openxmlformats.org/officeDocument/2006/relationships/hyperlink" Target="https://dl.acm.org/doi/proceedings/10.1145/3772318" TargetMode="External"/><Relationship Id="rId15" Type="http://schemas.openxmlformats.org/officeDocument/2006/relationships/hyperlink" Target="https://dl.acm.org/doi/proceedings/10.1145/3772318" TargetMode="External"/><Relationship Id="rId14" Type="http://schemas.openxmlformats.org/officeDocument/2006/relationships/hyperlink" Target="https://dl.acm.org/doi/proceedings/10.1145/3772318" TargetMode="External"/><Relationship Id="rId17" Type="http://schemas.openxmlformats.org/officeDocument/2006/relationships/hyperlink" Target="https://dl.acm.org/doi/proceedings/10.1145/3772318" TargetMode="External"/><Relationship Id="rId16" Type="http://schemas.openxmlformats.org/officeDocument/2006/relationships/hyperlink" Target="https://dl.acm.org/doi/proceedings/10.1145/3772318" TargetMode="External"/><Relationship Id="rId19" Type="http://schemas.openxmlformats.org/officeDocument/2006/relationships/hyperlink" Target="https://dl.acm.org/doi/proceedings/10.1145/3772318" TargetMode="External"/><Relationship Id="rId18" Type="http://schemas.openxmlformats.org/officeDocument/2006/relationships/hyperlink" Target="https://dl.acm.org/doi/proceedings/10.1145/3772318" TargetMode="External"/><Relationship Id="rId84" Type="http://schemas.openxmlformats.org/officeDocument/2006/relationships/hyperlink" Target="https://dl.acm.org/doi/proceedings/10.1145/3772318" TargetMode="External"/><Relationship Id="rId83" Type="http://schemas.openxmlformats.org/officeDocument/2006/relationships/hyperlink" Target="https://dl.acm.org/doi/proceedings/10.1145/3772318" TargetMode="External"/><Relationship Id="rId86" Type="http://schemas.openxmlformats.org/officeDocument/2006/relationships/hyperlink" Target="https://dl.acm.org/doi/proceedings/10.1145/3772318" TargetMode="External"/><Relationship Id="rId85" Type="http://schemas.openxmlformats.org/officeDocument/2006/relationships/hyperlink" Target="https://dl.acm.org/doi/proceedings/10.1145/3772318" TargetMode="External"/><Relationship Id="rId88" Type="http://schemas.openxmlformats.org/officeDocument/2006/relationships/hyperlink" Target="https://dl.acm.org/doi/proceedings/10.1145/3772318" TargetMode="External"/><Relationship Id="rId87" Type="http://schemas.openxmlformats.org/officeDocument/2006/relationships/hyperlink" Target="https://dl.acm.org/doi/proceedings/10.1145/3772318" TargetMode="External"/><Relationship Id="rId89" Type="http://schemas.openxmlformats.org/officeDocument/2006/relationships/hyperlink" Target="https://dl.acm.org/doi/proceedings/10.1145/3772318" TargetMode="External"/><Relationship Id="rId80" Type="http://schemas.openxmlformats.org/officeDocument/2006/relationships/hyperlink" Target="https://dl.acm.org/doi/proceedings/10.1145/3772318" TargetMode="External"/><Relationship Id="rId82" Type="http://schemas.openxmlformats.org/officeDocument/2006/relationships/hyperlink" Target="https://dl.acm.org/doi/proceedings/10.1145/3772318" TargetMode="External"/><Relationship Id="rId81" Type="http://schemas.openxmlformats.org/officeDocument/2006/relationships/hyperlink" Target="https://dl.acm.org/doi/proceedings/10.1145/3772318" TargetMode="External"/><Relationship Id="rId73" Type="http://schemas.openxmlformats.org/officeDocument/2006/relationships/hyperlink" Target="https://dl.acm.org/doi/proceedings/10.1145/3772318" TargetMode="External"/><Relationship Id="rId72" Type="http://schemas.openxmlformats.org/officeDocument/2006/relationships/hyperlink" Target="https://dl.acm.org/doi/proceedings/10.1145/3772318" TargetMode="External"/><Relationship Id="rId75" Type="http://schemas.openxmlformats.org/officeDocument/2006/relationships/hyperlink" Target="https://dl.acm.org/doi/proceedings/10.1145/3772318" TargetMode="External"/><Relationship Id="rId74" Type="http://schemas.openxmlformats.org/officeDocument/2006/relationships/hyperlink" Target="https://dl.acm.org/doi/proceedings/10.1145/3772318" TargetMode="External"/><Relationship Id="rId77" Type="http://schemas.openxmlformats.org/officeDocument/2006/relationships/hyperlink" Target="https://dl.acm.org/doi/proceedings/10.1145/3772318" TargetMode="External"/><Relationship Id="rId76" Type="http://schemas.openxmlformats.org/officeDocument/2006/relationships/hyperlink" Target="https://dl.acm.org/doi/proceedings/10.1145/3772318" TargetMode="External"/><Relationship Id="rId79" Type="http://schemas.openxmlformats.org/officeDocument/2006/relationships/hyperlink" Target="https://dl.acm.org/doi/proceedings/10.1145/3772318" TargetMode="External"/><Relationship Id="rId78" Type="http://schemas.openxmlformats.org/officeDocument/2006/relationships/hyperlink" Target="https://dl.acm.org/doi/proceedings/10.1145/3772318" TargetMode="External"/><Relationship Id="rId71" Type="http://schemas.openxmlformats.org/officeDocument/2006/relationships/hyperlink" Target="https://dl.acm.org/doi/proceedings/10.1145/3772318" TargetMode="External"/><Relationship Id="rId70" Type="http://schemas.openxmlformats.org/officeDocument/2006/relationships/hyperlink" Target="https://dl.acm.org/doi/proceedings/10.1145/3772318" TargetMode="External"/><Relationship Id="rId62" Type="http://schemas.openxmlformats.org/officeDocument/2006/relationships/hyperlink" Target="https://dl.acm.org/doi/proceedings/10.1145/3772318" TargetMode="External"/><Relationship Id="rId61" Type="http://schemas.openxmlformats.org/officeDocument/2006/relationships/hyperlink" Target="https://dl.acm.org/doi/proceedings/10.1145/3772318" TargetMode="External"/><Relationship Id="rId64" Type="http://schemas.openxmlformats.org/officeDocument/2006/relationships/hyperlink" Target="https://dl.acm.org/doi/proceedings/10.1145/3772318" TargetMode="External"/><Relationship Id="rId63" Type="http://schemas.openxmlformats.org/officeDocument/2006/relationships/hyperlink" Target="https://dl.acm.org/doi/proceedings/10.1145/3772318" TargetMode="External"/><Relationship Id="rId66" Type="http://schemas.openxmlformats.org/officeDocument/2006/relationships/hyperlink" Target="https://dl.acm.org/doi/proceedings/10.1145/3772318" TargetMode="External"/><Relationship Id="rId65" Type="http://schemas.openxmlformats.org/officeDocument/2006/relationships/hyperlink" Target="https://dl.acm.org/doi/proceedings/10.1145/3772318" TargetMode="External"/><Relationship Id="rId68" Type="http://schemas.openxmlformats.org/officeDocument/2006/relationships/hyperlink" Target="https://dl.acm.org/doi/proceedings/10.1145/3772318" TargetMode="External"/><Relationship Id="rId67" Type="http://schemas.openxmlformats.org/officeDocument/2006/relationships/hyperlink" Target="https://dl.acm.org/doi/proceedings/10.1145/3772318" TargetMode="External"/><Relationship Id="rId60" Type="http://schemas.openxmlformats.org/officeDocument/2006/relationships/hyperlink" Target="https://dl.acm.org/doi/proceedings/10.1145/3772318" TargetMode="External"/><Relationship Id="rId69" Type="http://schemas.openxmlformats.org/officeDocument/2006/relationships/hyperlink" Target="https://dl.acm.org/doi/proceedings/10.1145/3772318" TargetMode="External"/><Relationship Id="rId51" Type="http://schemas.openxmlformats.org/officeDocument/2006/relationships/hyperlink" Target="https://dl.acm.org/doi/proceedings/10.1145/3772318" TargetMode="External"/><Relationship Id="rId50" Type="http://schemas.openxmlformats.org/officeDocument/2006/relationships/hyperlink" Target="https://dl.acm.org/doi/proceedings/10.1145/3772318" TargetMode="External"/><Relationship Id="rId53" Type="http://schemas.openxmlformats.org/officeDocument/2006/relationships/hyperlink" Target="https://dl.acm.org/doi/proceedings/10.1145/3772318" TargetMode="External"/><Relationship Id="rId52" Type="http://schemas.openxmlformats.org/officeDocument/2006/relationships/hyperlink" Target="https://dl.acm.org/doi/proceedings/10.1145/3772318" TargetMode="External"/><Relationship Id="rId55" Type="http://schemas.openxmlformats.org/officeDocument/2006/relationships/hyperlink" Target="https://dl.acm.org/doi/proceedings/10.1145/3772318" TargetMode="External"/><Relationship Id="rId54" Type="http://schemas.openxmlformats.org/officeDocument/2006/relationships/hyperlink" Target="https://dl.acm.org/doi/proceedings/10.1145/3772318" TargetMode="External"/><Relationship Id="rId57" Type="http://schemas.openxmlformats.org/officeDocument/2006/relationships/hyperlink" Target="https://dl.acm.org/doi/proceedings/10.1145/3772318" TargetMode="External"/><Relationship Id="rId56" Type="http://schemas.openxmlformats.org/officeDocument/2006/relationships/hyperlink" Target="https://dl.acm.org/doi/proceedings/10.1145/3772318" TargetMode="External"/><Relationship Id="rId59" Type="http://schemas.openxmlformats.org/officeDocument/2006/relationships/hyperlink" Target="https://dl.acm.org/doi/proceedings/10.1145/3772318" TargetMode="External"/><Relationship Id="rId58" Type="http://schemas.openxmlformats.org/officeDocument/2006/relationships/hyperlink" Target="https://dl.acm.org/doi/proceedings/10.1145/3772318" TargetMode="External"/><Relationship Id="rId107" Type="http://schemas.openxmlformats.org/officeDocument/2006/relationships/hyperlink" Target="https://dl.acm.org/doi/proceedings/10.1145/3772318" TargetMode="External"/><Relationship Id="rId228" Type="http://schemas.openxmlformats.org/officeDocument/2006/relationships/hyperlink" Target="https://dl.acm.org/doi/proceedings/10.1145/3772318" TargetMode="External"/><Relationship Id="rId106" Type="http://schemas.openxmlformats.org/officeDocument/2006/relationships/hyperlink" Target="https://dl.acm.org/doi/proceedings/10.1145/3772318" TargetMode="External"/><Relationship Id="rId227" Type="http://schemas.openxmlformats.org/officeDocument/2006/relationships/hyperlink" Target="https://dl.acm.org/doi/proceedings/10.1145/3772318" TargetMode="External"/><Relationship Id="rId105" Type="http://schemas.openxmlformats.org/officeDocument/2006/relationships/hyperlink" Target="https://dl.acm.org/doi/proceedings/10.1145/3772318" TargetMode="External"/><Relationship Id="rId226" Type="http://schemas.openxmlformats.org/officeDocument/2006/relationships/hyperlink" Target="https://dl.acm.org/doi/proceedings/10.1145/3772318" TargetMode="External"/><Relationship Id="rId104" Type="http://schemas.openxmlformats.org/officeDocument/2006/relationships/hyperlink" Target="https://dl.acm.org/doi/proceedings/10.1145/3772318" TargetMode="External"/><Relationship Id="rId225" Type="http://schemas.openxmlformats.org/officeDocument/2006/relationships/hyperlink" Target="https://dl.acm.org/doi/proceedings/10.1145/3772318" TargetMode="External"/><Relationship Id="rId109" Type="http://schemas.openxmlformats.org/officeDocument/2006/relationships/hyperlink" Target="https://dl.acm.org/doi/proceedings/10.1145/3772318" TargetMode="External"/><Relationship Id="rId108" Type="http://schemas.openxmlformats.org/officeDocument/2006/relationships/hyperlink" Target="https://dl.acm.org/doi/proceedings/10.1145/3772318" TargetMode="External"/><Relationship Id="rId229" Type="http://schemas.openxmlformats.org/officeDocument/2006/relationships/hyperlink" Target="https://dl.acm.org/doi/proceedings/10.1145/3772318" TargetMode="External"/><Relationship Id="rId220" Type="http://schemas.openxmlformats.org/officeDocument/2006/relationships/hyperlink" Target="https://dl.acm.org/doi/proceedings/10.1145/3772318" TargetMode="External"/><Relationship Id="rId103" Type="http://schemas.openxmlformats.org/officeDocument/2006/relationships/hyperlink" Target="https://dl.acm.org/doi/proceedings/10.1145/3772318" TargetMode="External"/><Relationship Id="rId224" Type="http://schemas.openxmlformats.org/officeDocument/2006/relationships/hyperlink" Target="https://dl.acm.org/doi/proceedings/10.1145/3772318" TargetMode="External"/><Relationship Id="rId102" Type="http://schemas.openxmlformats.org/officeDocument/2006/relationships/hyperlink" Target="https://dl.acm.org/doi/proceedings/10.1145/3772318" TargetMode="External"/><Relationship Id="rId223" Type="http://schemas.openxmlformats.org/officeDocument/2006/relationships/hyperlink" Target="https://dl.acm.org/doi/proceedings/10.1145/3772318" TargetMode="External"/><Relationship Id="rId101" Type="http://schemas.openxmlformats.org/officeDocument/2006/relationships/hyperlink" Target="https://dl.acm.org/doi/proceedings/10.1145/3772318" TargetMode="External"/><Relationship Id="rId222" Type="http://schemas.openxmlformats.org/officeDocument/2006/relationships/hyperlink" Target="https://dl.acm.org/doi/proceedings/10.1145/3772318" TargetMode="External"/><Relationship Id="rId100" Type="http://schemas.openxmlformats.org/officeDocument/2006/relationships/hyperlink" Target="https://dl.acm.org/doi/proceedings/10.1145/3772318" TargetMode="External"/><Relationship Id="rId221" Type="http://schemas.openxmlformats.org/officeDocument/2006/relationships/hyperlink" Target="https://dl.acm.org/doi/proceedings/10.1145/3772318" TargetMode="External"/><Relationship Id="rId217" Type="http://schemas.openxmlformats.org/officeDocument/2006/relationships/hyperlink" Target="https://dl.acm.org/doi/proceedings/10.1145/3772318" TargetMode="External"/><Relationship Id="rId216" Type="http://schemas.openxmlformats.org/officeDocument/2006/relationships/hyperlink" Target="https://dl.acm.org/doi/proceedings/10.1145/3772318" TargetMode="External"/><Relationship Id="rId215" Type="http://schemas.openxmlformats.org/officeDocument/2006/relationships/hyperlink" Target="https://dl.acm.org/doi/proceedings/10.1145/3772318" TargetMode="External"/><Relationship Id="rId214" Type="http://schemas.openxmlformats.org/officeDocument/2006/relationships/hyperlink" Target="https://dl.acm.org/doi/proceedings/10.1145/3772318" TargetMode="External"/><Relationship Id="rId219" Type="http://schemas.openxmlformats.org/officeDocument/2006/relationships/hyperlink" Target="https://dl.acm.org/doi/proceedings/10.1145/3772318" TargetMode="External"/><Relationship Id="rId218" Type="http://schemas.openxmlformats.org/officeDocument/2006/relationships/hyperlink" Target="https://dl.acm.org/doi/proceedings/10.1145/3772318" TargetMode="External"/><Relationship Id="rId213" Type="http://schemas.openxmlformats.org/officeDocument/2006/relationships/hyperlink" Target="https://dl.acm.org/doi/proceedings/10.1145/3772318" TargetMode="External"/><Relationship Id="rId212" Type="http://schemas.openxmlformats.org/officeDocument/2006/relationships/hyperlink" Target="https://dl.acm.org/doi/proceedings/10.1145/3772318" TargetMode="External"/><Relationship Id="rId211" Type="http://schemas.openxmlformats.org/officeDocument/2006/relationships/hyperlink" Target="https://dl.acm.org/doi/proceedings/10.1145/3772318" TargetMode="External"/><Relationship Id="rId210" Type="http://schemas.openxmlformats.org/officeDocument/2006/relationships/hyperlink" Target="https://dl.acm.org/doi/proceedings/10.1145/3772318" TargetMode="External"/><Relationship Id="rId129" Type="http://schemas.openxmlformats.org/officeDocument/2006/relationships/hyperlink" Target="https://dl.acm.org/doi/proceedings/10.1145/3772318" TargetMode="External"/><Relationship Id="rId128" Type="http://schemas.openxmlformats.org/officeDocument/2006/relationships/hyperlink" Target="https://dl.acm.org/doi/proceedings/10.1145/3772318" TargetMode="External"/><Relationship Id="rId127" Type="http://schemas.openxmlformats.org/officeDocument/2006/relationships/hyperlink" Target="https://dl.acm.org/doi/proceedings/10.1145/3772318" TargetMode="External"/><Relationship Id="rId126" Type="http://schemas.openxmlformats.org/officeDocument/2006/relationships/hyperlink" Target="https://dl.acm.org/doi/proceedings/10.1145/3772318" TargetMode="External"/><Relationship Id="rId121" Type="http://schemas.openxmlformats.org/officeDocument/2006/relationships/hyperlink" Target="https://dl.acm.org/doi/proceedings/10.1145/3772318" TargetMode="External"/><Relationship Id="rId120" Type="http://schemas.openxmlformats.org/officeDocument/2006/relationships/hyperlink" Target="https://dl.acm.org/doi/proceedings/10.1145/3772318" TargetMode="External"/><Relationship Id="rId125" Type="http://schemas.openxmlformats.org/officeDocument/2006/relationships/hyperlink" Target="https://dl.acm.org/doi/proceedings/10.1145/3772318" TargetMode="External"/><Relationship Id="rId124" Type="http://schemas.openxmlformats.org/officeDocument/2006/relationships/hyperlink" Target="https://dl.acm.org/doi/proceedings/10.1145/3772318" TargetMode="External"/><Relationship Id="rId123" Type="http://schemas.openxmlformats.org/officeDocument/2006/relationships/hyperlink" Target="https://dl.acm.org/doi/proceedings/10.1145/3772318" TargetMode="External"/><Relationship Id="rId122" Type="http://schemas.openxmlformats.org/officeDocument/2006/relationships/hyperlink" Target="https://dl.acm.org/doi/proceedings/10.1145/3772318" TargetMode="External"/><Relationship Id="rId95" Type="http://schemas.openxmlformats.org/officeDocument/2006/relationships/hyperlink" Target="https://dl.acm.org/doi/proceedings/10.1145/3772318" TargetMode="External"/><Relationship Id="rId94" Type="http://schemas.openxmlformats.org/officeDocument/2006/relationships/hyperlink" Target="https://dl.acm.org/doi/proceedings/10.1145/3772318" TargetMode="External"/><Relationship Id="rId97" Type="http://schemas.openxmlformats.org/officeDocument/2006/relationships/hyperlink" Target="https://dl.acm.org/doi/proceedings/10.1145/3772318" TargetMode="External"/><Relationship Id="rId96" Type="http://schemas.openxmlformats.org/officeDocument/2006/relationships/hyperlink" Target="https://dl.acm.org/doi/proceedings/10.1145/3772318" TargetMode="External"/><Relationship Id="rId99" Type="http://schemas.openxmlformats.org/officeDocument/2006/relationships/hyperlink" Target="https://dl.acm.org/doi/proceedings/10.1145/3772318" TargetMode="External"/><Relationship Id="rId98" Type="http://schemas.openxmlformats.org/officeDocument/2006/relationships/hyperlink" Target="https://dl.acm.org/doi/proceedings/10.1145/3772318" TargetMode="External"/><Relationship Id="rId91" Type="http://schemas.openxmlformats.org/officeDocument/2006/relationships/hyperlink" Target="https://dl.acm.org/doi/proceedings/10.1145/3772318" TargetMode="External"/><Relationship Id="rId90" Type="http://schemas.openxmlformats.org/officeDocument/2006/relationships/hyperlink" Target="https://dl.acm.org/doi/proceedings/10.1145/3772318" TargetMode="External"/><Relationship Id="rId93" Type="http://schemas.openxmlformats.org/officeDocument/2006/relationships/hyperlink" Target="https://dl.acm.org/doi/proceedings/10.1145/3772318" TargetMode="External"/><Relationship Id="rId92" Type="http://schemas.openxmlformats.org/officeDocument/2006/relationships/hyperlink" Target="https://dl.acm.org/doi/proceedings/10.1145/3772318" TargetMode="External"/><Relationship Id="rId118" Type="http://schemas.openxmlformats.org/officeDocument/2006/relationships/hyperlink" Target="https://dl.acm.org/doi/proceedings/10.1145/3772318" TargetMode="External"/><Relationship Id="rId117" Type="http://schemas.openxmlformats.org/officeDocument/2006/relationships/hyperlink" Target="https://dl.acm.org/doi/proceedings/10.1145/3772318" TargetMode="External"/><Relationship Id="rId116" Type="http://schemas.openxmlformats.org/officeDocument/2006/relationships/hyperlink" Target="https://dl.acm.org/doi/proceedings/10.1145/3772318" TargetMode="External"/><Relationship Id="rId115" Type="http://schemas.openxmlformats.org/officeDocument/2006/relationships/hyperlink" Target="https://dl.acm.org/doi/proceedings/10.1145/3772318" TargetMode="External"/><Relationship Id="rId119" Type="http://schemas.openxmlformats.org/officeDocument/2006/relationships/hyperlink" Target="https://dl.acm.org/doi/proceedings/10.1145/3772318" TargetMode="External"/><Relationship Id="rId110" Type="http://schemas.openxmlformats.org/officeDocument/2006/relationships/hyperlink" Target="https://dl.acm.org/doi/proceedings/10.1145/3772318" TargetMode="External"/><Relationship Id="rId231" Type="http://schemas.openxmlformats.org/officeDocument/2006/relationships/hyperlink" Target="https://dl.acm.org/doi/proceedings/10.1145/3772318" TargetMode="External"/><Relationship Id="rId230" Type="http://schemas.openxmlformats.org/officeDocument/2006/relationships/hyperlink" Target="https://dl.acm.org/doi/proceedings/10.1145/3772318" TargetMode="External"/><Relationship Id="rId114" Type="http://schemas.openxmlformats.org/officeDocument/2006/relationships/hyperlink" Target="https://dl.acm.org/doi/proceedings/10.1145/3772318" TargetMode="External"/><Relationship Id="rId113" Type="http://schemas.openxmlformats.org/officeDocument/2006/relationships/hyperlink" Target="https://dl.acm.org/doi/proceedings/10.1145/3772318" TargetMode="External"/><Relationship Id="rId112" Type="http://schemas.openxmlformats.org/officeDocument/2006/relationships/hyperlink" Target="https://dl.acm.org/doi/proceedings/10.1145/3772318" TargetMode="External"/><Relationship Id="rId233" Type="http://schemas.openxmlformats.org/officeDocument/2006/relationships/drawing" Target="../drawings/drawing5.xml"/><Relationship Id="rId111" Type="http://schemas.openxmlformats.org/officeDocument/2006/relationships/hyperlink" Target="https://dl.acm.org/doi/proceedings/10.1145/3772318" TargetMode="External"/><Relationship Id="rId232" Type="http://schemas.openxmlformats.org/officeDocument/2006/relationships/hyperlink" Target="https://dl.acm.org/doi/proceedings/10.1145/3772318" TargetMode="External"/><Relationship Id="rId206" Type="http://schemas.openxmlformats.org/officeDocument/2006/relationships/hyperlink" Target="https://dl.acm.org/doi/proceedings/10.1145/3772318" TargetMode="External"/><Relationship Id="rId205" Type="http://schemas.openxmlformats.org/officeDocument/2006/relationships/hyperlink" Target="https://dl.acm.org/doi/proceedings/10.1145/3772318" TargetMode="External"/><Relationship Id="rId204" Type="http://schemas.openxmlformats.org/officeDocument/2006/relationships/hyperlink" Target="https://dl.acm.org/doi/proceedings/10.1145/3772318" TargetMode="External"/><Relationship Id="rId203" Type="http://schemas.openxmlformats.org/officeDocument/2006/relationships/hyperlink" Target="https://dl.acm.org/doi/proceedings/10.1145/3772318" TargetMode="External"/><Relationship Id="rId209" Type="http://schemas.openxmlformats.org/officeDocument/2006/relationships/hyperlink" Target="https://dl.acm.org/doi/proceedings/10.1145/3772318" TargetMode="External"/><Relationship Id="rId208" Type="http://schemas.openxmlformats.org/officeDocument/2006/relationships/hyperlink" Target="https://dl.acm.org/doi/proceedings/10.1145/3772318" TargetMode="External"/><Relationship Id="rId207" Type="http://schemas.openxmlformats.org/officeDocument/2006/relationships/hyperlink" Target="https://dl.acm.org/doi/proceedings/10.1145/3772318" TargetMode="External"/><Relationship Id="rId202" Type="http://schemas.openxmlformats.org/officeDocument/2006/relationships/hyperlink" Target="https://dl.acm.org/doi/proceedings/10.1145/3772318" TargetMode="External"/><Relationship Id="rId201" Type="http://schemas.openxmlformats.org/officeDocument/2006/relationships/hyperlink" Target="https://dl.acm.org/doi/proceedings/10.1145/3772318" TargetMode="External"/><Relationship Id="rId200" Type="http://schemas.openxmlformats.org/officeDocument/2006/relationships/hyperlink" Target="https://dl.acm.org/doi/proceedings/10.1145/377231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i.org/10.1145/3660650.3660656" TargetMode="External"/><Relationship Id="rId9" Type="http://schemas.openxmlformats.org/officeDocument/2006/relationships/hyperlink" Target="https://doi.org/10.1145/3772318.3791365" TargetMode="External"/><Relationship Id="rId5" Type="http://schemas.openxmlformats.org/officeDocument/2006/relationships/hyperlink" Target="https://doi.org/10.1145/3772318.3791079" TargetMode="External"/><Relationship Id="rId6" Type="http://schemas.openxmlformats.org/officeDocument/2006/relationships/hyperlink" Target="https://doi.org/10.1145/3772318.3791149" TargetMode="External"/><Relationship Id="rId7" Type="http://schemas.openxmlformats.org/officeDocument/2006/relationships/hyperlink" Target="https://doi.org/10.1145/3772318.3791233" TargetMode="External"/><Relationship Id="rId8" Type="http://schemas.openxmlformats.org/officeDocument/2006/relationships/hyperlink" Target="https://doi.org/10.1145/3772318.3791300" TargetMode="External"/><Relationship Id="rId11" Type="http://schemas.openxmlformats.org/officeDocument/2006/relationships/hyperlink" Target="https://doi.org/10.1145/3772318.3791915" TargetMode="External"/><Relationship Id="rId10" Type="http://schemas.openxmlformats.org/officeDocument/2006/relationships/hyperlink" Target="https://doi.org/10.1145/3772318.3791851" TargetMode="External"/><Relationship Id="rId13" Type="http://schemas.openxmlformats.org/officeDocument/2006/relationships/hyperlink" Target="https://doi.org/10.1145/3774904.3792506" TargetMode="External"/><Relationship Id="rId12" Type="http://schemas.openxmlformats.org/officeDocument/2006/relationships/hyperlink" Target="https://doi.org/10.1145/3772363.3798705" TargetMode="External"/><Relationship Id="rId15" Type="http://schemas.openxmlformats.org/officeDocument/2006/relationships/vmlDrawing" Target="../drawings/vmlDrawing3.vml"/><Relationship Id="rId1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ieeexplore.ieee.org/stamp/stamp.jsp?arnumber=11424465" TargetMode="External"/><Relationship Id="rId9" Type="http://schemas.openxmlformats.org/officeDocument/2006/relationships/hyperlink" Target="https://doi.org/10.1145/3786304.3787879" TargetMode="External"/><Relationship Id="rId5" Type="http://schemas.openxmlformats.org/officeDocument/2006/relationships/hyperlink" Target="https://doi.org/10.1145/3744169.3744194" TargetMode="External"/><Relationship Id="rId6" Type="http://schemas.openxmlformats.org/officeDocument/2006/relationships/hyperlink" Target="https://doi.org/10.1145/3772318.3790332" TargetMode="External"/><Relationship Id="rId7" Type="http://schemas.openxmlformats.org/officeDocument/2006/relationships/hyperlink" Target="https://doi.org/10.1145/3772318.3790934" TargetMode="External"/><Relationship Id="rId8" Type="http://schemas.openxmlformats.org/officeDocument/2006/relationships/hyperlink" Target="https://doi.org/10.1145/3772363.3799334" TargetMode="External"/><Relationship Id="rId11" Type="http://schemas.openxmlformats.org/officeDocument/2006/relationships/drawing" Target="../drawings/drawing8.xml"/><Relationship Id="rId10" Type="http://schemas.openxmlformats.org/officeDocument/2006/relationships/hyperlink" Target="https://doi.org/10.1145/3788646.3789536" TargetMode="External"/><Relationship Id="rId12"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oi.org/10.1145/3772318.3790332" TargetMode="External"/><Relationship Id="rId9" Type="http://schemas.openxmlformats.org/officeDocument/2006/relationships/hyperlink" Target="https://doi.org/10.1145/3772318.3791300" TargetMode="External"/><Relationship Id="rId5" Type="http://schemas.openxmlformats.org/officeDocument/2006/relationships/hyperlink" Target="https://doi.org/10.1145/3772318.3790385" TargetMode="External"/><Relationship Id="rId6" Type="http://schemas.openxmlformats.org/officeDocument/2006/relationships/hyperlink" Target="https://doi.org/10.1145/3772318.3790934" TargetMode="External"/><Relationship Id="rId7" Type="http://schemas.openxmlformats.org/officeDocument/2006/relationships/hyperlink" Target="https://doi.org/10.1145/3772318.3791079" TargetMode="External"/><Relationship Id="rId8" Type="http://schemas.openxmlformats.org/officeDocument/2006/relationships/hyperlink" Target="https://doi.org/10.1145/3772318.3791233" TargetMode="External"/><Relationship Id="rId20" Type="http://schemas.openxmlformats.org/officeDocument/2006/relationships/hyperlink" Target="https://doi.org/10.1145/3788646.3789536" TargetMode="External"/><Relationship Id="rId22" Type="http://schemas.openxmlformats.org/officeDocument/2006/relationships/vmlDrawing" Target="../drawings/vmlDrawing5.vml"/><Relationship Id="rId21" Type="http://schemas.openxmlformats.org/officeDocument/2006/relationships/drawing" Target="../drawings/drawing9.xml"/><Relationship Id="rId11" Type="http://schemas.openxmlformats.org/officeDocument/2006/relationships/hyperlink" Target="https://doi.org/10.1145/3772318.3791600" TargetMode="External"/><Relationship Id="rId10" Type="http://schemas.openxmlformats.org/officeDocument/2006/relationships/hyperlink" Target="https://doi.org/10.1145/3772318.3791365" TargetMode="External"/><Relationship Id="rId13" Type="http://schemas.openxmlformats.org/officeDocument/2006/relationships/hyperlink" Target="https://doi.org/10.1145/3772318.3791915" TargetMode="External"/><Relationship Id="rId12" Type="http://schemas.openxmlformats.org/officeDocument/2006/relationships/hyperlink" Target="https://doi.org/10.1145/3772318.3791851" TargetMode="External"/><Relationship Id="rId15" Type="http://schemas.openxmlformats.org/officeDocument/2006/relationships/hyperlink" Target="https://doi.org/10.1145/3772363.3799334" TargetMode="External"/><Relationship Id="rId14" Type="http://schemas.openxmlformats.org/officeDocument/2006/relationships/hyperlink" Target="https://doi.org/10.1145/3772363.3798705" TargetMode="External"/><Relationship Id="rId17" Type="http://schemas.openxmlformats.org/officeDocument/2006/relationships/hyperlink" Target="https://doi.org/10.1145/3776734.3794532" TargetMode="External"/><Relationship Id="rId16" Type="http://schemas.openxmlformats.org/officeDocument/2006/relationships/hyperlink" Target="https://doi.org/10.1145/3774904.3792506" TargetMode="External"/><Relationship Id="rId19" Type="http://schemas.openxmlformats.org/officeDocument/2006/relationships/hyperlink" Target="https://doi.org/10.1145/3786335.3813137" TargetMode="External"/><Relationship Id="rId18" Type="http://schemas.openxmlformats.org/officeDocument/2006/relationships/hyperlink" Target="https://doi.org/10.1145/3786304.378787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ieeexplore.ieee.org/stamp/stamp.jsp?arnumber=11449950" TargetMode="External"/><Relationship Id="rId2" Type="http://schemas.openxmlformats.org/officeDocument/2006/relationships/hyperlink" Target="https://ieeexplore.ieee.org/stamp/stamp.jsp?arnumber=10825538" TargetMode="External"/><Relationship Id="rId3" Type="http://schemas.openxmlformats.org/officeDocument/2006/relationships/hyperlink" Target="https://doi.org/10.1145/3703155" TargetMode="External"/><Relationship Id="rId4" Type="http://schemas.openxmlformats.org/officeDocument/2006/relationships/hyperlink" Target="https://doi.org/10.1145/3719160.3736618" TargetMode="External"/><Relationship Id="rId9" Type="http://schemas.openxmlformats.org/officeDocument/2006/relationships/hyperlink" Target="https://doi.org/10.1145/3772318.3791915" TargetMode="External"/><Relationship Id="rId5" Type="http://schemas.openxmlformats.org/officeDocument/2006/relationships/hyperlink" Target="https://doi.org/10.1145/3746027.3755778" TargetMode="External"/><Relationship Id="rId6" Type="http://schemas.openxmlformats.org/officeDocument/2006/relationships/hyperlink" Target="https://doi.org/10.1145/3772318.3790332" TargetMode="External"/><Relationship Id="rId7" Type="http://schemas.openxmlformats.org/officeDocument/2006/relationships/hyperlink" Target="https://doi.org/10.1145/3772318.3791079" TargetMode="External"/><Relationship Id="rId8" Type="http://schemas.openxmlformats.org/officeDocument/2006/relationships/hyperlink" Target="https://doi.org/10.1145/3772318.3791300" TargetMode="External"/><Relationship Id="rId11" Type="http://schemas.openxmlformats.org/officeDocument/2006/relationships/hyperlink" Target="https://doi.org/10.1145/3774904.3792506" TargetMode="External"/><Relationship Id="rId10" Type="http://schemas.openxmlformats.org/officeDocument/2006/relationships/hyperlink" Target="https://doi.org/10.1145/3772363.3798705" TargetMode="External"/><Relationship Id="rId13" Type="http://schemas.openxmlformats.org/officeDocument/2006/relationships/drawing" Target="../drawings/drawing10.xml"/><Relationship Id="rId12" Type="http://schemas.openxmlformats.org/officeDocument/2006/relationships/hyperlink" Target="https://doi.org/10.1145/3776734.3794532"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90" Type="http://schemas.openxmlformats.org/officeDocument/2006/relationships/hyperlink" Target="https://doi.org/10.1145/358027.358046" TargetMode="External"/><Relationship Id="rId194" Type="http://schemas.openxmlformats.org/officeDocument/2006/relationships/hyperlink" Target="https://doi.org/10.1145/3610027" TargetMode="External"/><Relationship Id="rId193" Type="http://schemas.openxmlformats.org/officeDocument/2006/relationships/hyperlink" Target="https://doi.org/10.1145/3605764.3623985" TargetMode="External"/><Relationship Id="rId192" Type="http://schemas.openxmlformats.org/officeDocument/2006/relationships/hyperlink" Target="https://doi.org/10.1145/3603269.3604880" TargetMode="External"/><Relationship Id="rId191" Type="http://schemas.openxmlformats.org/officeDocument/2006/relationships/hyperlink" Target="https://doi.org/10.1145/3582515.3609571" TargetMode="External"/><Relationship Id="rId187" Type="http://schemas.openxmlformats.org/officeDocument/2006/relationships/hyperlink" Target="https://doi.org/10.1145/3544793.3560382" TargetMode="External"/><Relationship Id="rId186" Type="http://schemas.openxmlformats.org/officeDocument/2006/relationships/hyperlink" Target="https://doi.org/10.1145/3544549.3582735" TargetMode="External"/><Relationship Id="rId185" Type="http://schemas.openxmlformats.org/officeDocument/2006/relationships/hyperlink" Target="https://doi.org/10.1145/3538225" TargetMode="External"/><Relationship Id="rId184" Type="http://schemas.openxmlformats.org/officeDocument/2006/relationships/hyperlink" Target="https://doi.org/10.1145/3528381" TargetMode="External"/><Relationship Id="rId189" Type="http://schemas.openxmlformats.org/officeDocument/2006/relationships/hyperlink" Target="https://doi.org/10.1145/3563456" TargetMode="External"/><Relationship Id="rId188" Type="http://schemas.openxmlformats.org/officeDocument/2006/relationships/hyperlink" Target="https://doi.org/10.1145/3555153" TargetMode="External"/><Relationship Id="rId183" Type="http://schemas.openxmlformats.org/officeDocument/2006/relationships/hyperlink" Target="https://doi.org/10.1145/3511047.3536406" TargetMode="External"/><Relationship Id="rId182" Type="http://schemas.openxmlformats.org/officeDocument/2006/relationships/hyperlink" Target="https://doi.org/10.1145/3492833" TargetMode="External"/><Relationship Id="rId181" Type="http://schemas.openxmlformats.org/officeDocument/2006/relationships/hyperlink" Target="https://doi.org/10.1145/3491102.3517546" TargetMode="External"/><Relationship Id="rId180" Type="http://schemas.openxmlformats.org/officeDocument/2006/relationships/hyperlink" Target="https://doi.org/10.1145/3461778.3462087" TargetMode="External"/><Relationship Id="rId176" Type="http://schemas.openxmlformats.org/officeDocument/2006/relationships/hyperlink" Target="https://doi.org/10.1145/3387514.3405863" TargetMode="External"/><Relationship Id="rId297" Type="http://schemas.openxmlformats.org/officeDocument/2006/relationships/hyperlink" Target="https://doi.org/10.1145/3772318.3790697" TargetMode="External"/><Relationship Id="rId175" Type="http://schemas.openxmlformats.org/officeDocument/2006/relationships/hyperlink" Target="https://doi.org/10.1145/3384473" TargetMode="External"/><Relationship Id="rId296" Type="http://schemas.openxmlformats.org/officeDocument/2006/relationships/hyperlink" Target="https://doi.org/10.1145/3772318.3790685" TargetMode="External"/><Relationship Id="rId174" Type="http://schemas.openxmlformats.org/officeDocument/2006/relationships/hyperlink" Target="https://doi.org/10.1145/3383668.3419909" TargetMode="External"/><Relationship Id="rId295" Type="http://schemas.openxmlformats.org/officeDocument/2006/relationships/hyperlink" Target="https://doi.org/10.1145/3772318.3790586" TargetMode="External"/><Relationship Id="rId173" Type="http://schemas.openxmlformats.org/officeDocument/2006/relationships/hyperlink" Target="https://doi.org/10.1145/3363459.3363540" TargetMode="External"/><Relationship Id="rId294" Type="http://schemas.openxmlformats.org/officeDocument/2006/relationships/hyperlink" Target="https://doi.org/10.1145/3772318.3790529" TargetMode="External"/><Relationship Id="rId179" Type="http://schemas.openxmlformats.org/officeDocument/2006/relationships/hyperlink" Target="https://doi.org/10.1145/3448018.3458007" TargetMode="External"/><Relationship Id="rId178" Type="http://schemas.openxmlformats.org/officeDocument/2006/relationships/hyperlink" Target="https://doi.org/10.1145/3442381.3449990" TargetMode="External"/><Relationship Id="rId299" Type="http://schemas.openxmlformats.org/officeDocument/2006/relationships/hyperlink" Target="https://doi.org/10.1145/3772318.3790812" TargetMode="External"/><Relationship Id="rId177" Type="http://schemas.openxmlformats.org/officeDocument/2006/relationships/hyperlink" Target="https://doi.org/10.1145/343048.343076" TargetMode="External"/><Relationship Id="rId298" Type="http://schemas.openxmlformats.org/officeDocument/2006/relationships/hyperlink" Target="https://doi.org/10.1145/3772318.3790739" TargetMode="External"/><Relationship Id="rId198" Type="http://schemas.openxmlformats.org/officeDocument/2006/relationships/hyperlink" Target="https://doi.org/10.1145/3630106.3659037" TargetMode="External"/><Relationship Id="rId197" Type="http://schemas.openxmlformats.org/officeDocument/2006/relationships/hyperlink" Target="https://doi.org/10.1145/3613904.3642159" TargetMode="External"/><Relationship Id="rId196" Type="http://schemas.openxmlformats.org/officeDocument/2006/relationships/hyperlink" Target="https://doi.org/10.1145/3613904.3642038" TargetMode="External"/><Relationship Id="rId195" Type="http://schemas.openxmlformats.org/officeDocument/2006/relationships/hyperlink" Target="https://doi.org/10.1145/3610073" TargetMode="External"/><Relationship Id="rId199" Type="http://schemas.openxmlformats.org/officeDocument/2006/relationships/hyperlink" Target="https://doi.org/10.1145/3637528.3671481" TargetMode="External"/><Relationship Id="rId150" Type="http://schemas.openxmlformats.org/officeDocument/2006/relationships/hyperlink" Target="https://doi.org/10.1145/2987550.2987579" TargetMode="External"/><Relationship Id="rId271" Type="http://schemas.openxmlformats.org/officeDocument/2006/relationships/hyperlink" Target="https://doi.org/10.1145/3757886" TargetMode="External"/><Relationship Id="rId392" Type="http://schemas.openxmlformats.org/officeDocument/2006/relationships/hyperlink" Target="https://doi.org/10.3115/991886.991970" TargetMode="External"/><Relationship Id="rId270" Type="http://schemas.openxmlformats.org/officeDocument/2006/relationships/hyperlink" Target="https://doi.org/10.1145/3757659" TargetMode="External"/><Relationship Id="rId391" Type="http://schemas.openxmlformats.org/officeDocument/2006/relationships/hyperlink" Target="https://doi.org/10.3115/991886.991938" TargetMode="External"/><Relationship Id="rId390" Type="http://schemas.openxmlformats.org/officeDocument/2006/relationships/hyperlink" Target="https://doi.org/10.3115/990820.990864" TargetMode="External"/><Relationship Id="rId1" Type="http://schemas.openxmlformats.org/officeDocument/2006/relationships/hyperlink" Target="https://doi.org/10.1007/978-3-642-24322-6_15" TargetMode="External"/><Relationship Id="rId2" Type="http://schemas.openxmlformats.org/officeDocument/2006/relationships/hyperlink" Target="https://doi.org/10.1007/978-3-642-24322-6_16" TargetMode="External"/><Relationship Id="rId3" Type="http://schemas.openxmlformats.org/officeDocument/2006/relationships/hyperlink" Target="https://doi.org/10.1007/978-3-642-24322-6_19" TargetMode="External"/><Relationship Id="rId149" Type="http://schemas.openxmlformats.org/officeDocument/2006/relationships/hyperlink" Target="https://doi.org/10.1145/2983927" TargetMode="External"/><Relationship Id="rId4" Type="http://schemas.openxmlformats.org/officeDocument/2006/relationships/hyperlink" Target="https://ieeexplore.ieee.org/stamp/stamp.jsp?arnumber=8372225" TargetMode="External"/><Relationship Id="rId148" Type="http://schemas.openxmlformats.org/officeDocument/2006/relationships/hyperlink" Target="https://doi.org/10.1145/2964284.2984067" TargetMode="External"/><Relationship Id="rId269" Type="http://schemas.openxmlformats.org/officeDocument/2006/relationships/hyperlink" Target="https://doi.org/10.1145/3757619" TargetMode="External"/><Relationship Id="rId9" Type="http://schemas.openxmlformats.org/officeDocument/2006/relationships/hyperlink" Target="https://ieeexplore.ieee.org/stamp/stamp.jsp?arnumber=11334577" TargetMode="External"/><Relationship Id="rId143" Type="http://schemas.openxmlformats.org/officeDocument/2006/relationships/hyperlink" Target="https://doi.org/10.1145/28395.28431" TargetMode="External"/><Relationship Id="rId264" Type="http://schemas.openxmlformats.org/officeDocument/2006/relationships/hyperlink" Target="https://doi.org/10.1145/375663.375720" TargetMode="External"/><Relationship Id="rId385" Type="http://schemas.openxmlformats.org/officeDocument/2006/relationships/hyperlink" Target="https://doi.org/10.3115/1117554.1117558" TargetMode="External"/><Relationship Id="rId142" Type="http://schemas.openxmlformats.org/officeDocument/2006/relationships/hyperlink" Target="https://doi.org/10.1145/2830903.2830908" TargetMode="External"/><Relationship Id="rId263" Type="http://schemas.openxmlformats.org/officeDocument/2006/relationships/hyperlink" Target="https://doi.org/10.1145/3748620" TargetMode="External"/><Relationship Id="rId384" Type="http://schemas.openxmlformats.org/officeDocument/2006/relationships/hyperlink" Target="https://doi.org/10.1613/jair.1.17654" TargetMode="External"/><Relationship Id="rId141" Type="http://schemas.openxmlformats.org/officeDocument/2006/relationships/hyperlink" Target="https://doi.org/10.1145/2807591.2807636" TargetMode="External"/><Relationship Id="rId262" Type="http://schemas.openxmlformats.org/officeDocument/2006/relationships/hyperlink" Target="https://doi.org/10.1145/3746252.3761448" TargetMode="External"/><Relationship Id="rId383" Type="http://schemas.openxmlformats.org/officeDocument/2006/relationships/hyperlink" Target="https://doi.org/10.14778/3476311.3476373" TargetMode="External"/><Relationship Id="rId140" Type="http://schemas.openxmlformats.org/officeDocument/2006/relationships/hyperlink" Target="https://doi.org/10.1145/2806777.2806850" TargetMode="External"/><Relationship Id="rId261" Type="http://schemas.openxmlformats.org/officeDocument/2006/relationships/hyperlink" Target="https://doi.org/10.1145/3746252.3761151" TargetMode="External"/><Relationship Id="rId382" Type="http://schemas.openxmlformats.org/officeDocument/2006/relationships/hyperlink" Target="https://doi.org/10.14778/3025111.3025113" TargetMode="External"/><Relationship Id="rId5" Type="http://schemas.openxmlformats.org/officeDocument/2006/relationships/hyperlink" Target="https://ieeexplore.ieee.org/stamp/stamp.jsp?arnumber=735370" TargetMode="External"/><Relationship Id="rId147" Type="http://schemas.openxmlformats.org/officeDocument/2006/relationships/hyperlink" Target="https://doi.org/10.1145/296336.296354" TargetMode="External"/><Relationship Id="rId268" Type="http://schemas.openxmlformats.org/officeDocument/2006/relationships/hyperlink" Target="https://doi.org/10.1145/3757544" TargetMode="External"/><Relationship Id="rId389" Type="http://schemas.openxmlformats.org/officeDocument/2006/relationships/hyperlink" Target="https://doi.org/10.3115/981436.981467" TargetMode="External"/><Relationship Id="rId6" Type="http://schemas.openxmlformats.org/officeDocument/2006/relationships/hyperlink" Target="https://ieeexplore.ieee.org/stamp/stamp.jsp?arnumber=11467909" TargetMode="External"/><Relationship Id="rId146" Type="http://schemas.openxmlformats.org/officeDocument/2006/relationships/hyperlink" Target="https://doi.org/10.1145/2933349.2933359" TargetMode="External"/><Relationship Id="rId267" Type="http://schemas.openxmlformats.org/officeDocument/2006/relationships/hyperlink" Target="https://doi.org/10.1145/3757442" TargetMode="External"/><Relationship Id="rId388" Type="http://schemas.openxmlformats.org/officeDocument/2006/relationships/hyperlink" Target="https://doi.org/10.3115/981175.981177" TargetMode="External"/><Relationship Id="rId7" Type="http://schemas.openxmlformats.org/officeDocument/2006/relationships/hyperlink" Target="https://ieeexplore.ieee.org/stamp/stamp.jsp?arnumber=10771051" TargetMode="External"/><Relationship Id="rId145" Type="http://schemas.openxmlformats.org/officeDocument/2006/relationships/hyperlink" Target="https://doi.org/10.1145/2901318.2901337" TargetMode="External"/><Relationship Id="rId266" Type="http://schemas.openxmlformats.org/officeDocument/2006/relationships/hyperlink" Target="https://doi.org/10.1145/3757424" TargetMode="External"/><Relationship Id="rId387" Type="http://schemas.openxmlformats.org/officeDocument/2006/relationships/hyperlink" Target="https://doi.org/10.3115/980262.980281" TargetMode="External"/><Relationship Id="rId8" Type="http://schemas.openxmlformats.org/officeDocument/2006/relationships/hyperlink" Target="https://ieeexplore.ieee.org/stamp/stamp.jsp?arnumber=11449950" TargetMode="External"/><Relationship Id="rId144" Type="http://schemas.openxmlformats.org/officeDocument/2006/relationships/hyperlink" Target="https://doi.org/10.1145/2897824.2925888" TargetMode="External"/><Relationship Id="rId265" Type="http://schemas.openxmlformats.org/officeDocument/2006/relationships/hyperlink" Target="https://doi.org/10.1145/3757279.3785553" TargetMode="External"/><Relationship Id="rId386" Type="http://schemas.openxmlformats.org/officeDocument/2006/relationships/hyperlink" Target="https://doi.org/10.3115/1220175.1220289" TargetMode="External"/><Relationship Id="rId260" Type="http://schemas.openxmlformats.org/officeDocument/2006/relationships/hyperlink" Target="https://doi.org/10.1145/3746059.3747680" TargetMode="External"/><Relationship Id="rId381" Type="http://schemas.openxmlformats.org/officeDocument/2006/relationships/hyperlink" Target="https://doi.org/10.14778/2947618.2947625" TargetMode="External"/><Relationship Id="rId380" Type="http://schemas.openxmlformats.org/officeDocument/2006/relationships/hyperlink" Target="https://doi.org/10.14778/1938545.1938549" TargetMode="External"/><Relationship Id="rId139" Type="http://schemas.openxmlformats.org/officeDocument/2006/relationships/hyperlink" Target="https://doi.org/10.1145/2798729" TargetMode="External"/><Relationship Id="rId138" Type="http://schemas.openxmlformats.org/officeDocument/2006/relationships/hyperlink" Target="https://doi.org/10.1145/2791285" TargetMode="External"/><Relationship Id="rId259" Type="http://schemas.openxmlformats.org/officeDocument/2006/relationships/hyperlink" Target="https://doi.org/10.1145/3746058.3758468" TargetMode="External"/><Relationship Id="rId137" Type="http://schemas.openxmlformats.org/officeDocument/2006/relationships/hyperlink" Target="https://doi.org/10.1145/2771937.2771939" TargetMode="External"/><Relationship Id="rId258" Type="http://schemas.openxmlformats.org/officeDocument/2006/relationships/hyperlink" Target="https://doi.org/10.1145/3746027.3755778" TargetMode="External"/><Relationship Id="rId379" Type="http://schemas.openxmlformats.org/officeDocument/2006/relationships/hyperlink" Target="https://doi.org/10.14778/1920841.1921015" TargetMode="External"/><Relationship Id="rId132" Type="http://schemas.openxmlformats.org/officeDocument/2006/relationships/hyperlink" Target="https://doi.org/10.1145/2723372.2742798" TargetMode="External"/><Relationship Id="rId253" Type="http://schemas.openxmlformats.org/officeDocument/2006/relationships/hyperlink" Target="https://doi.org/10.1145/3742413.3789147" TargetMode="External"/><Relationship Id="rId374" Type="http://schemas.openxmlformats.org/officeDocument/2006/relationships/hyperlink" Target="https://doi.org/10.1145/63047.63088" TargetMode="External"/><Relationship Id="rId131" Type="http://schemas.openxmlformats.org/officeDocument/2006/relationships/hyperlink" Target="https://doi.org/10.1145/2700312" TargetMode="External"/><Relationship Id="rId252" Type="http://schemas.openxmlformats.org/officeDocument/2006/relationships/hyperlink" Target="https://doi.org/10.1145/3742413.3789136" TargetMode="External"/><Relationship Id="rId373" Type="http://schemas.openxmlformats.org/officeDocument/2006/relationships/hyperlink" Target="https://doi.org/10.1145/581710.581733" TargetMode="External"/><Relationship Id="rId130" Type="http://schemas.openxmlformats.org/officeDocument/2006/relationships/hyperlink" Target="https://doi.org/10.1145/2668260.2668291" TargetMode="External"/><Relationship Id="rId251" Type="http://schemas.openxmlformats.org/officeDocument/2006/relationships/hyperlink" Target="https://doi.org/10.1145/3742413.3789123" TargetMode="External"/><Relationship Id="rId372" Type="http://schemas.openxmlformats.org/officeDocument/2006/relationships/hyperlink" Target="https://doi.org/10.1145/514236.514248" TargetMode="External"/><Relationship Id="rId250" Type="http://schemas.openxmlformats.org/officeDocument/2006/relationships/hyperlink" Target="https://doi.org/10.1145/3742413.3789120" TargetMode="External"/><Relationship Id="rId371" Type="http://schemas.openxmlformats.org/officeDocument/2006/relationships/hyperlink" Target="https://doi.org/10.1145/381807.381810" TargetMode="External"/><Relationship Id="rId136" Type="http://schemas.openxmlformats.org/officeDocument/2006/relationships/hyperlink" Target="https://doi.org/10.1145/2757667.2757680" TargetMode="External"/><Relationship Id="rId257" Type="http://schemas.openxmlformats.org/officeDocument/2006/relationships/hyperlink" Target="https://doi.org/10.1145/3744169.3744195" TargetMode="External"/><Relationship Id="rId378" Type="http://schemas.openxmlformats.org/officeDocument/2006/relationships/hyperlink" Target="https://doi.org/10.14236/ewic/BCSHCI2025.10" TargetMode="External"/><Relationship Id="rId135" Type="http://schemas.openxmlformats.org/officeDocument/2006/relationships/hyperlink" Target="https://doi.org/10.1145/274644.274667" TargetMode="External"/><Relationship Id="rId256" Type="http://schemas.openxmlformats.org/officeDocument/2006/relationships/hyperlink" Target="https://doi.org/10.1145/3744169.3744194" TargetMode="External"/><Relationship Id="rId377" Type="http://schemas.openxmlformats.org/officeDocument/2006/relationships/hyperlink" Target="https://doi.org/10.1145/764008.763957" TargetMode="External"/><Relationship Id="rId134" Type="http://schemas.openxmlformats.org/officeDocument/2006/relationships/hyperlink" Target="https://doi.org/10.1145/2742488" TargetMode="External"/><Relationship Id="rId255" Type="http://schemas.openxmlformats.org/officeDocument/2006/relationships/hyperlink" Target="https://doi.org/10.1145/3742413.3789223" TargetMode="External"/><Relationship Id="rId376" Type="http://schemas.openxmlformats.org/officeDocument/2006/relationships/hyperlink" Target="https://doi.org/10.1145/67544.66934" TargetMode="External"/><Relationship Id="rId133" Type="http://schemas.openxmlformats.org/officeDocument/2006/relationships/hyperlink" Target="https://doi.org/10.1145/2741948.2741956" TargetMode="External"/><Relationship Id="rId254" Type="http://schemas.openxmlformats.org/officeDocument/2006/relationships/hyperlink" Target="https://doi.org/10.1145/3742413.3789218" TargetMode="External"/><Relationship Id="rId375" Type="http://schemas.openxmlformats.org/officeDocument/2006/relationships/hyperlink" Target="https://doi.org/10.1145/6617.6618" TargetMode="External"/><Relationship Id="rId172" Type="http://schemas.openxmlformats.org/officeDocument/2006/relationships/hyperlink" Target="https://doi.org/10.1145/3339458" TargetMode="External"/><Relationship Id="rId293" Type="http://schemas.openxmlformats.org/officeDocument/2006/relationships/hyperlink" Target="https://doi.org/10.1145/3772318.3790461" TargetMode="External"/><Relationship Id="rId171" Type="http://schemas.openxmlformats.org/officeDocument/2006/relationships/hyperlink" Target="https://doi.org/10.1145/3331543.3342580" TargetMode="External"/><Relationship Id="rId292" Type="http://schemas.openxmlformats.org/officeDocument/2006/relationships/hyperlink" Target="https://doi.org/10.1145/3772318.3790456" TargetMode="External"/><Relationship Id="rId170" Type="http://schemas.openxmlformats.org/officeDocument/2006/relationships/hyperlink" Target="https://doi.org/10.1145/333140.333146" TargetMode="External"/><Relationship Id="rId291" Type="http://schemas.openxmlformats.org/officeDocument/2006/relationships/hyperlink" Target="https://doi.org/10.1145/3772318.3790388" TargetMode="External"/><Relationship Id="rId290" Type="http://schemas.openxmlformats.org/officeDocument/2006/relationships/hyperlink" Target="https://doi.org/10.1145/3772318.3790385" TargetMode="External"/><Relationship Id="rId165" Type="http://schemas.openxmlformats.org/officeDocument/2006/relationships/hyperlink" Target="https://doi.org/10.1145/3297858.3304022" TargetMode="External"/><Relationship Id="rId286" Type="http://schemas.openxmlformats.org/officeDocument/2006/relationships/hyperlink" Target="https://doi.org/10.1145/3772318.3790303" TargetMode="External"/><Relationship Id="rId164" Type="http://schemas.openxmlformats.org/officeDocument/2006/relationships/hyperlink" Target="https://doi.org/10.1145/3290607.3312915" TargetMode="External"/><Relationship Id="rId285" Type="http://schemas.openxmlformats.org/officeDocument/2006/relationships/hyperlink" Target="https://doi.org/10.1145/3772318.3790292" TargetMode="External"/><Relationship Id="rId163" Type="http://schemas.openxmlformats.org/officeDocument/2006/relationships/hyperlink" Target="https://doi.org/10.1145/3289604" TargetMode="External"/><Relationship Id="rId284" Type="http://schemas.openxmlformats.org/officeDocument/2006/relationships/hyperlink" Target="https://doi.org/10.1145/3772318.3790279" TargetMode="External"/><Relationship Id="rId162" Type="http://schemas.openxmlformats.org/officeDocument/2006/relationships/hyperlink" Target="https://doi.org/10.1145/3273982.3273989" TargetMode="External"/><Relationship Id="rId283" Type="http://schemas.openxmlformats.org/officeDocument/2006/relationships/hyperlink" Target="https://doi.org/10.1145/3772318.3790271" TargetMode="External"/><Relationship Id="rId169" Type="http://schemas.openxmlformats.org/officeDocument/2006/relationships/hyperlink" Target="https://doi.org/10.1145/3330393.3330402" TargetMode="External"/><Relationship Id="rId168" Type="http://schemas.openxmlformats.org/officeDocument/2006/relationships/hyperlink" Target="https://doi.org/10.1145/332040.332406" TargetMode="External"/><Relationship Id="rId289" Type="http://schemas.openxmlformats.org/officeDocument/2006/relationships/hyperlink" Target="https://doi.org/10.1145/3772318.3790358" TargetMode="External"/><Relationship Id="rId167" Type="http://schemas.openxmlformats.org/officeDocument/2006/relationships/hyperlink" Target="https://doi.org/10.1145/3313831.3376612" TargetMode="External"/><Relationship Id="rId288" Type="http://schemas.openxmlformats.org/officeDocument/2006/relationships/hyperlink" Target="https://doi.org/10.1145/3772318.3790340" TargetMode="External"/><Relationship Id="rId166" Type="http://schemas.openxmlformats.org/officeDocument/2006/relationships/hyperlink" Target="https://doi.org/10.1145/3308558.3313400" TargetMode="External"/><Relationship Id="rId287" Type="http://schemas.openxmlformats.org/officeDocument/2006/relationships/hyperlink" Target="https://doi.org/10.1145/3772318.3790332" TargetMode="External"/><Relationship Id="rId161" Type="http://schemas.openxmlformats.org/officeDocument/2006/relationships/hyperlink" Target="https://doi.org/10.1145/3267809.3267847" TargetMode="External"/><Relationship Id="rId282" Type="http://schemas.openxmlformats.org/officeDocument/2006/relationships/hyperlink" Target="https://doi.org/10.1145/3770749" TargetMode="External"/><Relationship Id="rId160" Type="http://schemas.openxmlformats.org/officeDocument/2006/relationships/hyperlink" Target="https://doi.org/10.1145/3241038" TargetMode="External"/><Relationship Id="rId281" Type="http://schemas.openxmlformats.org/officeDocument/2006/relationships/hyperlink" Target="https://doi.org/10.1145/3769689" TargetMode="External"/><Relationship Id="rId280" Type="http://schemas.openxmlformats.org/officeDocument/2006/relationships/hyperlink" Target="https://doi.org/10.1145/3769686" TargetMode="External"/><Relationship Id="rId159" Type="http://schemas.openxmlformats.org/officeDocument/2006/relationships/hyperlink" Target="https://doi.org/10.1145/3232162" TargetMode="External"/><Relationship Id="rId154" Type="http://schemas.openxmlformats.org/officeDocument/2006/relationships/hyperlink" Target="https://doi.org/10.1145/3056662.3056667" TargetMode="External"/><Relationship Id="rId275" Type="http://schemas.openxmlformats.org/officeDocument/2006/relationships/hyperlink" Target="https://doi.org/10.1145/3765766.3765852" TargetMode="External"/><Relationship Id="rId396" Type="http://schemas.openxmlformats.org/officeDocument/2006/relationships/drawing" Target="../drawings/drawing12.xml"/><Relationship Id="rId153" Type="http://schemas.openxmlformats.org/officeDocument/2006/relationships/hyperlink" Target="https://doi.org/10.1145/3041960" TargetMode="External"/><Relationship Id="rId274" Type="http://schemas.openxmlformats.org/officeDocument/2006/relationships/hyperlink" Target="https://doi.org/10.1145/3764687.3764716" TargetMode="External"/><Relationship Id="rId395" Type="http://schemas.openxmlformats.org/officeDocument/2006/relationships/hyperlink" Target="https://ieeexplore.ieee.org/stamp/stamp.jsp?arnumber=6921105" TargetMode="External"/><Relationship Id="rId152" Type="http://schemas.openxmlformats.org/officeDocument/2006/relationships/hyperlink" Target="https://doi.org/10.1145/3033273" TargetMode="External"/><Relationship Id="rId273" Type="http://schemas.openxmlformats.org/officeDocument/2006/relationships/hyperlink" Target="https://doi.org/10.1145/3762989" TargetMode="External"/><Relationship Id="rId394" Type="http://schemas.openxmlformats.org/officeDocument/2006/relationships/hyperlink" Target="https://ieeexplore.ieee.org/xpl/ebooks/bookPdfWithBanner.jsp?fileName=8646901.pdf&amp;bkn=8646803&amp;pdfType=chapter" TargetMode="External"/><Relationship Id="rId151" Type="http://schemas.openxmlformats.org/officeDocument/2006/relationships/hyperlink" Target="https://doi.org/10.1145/3007210" TargetMode="External"/><Relationship Id="rId272" Type="http://schemas.openxmlformats.org/officeDocument/2006/relationships/hyperlink" Target="https://doi.org/10.1145/3758871.3758905" TargetMode="External"/><Relationship Id="rId393" Type="http://schemas.openxmlformats.org/officeDocument/2006/relationships/hyperlink" Target="https://ieeexplore.ieee.org/stamp/stamp.jsp?arnumber=11270034" TargetMode="External"/><Relationship Id="rId158" Type="http://schemas.openxmlformats.org/officeDocument/2006/relationships/hyperlink" Target="https://doi.org/10.1145/3126594.3126640" TargetMode="External"/><Relationship Id="rId279" Type="http://schemas.openxmlformats.org/officeDocument/2006/relationships/hyperlink" Target="https://doi.org/10.1145/3769126.3769241" TargetMode="External"/><Relationship Id="rId157" Type="http://schemas.openxmlformats.org/officeDocument/2006/relationships/hyperlink" Target="https://doi.org/10.1145/309831.309929" TargetMode="External"/><Relationship Id="rId278" Type="http://schemas.openxmlformats.org/officeDocument/2006/relationships/hyperlink" Target="https://doi.org/10.1145/3768165" TargetMode="External"/><Relationship Id="rId156" Type="http://schemas.openxmlformats.org/officeDocument/2006/relationships/hyperlink" Target="https://doi.org/10.1145/3085574" TargetMode="External"/><Relationship Id="rId277" Type="http://schemas.openxmlformats.org/officeDocument/2006/relationships/hyperlink" Target="https://doi.org/10.1145/3767695.3769511" TargetMode="External"/><Relationship Id="rId155" Type="http://schemas.openxmlformats.org/officeDocument/2006/relationships/hyperlink" Target="https://doi.org/10.1145/3078468.3078471" TargetMode="External"/><Relationship Id="rId276" Type="http://schemas.openxmlformats.org/officeDocument/2006/relationships/hyperlink" Target="https://doi.org/10.1145/3767154" TargetMode="External"/><Relationship Id="rId40" Type="http://schemas.openxmlformats.org/officeDocument/2006/relationships/hyperlink" Target="https://doi.org/10.1109/TNET.2017.2669215" TargetMode="External"/><Relationship Id="rId42" Type="http://schemas.openxmlformats.org/officeDocument/2006/relationships/hyperlink" Target="https://ieeexplore.ieee.org/stamp/stamp.jsp?arnumber=11189226" TargetMode="External"/><Relationship Id="rId41" Type="http://schemas.openxmlformats.org/officeDocument/2006/relationships/hyperlink" Target="https://ieeexplore.ieee.org/stamp/stamp.jsp?arnumber=11029593" TargetMode="External"/><Relationship Id="rId44" Type="http://schemas.openxmlformats.org/officeDocument/2006/relationships/hyperlink" Target="https://doi.org/10.1145/1045264.1045265" TargetMode="External"/><Relationship Id="rId43" Type="http://schemas.openxmlformats.org/officeDocument/2006/relationships/hyperlink" Target="https://doi.org/10.1145/1037911.1037917" TargetMode="External"/><Relationship Id="rId46" Type="http://schemas.openxmlformats.org/officeDocument/2006/relationships/hyperlink" Target="https://doi.org/10.1145/1120212.1120419" TargetMode="External"/><Relationship Id="rId45" Type="http://schemas.openxmlformats.org/officeDocument/2006/relationships/hyperlink" Target="https://doi.org/10.1145/1088222.1088226" TargetMode="External"/><Relationship Id="rId48" Type="http://schemas.openxmlformats.org/officeDocument/2006/relationships/hyperlink" Target="https://doi.org/10.1145/1216295.1216357" TargetMode="External"/><Relationship Id="rId47" Type="http://schemas.openxmlformats.org/officeDocument/2006/relationships/hyperlink" Target="https://doi.org/10.1145/1141880.1523452" TargetMode="External"/><Relationship Id="rId49" Type="http://schemas.openxmlformats.org/officeDocument/2006/relationships/hyperlink" Target="https://doi.org/10.1145/122153.122159" TargetMode="External"/><Relationship Id="rId31" Type="http://schemas.openxmlformats.org/officeDocument/2006/relationships/hyperlink" Target="https://ieeexplore.ieee.org/stamp/stamp.jsp?arnumber=11269633" TargetMode="External"/><Relationship Id="rId30" Type="http://schemas.openxmlformats.org/officeDocument/2006/relationships/hyperlink" Target="https://doi.org/10.1109/ISCA.2016.15" TargetMode="External"/><Relationship Id="rId33" Type="http://schemas.openxmlformats.org/officeDocument/2006/relationships/hyperlink" Target="https://ieeexplore.ieee.org/stamp/stamp.jsp?arnumber=11345775" TargetMode="External"/><Relationship Id="rId32" Type="http://schemas.openxmlformats.org/officeDocument/2006/relationships/hyperlink" Target="https://ieeexplore.ieee.org/stamp/stamp.jsp?arnumber=4580542" TargetMode="External"/><Relationship Id="rId35" Type="http://schemas.openxmlformats.org/officeDocument/2006/relationships/hyperlink" Target="https://ieeexplore.ieee.org/stamp/stamp.jsp?arnumber=11424465" TargetMode="External"/><Relationship Id="rId34" Type="http://schemas.openxmlformats.org/officeDocument/2006/relationships/hyperlink" Target="https://ieeexplore.ieee.org/stamp/stamp.jsp?arnumber=11037824" TargetMode="External"/><Relationship Id="rId37" Type="http://schemas.openxmlformats.org/officeDocument/2006/relationships/hyperlink" Target="https://ieeexplore.ieee.org/stamp/stamp.jsp?arnumber=10820709" TargetMode="External"/><Relationship Id="rId36" Type="http://schemas.openxmlformats.org/officeDocument/2006/relationships/hyperlink" Target="https://doi.org/10.1109/SCW63240.2024.00017" TargetMode="External"/><Relationship Id="rId39" Type="http://schemas.openxmlformats.org/officeDocument/2006/relationships/hyperlink" Target="https://ieeexplore.ieee.org/stamp/stamp.jsp?arnumber=5427110" TargetMode="External"/><Relationship Id="rId38" Type="http://schemas.openxmlformats.org/officeDocument/2006/relationships/hyperlink" Target="https://ieeexplore.ieee.org/stamp/stamp.jsp?arnumber=11531012" TargetMode="External"/><Relationship Id="rId20" Type="http://schemas.openxmlformats.org/officeDocument/2006/relationships/hyperlink" Target="https://ieeexplore.ieee.org/stamp/stamp.jsp?arnumber=10585495" TargetMode="External"/><Relationship Id="rId22" Type="http://schemas.openxmlformats.org/officeDocument/2006/relationships/hyperlink" Target="https://ieeexplore.ieee.org/stamp/stamp.jsp?arnumber=11508939" TargetMode="External"/><Relationship Id="rId21" Type="http://schemas.openxmlformats.org/officeDocument/2006/relationships/hyperlink" Target="https://ieeexplore.ieee.org/stamp/stamp.jsp?arnumber=10590666" TargetMode="External"/><Relationship Id="rId24" Type="http://schemas.openxmlformats.org/officeDocument/2006/relationships/hyperlink" Target="https://ieeexplore.ieee.org/stamp/stamp.jsp?arnumber=11462217" TargetMode="External"/><Relationship Id="rId23" Type="http://schemas.openxmlformats.org/officeDocument/2006/relationships/hyperlink" Target="https://ieeexplore.ieee.org/stamp/stamp.jsp?arnumber=11460702" TargetMode="External"/><Relationship Id="rId26" Type="http://schemas.openxmlformats.org/officeDocument/2006/relationships/hyperlink" Target="https://ieeexplore.ieee.org/stamp/stamp.jsp?arnumber=6056911" TargetMode="External"/><Relationship Id="rId25" Type="http://schemas.openxmlformats.org/officeDocument/2006/relationships/hyperlink" Target="https://ieeexplore.ieee.org/stamp/stamp.jsp?arnumber=5409737" TargetMode="External"/><Relationship Id="rId28" Type="http://schemas.openxmlformats.org/officeDocument/2006/relationships/hyperlink" Target="https://ieeexplore.ieee.org/stamp/stamp.jsp?arnumber=4299963" TargetMode="External"/><Relationship Id="rId27" Type="http://schemas.openxmlformats.org/officeDocument/2006/relationships/hyperlink" Target="https://ieeexplore.ieee.org/stamp/stamp.jsp?arnumber=11521627" TargetMode="External"/><Relationship Id="rId29" Type="http://schemas.openxmlformats.org/officeDocument/2006/relationships/hyperlink" Target="https://ieeexplore.ieee.org/stamp/stamp.jsp?arnumber=1431446" TargetMode="External"/><Relationship Id="rId11" Type="http://schemas.openxmlformats.org/officeDocument/2006/relationships/hyperlink" Target="https://doi.org/10.1109/ASONAM49781.2020.9381292" TargetMode="External"/><Relationship Id="rId10" Type="http://schemas.openxmlformats.org/officeDocument/2006/relationships/hyperlink" Target="https://ieeexplore.ieee.org/stamp/stamp.jsp?arnumber=9381292" TargetMode="External"/><Relationship Id="rId13" Type="http://schemas.openxmlformats.org/officeDocument/2006/relationships/hyperlink" Target="https://ieeexplore.ieee.org/stamp/stamp.jsp?arnumber=11400739" TargetMode="External"/><Relationship Id="rId12" Type="http://schemas.openxmlformats.org/officeDocument/2006/relationships/hyperlink" Target="https://ieeexplore.ieee.org/stamp/stamp.jsp?arnumber=10825538" TargetMode="External"/><Relationship Id="rId15" Type="http://schemas.openxmlformats.org/officeDocument/2006/relationships/hyperlink" Target="https://doi.org/10.1109/CCGrid.2015.115" TargetMode="External"/><Relationship Id="rId14" Type="http://schemas.openxmlformats.org/officeDocument/2006/relationships/hyperlink" Target="https://doi.org/10.1109/CCGrid.2012.84" TargetMode="External"/><Relationship Id="rId17" Type="http://schemas.openxmlformats.org/officeDocument/2006/relationships/hyperlink" Target="https://doi.org/10.1109/CCGRID.2017.49" TargetMode="External"/><Relationship Id="rId16" Type="http://schemas.openxmlformats.org/officeDocument/2006/relationships/hyperlink" Target="https://doi.org/10.1109/CCGrid.2015.150" TargetMode="External"/><Relationship Id="rId19" Type="http://schemas.openxmlformats.org/officeDocument/2006/relationships/hyperlink" Target="https://ieeexplore.ieee.org/stamp/stamp.jsp?arnumber=11519295" TargetMode="External"/><Relationship Id="rId18" Type="http://schemas.openxmlformats.org/officeDocument/2006/relationships/hyperlink" Target="https://ieeexplore.ieee.org/stamp/stamp.jsp?arnumber=1554950" TargetMode="External"/><Relationship Id="rId84" Type="http://schemas.openxmlformats.org/officeDocument/2006/relationships/hyperlink" Target="https://doi.org/10.1145/1965724.1965747" TargetMode="External"/><Relationship Id="rId83" Type="http://schemas.openxmlformats.org/officeDocument/2006/relationships/hyperlink" Target="https://doi.org/10.1145/1965724.1965746" TargetMode="External"/><Relationship Id="rId86" Type="http://schemas.openxmlformats.org/officeDocument/2006/relationships/hyperlink" Target="https://doi.org/10.1145/1978942.1979209" TargetMode="External"/><Relationship Id="rId85" Type="http://schemas.openxmlformats.org/officeDocument/2006/relationships/hyperlink" Target="https://doi.org/10.1145/196734.196738" TargetMode="External"/><Relationship Id="rId88" Type="http://schemas.openxmlformats.org/officeDocument/2006/relationships/hyperlink" Target="https://doi.org/10.1145/1989323.1989461" TargetMode="External"/><Relationship Id="rId87" Type="http://schemas.openxmlformats.org/officeDocument/2006/relationships/hyperlink" Target="https://doi.org/10.1145/1989323.1989327" TargetMode="External"/><Relationship Id="rId89" Type="http://schemas.openxmlformats.org/officeDocument/2006/relationships/hyperlink" Target="https://doi.org/10.1145/1995896.1995926" TargetMode="External"/><Relationship Id="rId80" Type="http://schemas.openxmlformats.org/officeDocument/2006/relationships/hyperlink" Target="https://doi.org/10.1145/1899928.1899942" TargetMode="External"/><Relationship Id="rId82" Type="http://schemas.openxmlformats.org/officeDocument/2006/relationships/hyperlink" Target="https://doi.org/10.1145/1945023.1945029" TargetMode="External"/><Relationship Id="rId81" Type="http://schemas.openxmlformats.org/officeDocument/2006/relationships/hyperlink" Target="https://doi.org/10.1145/1944862.1944886" TargetMode="External"/><Relationship Id="rId73" Type="http://schemas.openxmlformats.org/officeDocument/2006/relationships/hyperlink" Target="https://doi.org/10.1145/1809980.1810034" TargetMode="External"/><Relationship Id="rId72" Type="http://schemas.openxmlformats.org/officeDocument/2006/relationships/hyperlink" Target="https://doi.org/10.1145/1807167.1807324" TargetMode="External"/><Relationship Id="rId75" Type="http://schemas.openxmlformats.org/officeDocument/2006/relationships/hyperlink" Target="https://doi.org/10.1145/1823838.1823840" TargetMode="External"/><Relationship Id="rId74" Type="http://schemas.openxmlformats.org/officeDocument/2006/relationships/hyperlink" Target="https://doi.org/10.1145/1815961.1816002" TargetMode="External"/><Relationship Id="rId77" Type="http://schemas.openxmlformats.org/officeDocument/2006/relationships/hyperlink" Target="https://doi.org/10.1145/1839676.1839692" TargetMode="External"/><Relationship Id="rId76" Type="http://schemas.openxmlformats.org/officeDocument/2006/relationships/hyperlink" Target="https://doi.org/10.1145/1837915.1837918" TargetMode="External"/><Relationship Id="rId79" Type="http://schemas.openxmlformats.org/officeDocument/2006/relationships/hyperlink" Target="https://doi.org/10.1145/1866296.1866298" TargetMode="External"/><Relationship Id="rId78" Type="http://schemas.openxmlformats.org/officeDocument/2006/relationships/hyperlink" Target="https://doi.org/10.1145/1866029.1866078" TargetMode="External"/><Relationship Id="rId71" Type="http://schemas.openxmlformats.org/officeDocument/2006/relationships/hyperlink" Target="https://doi.org/10.1145/1807167.1807194" TargetMode="External"/><Relationship Id="rId70" Type="http://schemas.openxmlformats.org/officeDocument/2006/relationships/hyperlink" Target="https://doi.org/10.1145/1807128.1807164" TargetMode="External"/><Relationship Id="rId62" Type="http://schemas.openxmlformats.org/officeDocument/2006/relationships/hyperlink" Target="https://doi.org/10.1145/1640089.1640127" TargetMode="External"/><Relationship Id="rId61" Type="http://schemas.openxmlformats.org/officeDocument/2006/relationships/hyperlink" Target="https://doi.org/10.1145/1629575.1629577" TargetMode="External"/><Relationship Id="rId64" Type="http://schemas.openxmlformats.org/officeDocument/2006/relationships/hyperlink" Target="https://doi.org/10.1145/1740390.1740408" TargetMode="External"/><Relationship Id="rId63" Type="http://schemas.openxmlformats.org/officeDocument/2006/relationships/hyperlink" Target="https://doi.org/10.1145/1740390.1740407" TargetMode="External"/><Relationship Id="rId66" Type="http://schemas.openxmlformats.org/officeDocument/2006/relationships/hyperlink" Target="https://doi.org/10.1145/175208.175220" TargetMode="External"/><Relationship Id="rId65" Type="http://schemas.openxmlformats.org/officeDocument/2006/relationships/hyperlink" Target="https://doi.org/10.1145/174690.174697" TargetMode="External"/><Relationship Id="rId68" Type="http://schemas.openxmlformats.org/officeDocument/2006/relationships/hyperlink" Target="https://doi.org/10.1145/1791314.1791347" TargetMode="External"/><Relationship Id="rId67" Type="http://schemas.openxmlformats.org/officeDocument/2006/relationships/hyperlink" Target="https://doi.org/10.1145/1755913.1755916" TargetMode="External"/><Relationship Id="rId60" Type="http://schemas.openxmlformats.org/officeDocument/2006/relationships/hyperlink" Target="https://doi.org/10.1145/1621890.1621914" TargetMode="External"/><Relationship Id="rId69" Type="http://schemas.openxmlformats.org/officeDocument/2006/relationships/hyperlink" Target="https://doi.org/10.1145/1807060.1807061" TargetMode="External"/><Relationship Id="rId51" Type="http://schemas.openxmlformats.org/officeDocument/2006/relationships/hyperlink" Target="https://doi.org/10.1145/1274000.1274062" TargetMode="External"/><Relationship Id="rId50" Type="http://schemas.openxmlformats.org/officeDocument/2006/relationships/hyperlink" Target="https://doi.org/10.1145/122153.122160" TargetMode="External"/><Relationship Id="rId53" Type="http://schemas.openxmlformats.org/officeDocument/2006/relationships/hyperlink" Target="https://doi.org/10.1145/1394669.1394689" TargetMode="External"/><Relationship Id="rId52" Type="http://schemas.openxmlformats.org/officeDocument/2006/relationships/hyperlink" Target="https://doi.org/10.1145/1276958.1277335" TargetMode="External"/><Relationship Id="rId55" Type="http://schemas.openxmlformats.org/officeDocument/2006/relationships/hyperlink" Target="https://doi.org/10.1145/1450579.1450652" TargetMode="External"/><Relationship Id="rId54" Type="http://schemas.openxmlformats.org/officeDocument/2006/relationships/hyperlink" Target="https://doi.org/10.1145/1409360.1409363" TargetMode="External"/><Relationship Id="rId57" Type="http://schemas.openxmlformats.org/officeDocument/2006/relationships/hyperlink" Target="https://doi.org/10.1145/1500175.1500178" TargetMode="External"/><Relationship Id="rId56" Type="http://schemas.openxmlformats.org/officeDocument/2006/relationships/hyperlink" Target="https://doi.org/10.1145/1477862.1477879" TargetMode="External"/><Relationship Id="rId59" Type="http://schemas.openxmlformats.org/officeDocument/2006/relationships/hyperlink" Target="https://doi.org/10.1145/1596685.1596827" TargetMode="External"/><Relationship Id="rId58" Type="http://schemas.openxmlformats.org/officeDocument/2006/relationships/hyperlink" Target="https://doi.org/10.1145/1518701.1519021" TargetMode="External"/><Relationship Id="rId107" Type="http://schemas.openxmlformats.org/officeDocument/2006/relationships/hyperlink" Target="https://doi.org/10.1145/2336727.2336738" TargetMode="External"/><Relationship Id="rId228" Type="http://schemas.openxmlformats.org/officeDocument/2006/relationships/hyperlink" Target="https://doi.org/10.1145/3714394.3756275" TargetMode="External"/><Relationship Id="rId349" Type="http://schemas.openxmlformats.org/officeDocument/2006/relationships/hyperlink" Target="https://doi.org/10.1145/3772363.3799334" TargetMode="External"/><Relationship Id="rId106" Type="http://schemas.openxmlformats.org/officeDocument/2006/relationships/hyperlink" Target="https://doi.org/10.1145/2254756.2254766" TargetMode="External"/><Relationship Id="rId227" Type="http://schemas.openxmlformats.org/officeDocument/2006/relationships/hyperlink" Target="https://doi.org/10.1145/3711896.3736563" TargetMode="External"/><Relationship Id="rId348" Type="http://schemas.openxmlformats.org/officeDocument/2006/relationships/hyperlink" Target="https://doi.org/10.1145/3772363.3799156" TargetMode="External"/><Relationship Id="rId105" Type="http://schemas.openxmlformats.org/officeDocument/2006/relationships/hyperlink" Target="https://doi.org/10.1145/2212908.2212915" TargetMode="External"/><Relationship Id="rId226" Type="http://schemas.openxmlformats.org/officeDocument/2006/relationships/hyperlink" Target="https://doi.org/10.1145/3708359.3712145" TargetMode="External"/><Relationship Id="rId347" Type="http://schemas.openxmlformats.org/officeDocument/2006/relationships/hyperlink" Target="https://doi.org/10.1145/3772363.3798995" TargetMode="External"/><Relationship Id="rId104" Type="http://schemas.openxmlformats.org/officeDocument/2006/relationships/hyperlink" Target="https://doi.org/10.1145/221270.221624" TargetMode="External"/><Relationship Id="rId225" Type="http://schemas.openxmlformats.org/officeDocument/2006/relationships/hyperlink" Target="https://doi.org/10.1145/3708359.3712104" TargetMode="External"/><Relationship Id="rId346" Type="http://schemas.openxmlformats.org/officeDocument/2006/relationships/hyperlink" Target="https://doi.org/10.1145/3772363.3798923" TargetMode="External"/><Relationship Id="rId109" Type="http://schemas.openxmlformats.org/officeDocument/2006/relationships/hyperlink" Target="https://doi.org/10.1145/2365946.2365951" TargetMode="External"/><Relationship Id="rId108" Type="http://schemas.openxmlformats.org/officeDocument/2006/relationships/hyperlink" Target="https://doi.org/10.1145/2342356.2342360" TargetMode="External"/><Relationship Id="rId229" Type="http://schemas.openxmlformats.org/officeDocument/2006/relationships/hyperlink" Target="https://doi.org/10.1145/3715070.3749272" TargetMode="External"/><Relationship Id="rId220" Type="http://schemas.openxmlformats.org/officeDocument/2006/relationships/hyperlink" Target="https://doi.org/10.1145/3706598.3713220" TargetMode="External"/><Relationship Id="rId341" Type="http://schemas.openxmlformats.org/officeDocument/2006/relationships/hyperlink" Target="https://doi.org/10.1145/3772363.3798611" TargetMode="External"/><Relationship Id="rId340" Type="http://schemas.openxmlformats.org/officeDocument/2006/relationships/hyperlink" Target="https://doi.org/10.1145/3772363.3798575" TargetMode="External"/><Relationship Id="rId103" Type="http://schemas.openxmlformats.org/officeDocument/2006/relationships/hyperlink" Target="https://doi.org/10.1145/2188286.2188316" TargetMode="External"/><Relationship Id="rId224" Type="http://schemas.openxmlformats.org/officeDocument/2006/relationships/hyperlink" Target="https://doi.org/10.1145/3706599.3719976" TargetMode="External"/><Relationship Id="rId345" Type="http://schemas.openxmlformats.org/officeDocument/2006/relationships/hyperlink" Target="https://doi.org/10.1145/3772363.3798919" TargetMode="External"/><Relationship Id="rId102" Type="http://schemas.openxmlformats.org/officeDocument/2006/relationships/hyperlink" Target="https://doi.org/10.1145/2155620.2155651" TargetMode="External"/><Relationship Id="rId223" Type="http://schemas.openxmlformats.org/officeDocument/2006/relationships/hyperlink" Target="https://doi.org/10.1145/3706598.3713675" TargetMode="External"/><Relationship Id="rId344" Type="http://schemas.openxmlformats.org/officeDocument/2006/relationships/hyperlink" Target="https://doi.org/10.1145/3772363.3798812" TargetMode="External"/><Relationship Id="rId101" Type="http://schemas.openxmlformats.org/officeDocument/2006/relationships/hyperlink" Target="https://doi.org/10.1145/2146382.2146391" TargetMode="External"/><Relationship Id="rId222" Type="http://schemas.openxmlformats.org/officeDocument/2006/relationships/hyperlink" Target="https://doi.org/10.1145/3706598.3713408" TargetMode="External"/><Relationship Id="rId343" Type="http://schemas.openxmlformats.org/officeDocument/2006/relationships/hyperlink" Target="https://doi.org/10.1145/3772363.3798705" TargetMode="External"/><Relationship Id="rId100" Type="http://schemas.openxmlformats.org/officeDocument/2006/relationships/hyperlink" Target="https://doi.org/10.1145/2133382.2133388" TargetMode="External"/><Relationship Id="rId221" Type="http://schemas.openxmlformats.org/officeDocument/2006/relationships/hyperlink" Target="https://doi.org/10.1145/3706598.3713406" TargetMode="External"/><Relationship Id="rId342" Type="http://schemas.openxmlformats.org/officeDocument/2006/relationships/hyperlink" Target="https://doi.org/10.1145/3772363.3798685" TargetMode="External"/><Relationship Id="rId217" Type="http://schemas.openxmlformats.org/officeDocument/2006/relationships/hyperlink" Target="https://doi.org/10.1145/3703454" TargetMode="External"/><Relationship Id="rId338" Type="http://schemas.openxmlformats.org/officeDocument/2006/relationships/hyperlink" Target="https://doi.org/10.1145/3772363.3798512" TargetMode="External"/><Relationship Id="rId216" Type="http://schemas.openxmlformats.org/officeDocument/2006/relationships/hyperlink" Target="https://doi.org/10.1145/3703155" TargetMode="External"/><Relationship Id="rId337" Type="http://schemas.openxmlformats.org/officeDocument/2006/relationships/hyperlink" Target="https://doi.org/10.1145/3772363.3798453" TargetMode="External"/><Relationship Id="rId215" Type="http://schemas.openxmlformats.org/officeDocument/2006/relationships/hyperlink" Target="https://doi.org/10.1145/3701188" TargetMode="External"/><Relationship Id="rId336" Type="http://schemas.openxmlformats.org/officeDocument/2006/relationships/hyperlink" Target="https://doi.org/10.1145/3772363.3778745" TargetMode="External"/><Relationship Id="rId214" Type="http://schemas.openxmlformats.org/officeDocument/2006/relationships/hyperlink" Target="https://doi.org/10.1145/3700035.3700036" TargetMode="External"/><Relationship Id="rId335" Type="http://schemas.openxmlformats.org/officeDocument/2006/relationships/hyperlink" Target="https://doi.org/10.1145/3772363.3778699" TargetMode="External"/><Relationship Id="rId219" Type="http://schemas.openxmlformats.org/officeDocument/2006/relationships/hyperlink" Target="https://doi.org/10.1145/3706468.3706564" TargetMode="External"/><Relationship Id="rId218" Type="http://schemas.openxmlformats.org/officeDocument/2006/relationships/hyperlink" Target="https://doi.org/10.1145/3705294" TargetMode="External"/><Relationship Id="rId339" Type="http://schemas.openxmlformats.org/officeDocument/2006/relationships/hyperlink" Target="https://doi.org/10.1145/3772363.3798562" TargetMode="External"/><Relationship Id="rId330" Type="http://schemas.openxmlformats.org/officeDocument/2006/relationships/hyperlink" Target="https://doi.org/10.1145/3772318.3791915" TargetMode="External"/><Relationship Id="rId213" Type="http://schemas.openxmlformats.org/officeDocument/2006/relationships/hyperlink" Target="https://doi.org/10.1145/3698896.3722209" TargetMode="External"/><Relationship Id="rId334" Type="http://schemas.openxmlformats.org/officeDocument/2006/relationships/hyperlink" Target="https://doi.org/10.1145/3772318.3809104" TargetMode="External"/><Relationship Id="rId212" Type="http://schemas.openxmlformats.org/officeDocument/2006/relationships/hyperlink" Target="https://doi.org/10.1145/3676536.3698390" TargetMode="External"/><Relationship Id="rId333" Type="http://schemas.openxmlformats.org/officeDocument/2006/relationships/hyperlink" Target="https://doi.org/10.1145/3772318.3809068" TargetMode="External"/><Relationship Id="rId211" Type="http://schemas.openxmlformats.org/officeDocument/2006/relationships/hyperlink" Target="https://doi.org/10.1145/3671016.3674821" TargetMode="External"/><Relationship Id="rId332" Type="http://schemas.openxmlformats.org/officeDocument/2006/relationships/hyperlink" Target="https://doi.org/10.1145/3772318.3808894" TargetMode="External"/><Relationship Id="rId210" Type="http://schemas.openxmlformats.org/officeDocument/2006/relationships/hyperlink" Target="https://doi.org/10.1145/3663547.3746319" TargetMode="External"/><Relationship Id="rId331" Type="http://schemas.openxmlformats.org/officeDocument/2006/relationships/hyperlink" Target="https://doi.org/10.1145/3772318.3793266" TargetMode="External"/><Relationship Id="rId370" Type="http://schemas.openxmlformats.org/officeDocument/2006/relationships/hyperlink" Target="https://doi.org/10.1145/3815195" TargetMode="External"/><Relationship Id="rId129" Type="http://schemas.openxmlformats.org/officeDocument/2006/relationships/hyperlink" Target="https://doi.org/10.1145/2666216.2666222" TargetMode="External"/><Relationship Id="rId128" Type="http://schemas.openxmlformats.org/officeDocument/2006/relationships/hyperlink" Target="https://doi.org/10.1145/266399.266405" TargetMode="External"/><Relationship Id="rId249" Type="http://schemas.openxmlformats.org/officeDocument/2006/relationships/hyperlink" Target="https://doi.org/10.1145/3742413.3789111" TargetMode="External"/><Relationship Id="rId127" Type="http://schemas.openxmlformats.org/officeDocument/2006/relationships/hyperlink" Target="https://doi.org/10.1145/2656204" TargetMode="External"/><Relationship Id="rId248" Type="http://schemas.openxmlformats.org/officeDocument/2006/relationships/hyperlink" Target="https://doi.org/10.1145/3736731.3786118" TargetMode="External"/><Relationship Id="rId369" Type="http://schemas.openxmlformats.org/officeDocument/2006/relationships/hyperlink" Target="https://doi.org/10.1145/3810945" TargetMode="External"/><Relationship Id="rId126" Type="http://schemas.openxmlformats.org/officeDocument/2006/relationships/hyperlink" Target="https://doi.org/10.1145/2631187" TargetMode="External"/><Relationship Id="rId247" Type="http://schemas.openxmlformats.org/officeDocument/2006/relationships/hyperlink" Target="https://doi.org/10.1145/3736731.3746137" TargetMode="External"/><Relationship Id="rId368" Type="http://schemas.openxmlformats.org/officeDocument/2006/relationships/hyperlink" Target="https://doi.org/10.1145/3802598" TargetMode="External"/><Relationship Id="rId121" Type="http://schemas.openxmlformats.org/officeDocument/2006/relationships/hyperlink" Target="https://doi.org/10.1145/2523616.2523635" TargetMode="External"/><Relationship Id="rId242" Type="http://schemas.openxmlformats.org/officeDocument/2006/relationships/hyperlink" Target="https://doi.org/10.1145/3721201.3721385" TargetMode="External"/><Relationship Id="rId363" Type="http://schemas.openxmlformats.org/officeDocument/2006/relationships/hyperlink" Target="https://doi.org/10.1145/3793679" TargetMode="External"/><Relationship Id="rId120" Type="http://schemas.openxmlformats.org/officeDocument/2006/relationships/hyperlink" Target="https://doi.org/10.1145/2512348" TargetMode="External"/><Relationship Id="rId241" Type="http://schemas.openxmlformats.org/officeDocument/2006/relationships/hyperlink" Target="https://doi.org/10.1145/3720554.3735862" TargetMode="External"/><Relationship Id="rId362" Type="http://schemas.openxmlformats.org/officeDocument/2006/relationships/hyperlink" Target="https://doi.org/10.1145/3793638.3793643" TargetMode="External"/><Relationship Id="rId240" Type="http://schemas.openxmlformats.org/officeDocument/2006/relationships/hyperlink" Target="https://doi.org/10.1145/3719160.3736618" TargetMode="External"/><Relationship Id="rId361" Type="http://schemas.openxmlformats.org/officeDocument/2006/relationships/hyperlink" Target="https://doi.org/10.1145/3788646.3789536" TargetMode="External"/><Relationship Id="rId360" Type="http://schemas.openxmlformats.org/officeDocument/2006/relationships/hyperlink" Target="https://doi.org/10.1145/3786335.3813137" TargetMode="External"/><Relationship Id="rId125" Type="http://schemas.openxmlformats.org/officeDocument/2006/relationships/hyperlink" Target="https://doi.org/10.1145/262116.262142" TargetMode="External"/><Relationship Id="rId246" Type="http://schemas.openxmlformats.org/officeDocument/2006/relationships/hyperlink" Target="https://doi.org/10.1145/3736425.3770093" TargetMode="External"/><Relationship Id="rId367" Type="http://schemas.openxmlformats.org/officeDocument/2006/relationships/hyperlink" Target="https://doi.org/10.1145/3800687" TargetMode="External"/><Relationship Id="rId124" Type="http://schemas.openxmlformats.org/officeDocument/2006/relationships/hyperlink" Target="https://doi.org/10.1145/2559206.2581287" TargetMode="External"/><Relationship Id="rId245" Type="http://schemas.openxmlformats.org/officeDocument/2006/relationships/hyperlink" Target="https://doi.org/10.1145/3735402" TargetMode="External"/><Relationship Id="rId366" Type="http://schemas.openxmlformats.org/officeDocument/2006/relationships/hyperlink" Target="https://doi.org/10.1145/3800683" TargetMode="External"/><Relationship Id="rId123" Type="http://schemas.openxmlformats.org/officeDocument/2006/relationships/hyperlink" Target="https://doi.org/10.1145/2541940.2541951" TargetMode="External"/><Relationship Id="rId244" Type="http://schemas.openxmlformats.org/officeDocument/2006/relationships/hyperlink" Target="https://doi.org/10.1145/3731459.3786222" TargetMode="External"/><Relationship Id="rId365" Type="http://schemas.openxmlformats.org/officeDocument/2006/relationships/hyperlink" Target="https://doi.org/10.1145/3800580" TargetMode="External"/><Relationship Id="rId122" Type="http://schemas.openxmlformats.org/officeDocument/2006/relationships/hyperlink" Target="https://doi.org/10.1145/2536536.2536628" TargetMode="External"/><Relationship Id="rId243" Type="http://schemas.openxmlformats.org/officeDocument/2006/relationships/hyperlink" Target="https://doi.org/10.1145/3727200.3727226" TargetMode="External"/><Relationship Id="rId364" Type="http://schemas.openxmlformats.org/officeDocument/2006/relationships/hyperlink" Target="https://doi.org/10.1145/3799914.3799919" TargetMode="External"/><Relationship Id="rId95" Type="http://schemas.openxmlformats.org/officeDocument/2006/relationships/hyperlink" Target="https://doi.org/10.1145/2043556.2043558" TargetMode="External"/><Relationship Id="rId94" Type="http://schemas.openxmlformats.org/officeDocument/2006/relationships/hyperlink" Target="https://doi.org/10.1145/2038916.2038939" TargetMode="External"/><Relationship Id="rId97" Type="http://schemas.openxmlformats.org/officeDocument/2006/relationships/hyperlink" Target="https://doi.org/10.1145/2107502.2107511" TargetMode="External"/><Relationship Id="rId96" Type="http://schemas.openxmlformats.org/officeDocument/2006/relationships/hyperlink" Target="https://doi.org/10.1145/2043556.2043593" TargetMode="External"/><Relationship Id="rId99" Type="http://schemas.openxmlformats.org/officeDocument/2006/relationships/hyperlink" Target="https://doi.org/10.1145/2124295.2124300" TargetMode="External"/><Relationship Id="rId98" Type="http://schemas.openxmlformats.org/officeDocument/2006/relationships/hyperlink" Target="https://doi.org/10.1145/2110205.2110209" TargetMode="External"/><Relationship Id="rId91" Type="http://schemas.openxmlformats.org/officeDocument/2006/relationships/hyperlink" Target="https://doi.org/10.1145/2003690.2003693" TargetMode="External"/><Relationship Id="rId90" Type="http://schemas.openxmlformats.org/officeDocument/2006/relationships/hyperlink" Target="https://doi.org/10.1145/199688.199776" TargetMode="External"/><Relationship Id="rId93" Type="http://schemas.openxmlformats.org/officeDocument/2006/relationships/hyperlink" Target="https://doi.org/10.1145/2038916.2038917" TargetMode="External"/><Relationship Id="rId92" Type="http://schemas.openxmlformats.org/officeDocument/2006/relationships/hyperlink" Target="https://doi.org/10.1145/2018584.2018596" TargetMode="External"/><Relationship Id="rId118" Type="http://schemas.openxmlformats.org/officeDocument/2006/relationships/hyperlink" Target="https://doi.org/10.1145/2504847" TargetMode="External"/><Relationship Id="rId239" Type="http://schemas.openxmlformats.org/officeDocument/2006/relationships/hyperlink" Target="https://doi.org/10.1145/3719160.3736611" TargetMode="External"/><Relationship Id="rId117" Type="http://schemas.openxmlformats.org/officeDocument/2006/relationships/hyperlink" Target="https://doi.org/10.1145/2503210.2503281" TargetMode="External"/><Relationship Id="rId238" Type="http://schemas.openxmlformats.org/officeDocument/2006/relationships/hyperlink" Target="https://doi.org/10.1145/3717511.3747073" TargetMode="External"/><Relationship Id="rId359" Type="http://schemas.openxmlformats.org/officeDocument/2006/relationships/hyperlink" Target="https://doi.org/10.1145/3786304.3787891" TargetMode="External"/><Relationship Id="rId116" Type="http://schemas.openxmlformats.org/officeDocument/2006/relationships/hyperlink" Target="https://doi.org/10.1145/2482767.2482793" TargetMode="External"/><Relationship Id="rId237" Type="http://schemas.openxmlformats.org/officeDocument/2006/relationships/hyperlink" Target="https://doi.org/10.1145/3716628" TargetMode="External"/><Relationship Id="rId358" Type="http://schemas.openxmlformats.org/officeDocument/2006/relationships/hyperlink" Target="https://doi.org/10.1145/3786304.3787879" TargetMode="External"/><Relationship Id="rId115" Type="http://schemas.openxmlformats.org/officeDocument/2006/relationships/hyperlink" Target="https://doi.org/10.1145/2465529.2465553" TargetMode="External"/><Relationship Id="rId236" Type="http://schemas.openxmlformats.org/officeDocument/2006/relationships/hyperlink" Target="https://doi.org/10.1145/3716553.3750784" TargetMode="External"/><Relationship Id="rId357" Type="http://schemas.openxmlformats.org/officeDocument/2006/relationships/hyperlink" Target="https://doi.org/10.1145/3786304.3787865" TargetMode="External"/><Relationship Id="rId119" Type="http://schemas.openxmlformats.org/officeDocument/2006/relationships/hyperlink" Target="https://doi.org/10.1145/2508363.2508381" TargetMode="External"/><Relationship Id="rId110" Type="http://schemas.openxmlformats.org/officeDocument/2006/relationships/hyperlink" Target="https://doi.org/10.1145/2377677.2377681" TargetMode="External"/><Relationship Id="rId231" Type="http://schemas.openxmlformats.org/officeDocument/2006/relationships/hyperlink" Target="https://doi.org/10.1145/3715275.3732038" TargetMode="External"/><Relationship Id="rId352" Type="http://schemas.openxmlformats.org/officeDocument/2006/relationships/hyperlink" Target="https://doi.org/10.1145/3774904.3792976" TargetMode="External"/><Relationship Id="rId230" Type="http://schemas.openxmlformats.org/officeDocument/2006/relationships/hyperlink" Target="https://doi.org/10.1145/3715073.3715075" TargetMode="External"/><Relationship Id="rId351" Type="http://schemas.openxmlformats.org/officeDocument/2006/relationships/hyperlink" Target="https://doi.org/10.1145/3774904.3792671" TargetMode="External"/><Relationship Id="rId350" Type="http://schemas.openxmlformats.org/officeDocument/2006/relationships/hyperlink" Target="https://doi.org/10.1145/3774904.3792506" TargetMode="External"/><Relationship Id="rId114" Type="http://schemas.openxmlformats.org/officeDocument/2006/relationships/hyperlink" Target="https://doi.org/10.1145/2465351.2465361" TargetMode="External"/><Relationship Id="rId235" Type="http://schemas.openxmlformats.org/officeDocument/2006/relationships/hyperlink" Target="https://doi.org/10.1145/3715275.3732146" TargetMode="External"/><Relationship Id="rId356" Type="http://schemas.openxmlformats.org/officeDocument/2006/relationships/hyperlink" Target="https://doi.org/10.1145/3786167.3788413" TargetMode="External"/><Relationship Id="rId113" Type="http://schemas.openxmlformats.org/officeDocument/2006/relationships/hyperlink" Target="https://doi.org/10.1145/2391229.2391237" TargetMode="External"/><Relationship Id="rId234" Type="http://schemas.openxmlformats.org/officeDocument/2006/relationships/hyperlink" Target="https://doi.org/10.1145/3715275.3732094" TargetMode="External"/><Relationship Id="rId355" Type="http://schemas.openxmlformats.org/officeDocument/2006/relationships/hyperlink" Target="https://doi.org/10.1145/3779295" TargetMode="External"/><Relationship Id="rId112" Type="http://schemas.openxmlformats.org/officeDocument/2006/relationships/hyperlink" Target="https://doi.org/10.1145/238168.238181" TargetMode="External"/><Relationship Id="rId233" Type="http://schemas.openxmlformats.org/officeDocument/2006/relationships/hyperlink" Target="https://doi.org/10.1145/3715275.3732063" TargetMode="External"/><Relationship Id="rId354" Type="http://schemas.openxmlformats.org/officeDocument/2006/relationships/hyperlink" Target="https://doi.org/10.1145/3778354" TargetMode="External"/><Relationship Id="rId111" Type="http://schemas.openxmlformats.org/officeDocument/2006/relationships/hyperlink" Target="https://doi.org/10.1145/2378356.2378361" TargetMode="External"/><Relationship Id="rId232" Type="http://schemas.openxmlformats.org/officeDocument/2006/relationships/hyperlink" Target="https://doi.org/10.1145/3715275.3732039" TargetMode="External"/><Relationship Id="rId353" Type="http://schemas.openxmlformats.org/officeDocument/2006/relationships/hyperlink" Target="https://doi.org/10.1145/3776734.3794532" TargetMode="External"/><Relationship Id="rId305" Type="http://schemas.openxmlformats.org/officeDocument/2006/relationships/hyperlink" Target="https://doi.org/10.1145/3772318.3791068" TargetMode="External"/><Relationship Id="rId304" Type="http://schemas.openxmlformats.org/officeDocument/2006/relationships/hyperlink" Target="https://doi.org/10.1145/3772318.3791060" TargetMode="External"/><Relationship Id="rId303" Type="http://schemas.openxmlformats.org/officeDocument/2006/relationships/hyperlink" Target="https://doi.org/10.1145/3772318.3791012" TargetMode="External"/><Relationship Id="rId302" Type="http://schemas.openxmlformats.org/officeDocument/2006/relationships/hyperlink" Target="https://doi.org/10.1145/3772318.3790934" TargetMode="External"/><Relationship Id="rId309" Type="http://schemas.openxmlformats.org/officeDocument/2006/relationships/hyperlink" Target="https://doi.org/10.1145/3772318.3791248" TargetMode="External"/><Relationship Id="rId308" Type="http://schemas.openxmlformats.org/officeDocument/2006/relationships/hyperlink" Target="https://doi.org/10.1145/3772318.3791233" TargetMode="External"/><Relationship Id="rId307" Type="http://schemas.openxmlformats.org/officeDocument/2006/relationships/hyperlink" Target="https://doi.org/10.1145/3772318.3791149" TargetMode="External"/><Relationship Id="rId306" Type="http://schemas.openxmlformats.org/officeDocument/2006/relationships/hyperlink" Target="https://doi.org/10.1145/3772318.3791079" TargetMode="External"/><Relationship Id="rId301" Type="http://schemas.openxmlformats.org/officeDocument/2006/relationships/hyperlink" Target="https://doi.org/10.1145/3772318.3790907" TargetMode="External"/><Relationship Id="rId300" Type="http://schemas.openxmlformats.org/officeDocument/2006/relationships/hyperlink" Target="https://doi.org/10.1145/3772318.3790859" TargetMode="External"/><Relationship Id="rId206" Type="http://schemas.openxmlformats.org/officeDocument/2006/relationships/hyperlink" Target="https://doi.org/10.1145/3655103.3655107" TargetMode="External"/><Relationship Id="rId327" Type="http://schemas.openxmlformats.org/officeDocument/2006/relationships/hyperlink" Target="https://doi.org/10.1145/3772318.3791845" TargetMode="External"/><Relationship Id="rId205" Type="http://schemas.openxmlformats.org/officeDocument/2006/relationships/hyperlink" Target="https://doi.org/10.1145/3648188.3678216" TargetMode="External"/><Relationship Id="rId326" Type="http://schemas.openxmlformats.org/officeDocument/2006/relationships/hyperlink" Target="https://doi.org/10.1145/3772318.3791834" TargetMode="External"/><Relationship Id="rId204" Type="http://schemas.openxmlformats.org/officeDocument/2006/relationships/hyperlink" Target="https://doi.org/10.1145/3643834.3661525" TargetMode="External"/><Relationship Id="rId325" Type="http://schemas.openxmlformats.org/officeDocument/2006/relationships/hyperlink" Target="https://doi.org/10.1145/3772318.3791775" TargetMode="External"/><Relationship Id="rId203" Type="http://schemas.openxmlformats.org/officeDocument/2006/relationships/hyperlink" Target="https://doi.org/10.1145/3642979.3642984" TargetMode="External"/><Relationship Id="rId324" Type="http://schemas.openxmlformats.org/officeDocument/2006/relationships/hyperlink" Target="https://doi.org/10.1145/3772318.3791760" TargetMode="External"/><Relationship Id="rId209" Type="http://schemas.openxmlformats.org/officeDocument/2006/relationships/hyperlink" Target="https://doi.org/10.1145/3660650.3660656" TargetMode="External"/><Relationship Id="rId208" Type="http://schemas.openxmlformats.org/officeDocument/2006/relationships/hyperlink" Target="https://doi.org/10.1145/3658644.3691638" TargetMode="External"/><Relationship Id="rId329" Type="http://schemas.openxmlformats.org/officeDocument/2006/relationships/hyperlink" Target="https://doi.org/10.1145/3772318.3791880" TargetMode="External"/><Relationship Id="rId207" Type="http://schemas.openxmlformats.org/officeDocument/2006/relationships/hyperlink" Target="https://doi.org/10.1145/3657604.3662042" TargetMode="External"/><Relationship Id="rId328" Type="http://schemas.openxmlformats.org/officeDocument/2006/relationships/hyperlink" Target="https://doi.org/10.1145/3772318.3791851" TargetMode="External"/><Relationship Id="rId202" Type="http://schemas.openxmlformats.org/officeDocument/2006/relationships/hyperlink" Target="https://doi.org/10.1145/3640543.3645148" TargetMode="External"/><Relationship Id="rId323" Type="http://schemas.openxmlformats.org/officeDocument/2006/relationships/hyperlink" Target="https://doi.org/10.1145/3772318.3791726" TargetMode="External"/><Relationship Id="rId201" Type="http://schemas.openxmlformats.org/officeDocument/2006/relationships/hyperlink" Target="https://doi.org/10.1145/3640352" TargetMode="External"/><Relationship Id="rId322" Type="http://schemas.openxmlformats.org/officeDocument/2006/relationships/hyperlink" Target="https://doi.org/10.1145/3772318.3791640" TargetMode="External"/><Relationship Id="rId200" Type="http://schemas.openxmlformats.org/officeDocument/2006/relationships/hyperlink" Target="https://doi.org/10.1145/3639372" TargetMode="External"/><Relationship Id="rId321" Type="http://schemas.openxmlformats.org/officeDocument/2006/relationships/hyperlink" Target="https://doi.org/10.1145/3772318.3791632" TargetMode="External"/><Relationship Id="rId320" Type="http://schemas.openxmlformats.org/officeDocument/2006/relationships/hyperlink" Target="https://doi.org/10.1145/3772318.3791600" TargetMode="External"/><Relationship Id="rId316" Type="http://schemas.openxmlformats.org/officeDocument/2006/relationships/hyperlink" Target="https://doi.org/10.1145/3772318.3791484" TargetMode="External"/><Relationship Id="rId315" Type="http://schemas.openxmlformats.org/officeDocument/2006/relationships/hyperlink" Target="https://doi.org/10.1145/3772318.3791428" TargetMode="External"/><Relationship Id="rId314" Type="http://schemas.openxmlformats.org/officeDocument/2006/relationships/hyperlink" Target="https://doi.org/10.1145/3772318.3791381" TargetMode="External"/><Relationship Id="rId313" Type="http://schemas.openxmlformats.org/officeDocument/2006/relationships/hyperlink" Target="https://doi.org/10.1145/3772318.3791365" TargetMode="External"/><Relationship Id="rId319" Type="http://schemas.openxmlformats.org/officeDocument/2006/relationships/hyperlink" Target="https://doi.org/10.1145/3772318.3791571" TargetMode="External"/><Relationship Id="rId318" Type="http://schemas.openxmlformats.org/officeDocument/2006/relationships/hyperlink" Target="https://doi.org/10.1145/3772318.3791560" TargetMode="External"/><Relationship Id="rId317" Type="http://schemas.openxmlformats.org/officeDocument/2006/relationships/hyperlink" Target="https://doi.org/10.1145/3772318.3791556" TargetMode="External"/><Relationship Id="rId312" Type="http://schemas.openxmlformats.org/officeDocument/2006/relationships/hyperlink" Target="https://doi.org/10.1145/3772318.3791363" TargetMode="External"/><Relationship Id="rId311" Type="http://schemas.openxmlformats.org/officeDocument/2006/relationships/hyperlink" Target="https://doi.org/10.1145/3772318.3791319" TargetMode="External"/><Relationship Id="rId310" Type="http://schemas.openxmlformats.org/officeDocument/2006/relationships/hyperlink" Target="https://doi.org/10.1145/3772318.3791300"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doi.org/10.1145/358027.358046" TargetMode="External"/><Relationship Id="rId194" Type="http://schemas.openxmlformats.org/officeDocument/2006/relationships/hyperlink" Target="https://doi.org/10.1145/3610027" TargetMode="External"/><Relationship Id="rId193" Type="http://schemas.openxmlformats.org/officeDocument/2006/relationships/hyperlink" Target="https://doi.org/10.1145/3605764.3623985" TargetMode="External"/><Relationship Id="rId192" Type="http://schemas.openxmlformats.org/officeDocument/2006/relationships/hyperlink" Target="https://doi.org/10.1145/3603269.3604880" TargetMode="External"/><Relationship Id="rId191" Type="http://schemas.openxmlformats.org/officeDocument/2006/relationships/hyperlink" Target="https://doi.org/10.1145/3582515.3609571" TargetMode="External"/><Relationship Id="rId187" Type="http://schemas.openxmlformats.org/officeDocument/2006/relationships/hyperlink" Target="https://doi.org/10.1145/3544793.3560382" TargetMode="External"/><Relationship Id="rId186" Type="http://schemas.openxmlformats.org/officeDocument/2006/relationships/hyperlink" Target="https://doi.org/10.1145/3544549.3582735" TargetMode="External"/><Relationship Id="rId185" Type="http://schemas.openxmlformats.org/officeDocument/2006/relationships/hyperlink" Target="https://doi.org/10.1145/3538225" TargetMode="External"/><Relationship Id="rId184" Type="http://schemas.openxmlformats.org/officeDocument/2006/relationships/hyperlink" Target="https://doi.org/10.1145/3528381" TargetMode="External"/><Relationship Id="rId189" Type="http://schemas.openxmlformats.org/officeDocument/2006/relationships/hyperlink" Target="https://doi.org/10.1145/3563456" TargetMode="External"/><Relationship Id="rId188" Type="http://schemas.openxmlformats.org/officeDocument/2006/relationships/hyperlink" Target="https://doi.org/10.1145/3555153" TargetMode="External"/><Relationship Id="rId183" Type="http://schemas.openxmlformats.org/officeDocument/2006/relationships/hyperlink" Target="https://doi.org/10.1145/3511047.3536406" TargetMode="External"/><Relationship Id="rId182" Type="http://schemas.openxmlformats.org/officeDocument/2006/relationships/hyperlink" Target="https://doi.org/10.1145/3492833" TargetMode="External"/><Relationship Id="rId181" Type="http://schemas.openxmlformats.org/officeDocument/2006/relationships/hyperlink" Target="https://doi.org/10.1145/3491102.3517546" TargetMode="External"/><Relationship Id="rId180" Type="http://schemas.openxmlformats.org/officeDocument/2006/relationships/hyperlink" Target="https://doi.org/10.1145/3461778.3462087" TargetMode="External"/><Relationship Id="rId176" Type="http://schemas.openxmlformats.org/officeDocument/2006/relationships/hyperlink" Target="https://doi.org/10.1145/3387514.3405863" TargetMode="External"/><Relationship Id="rId297" Type="http://schemas.openxmlformats.org/officeDocument/2006/relationships/hyperlink" Target="https://doi.org/10.1145/3772318.3790697" TargetMode="External"/><Relationship Id="rId175" Type="http://schemas.openxmlformats.org/officeDocument/2006/relationships/hyperlink" Target="https://doi.org/10.1145/3384473" TargetMode="External"/><Relationship Id="rId296" Type="http://schemas.openxmlformats.org/officeDocument/2006/relationships/hyperlink" Target="https://doi.org/10.1145/3772318.3790685" TargetMode="External"/><Relationship Id="rId174" Type="http://schemas.openxmlformats.org/officeDocument/2006/relationships/hyperlink" Target="https://doi.org/10.1145/3383668.3419909" TargetMode="External"/><Relationship Id="rId295" Type="http://schemas.openxmlformats.org/officeDocument/2006/relationships/hyperlink" Target="https://doi.org/10.1145/3772318.3790586" TargetMode="External"/><Relationship Id="rId173" Type="http://schemas.openxmlformats.org/officeDocument/2006/relationships/hyperlink" Target="https://doi.org/10.1145/3363459.3363540" TargetMode="External"/><Relationship Id="rId294" Type="http://schemas.openxmlformats.org/officeDocument/2006/relationships/hyperlink" Target="https://doi.org/10.1145/3772318.3790529" TargetMode="External"/><Relationship Id="rId179" Type="http://schemas.openxmlformats.org/officeDocument/2006/relationships/hyperlink" Target="https://doi.org/10.1145/3448018.3458007" TargetMode="External"/><Relationship Id="rId178" Type="http://schemas.openxmlformats.org/officeDocument/2006/relationships/hyperlink" Target="https://doi.org/10.1145/3442381.3449990" TargetMode="External"/><Relationship Id="rId299" Type="http://schemas.openxmlformats.org/officeDocument/2006/relationships/hyperlink" Target="https://doi.org/10.1145/3772318.3790812" TargetMode="External"/><Relationship Id="rId177" Type="http://schemas.openxmlformats.org/officeDocument/2006/relationships/hyperlink" Target="https://doi.org/10.1145/343048.343076" TargetMode="External"/><Relationship Id="rId298" Type="http://schemas.openxmlformats.org/officeDocument/2006/relationships/hyperlink" Target="https://doi.org/10.1145/3772318.3790739" TargetMode="External"/><Relationship Id="rId198" Type="http://schemas.openxmlformats.org/officeDocument/2006/relationships/hyperlink" Target="https://doi.org/10.1145/3630106.3659037" TargetMode="External"/><Relationship Id="rId197" Type="http://schemas.openxmlformats.org/officeDocument/2006/relationships/hyperlink" Target="https://doi.org/10.1145/3613904.3642159" TargetMode="External"/><Relationship Id="rId196" Type="http://schemas.openxmlformats.org/officeDocument/2006/relationships/hyperlink" Target="https://doi.org/10.1145/3613904.3642038" TargetMode="External"/><Relationship Id="rId195" Type="http://schemas.openxmlformats.org/officeDocument/2006/relationships/hyperlink" Target="https://doi.org/10.1145/3610073" TargetMode="External"/><Relationship Id="rId199" Type="http://schemas.openxmlformats.org/officeDocument/2006/relationships/hyperlink" Target="https://doi.org/10.1145/3637528.3671481" TargetMode="External"/><Relationship Id="rId150" Type="http://schemas.openxmlformats.org/officeDocument/2006/relationships/hyperlink" Target="https://doi.org/10.1145/2987550.2987579" TargetMode="External"/><Relationship Id="rId271" Type="http://schemas.openxmlformats.org/officeDocument/2006/relationships/hyperlink" Target="https://doi.org/10.1145/3757886" TargetMode="External"/><Relationship Id="rId392" Type="http://schemas.openxmlformats.org/officeDocument/2006/relationships/hyperlink" Target="https://doi.org/10.3115/991886.991970" TargetMode="External"/><Relationship Id="rId270" Type="http://schemas.openxmlformats.org/officeDocument/2006/relationships/hyperlink" Target="https://doi.org/10.1145/3757659" TargetMode="External"/><Relationship Id="rId391" Type="http://schemas.openxmlformats.org/officeDocument/2006/relationships/hyperlink" Target="https://doi.org/10.3115/991886.991938" TargetMode="External"/><Relationship Id="rId390" Type="http://schemas.openxmlformats.org/officeDocument/2006/relationships/hyperlink" Target="https://doi.org/10.3115/990820.990864" TargetMode="External"/><Relationship Id="rId1" Type="http://schemas.openxmlformats.org/officeDocument/2006/relationships/hyperlink" Target="https://doi.org/10.1007/978-3-642-24322-6_15" TargetMode="External"/><Relationship Id="rId2" Type="http://schemas.openxmlformats.org/officeDocument/2006/relationships/hyperlink" Target="https://doi.org/10.1007/978-3-642-24322-6_16" TargetMode="External"/><Relationship Id="rId3" Type="http://schemas.openxmlformats.org/officeDocument/2006/relationships/hyperlink" Target="https://doi.org/10.1007/978-3-642-24322-6_19" TargetMode="External"/><Relationship Id="rId149" Type="http://schemas.openxmlformats.org/officeDocument/2006/relationships/hyperlink" Target="https://doi.org/10.1145/2983927" TargetMode="External"/><Relationship Id="rId4" Type="http://schemas.openxmlformats.org/officeDocument/2006/relationships/hyperlink" Target="https://ieeexplore.ieee.org/stamp/stamp.jsp?arnumber=8372225" TargetMode="External"/><Relationship Id="rId148" Type="http://schemas.openxmlformats.org/officeDocument/2006/relationships/hyperlink" Target="https://doi.org/10.1145/2964284.2984067" TargetMode="External"/><Relationship Id="rId269" Type="http://schemas.openxmlformats.org/officeDocument/2006/relationships/hyperlink" Target="https://doi.org/10.1145/3757619" TargetMode="External"/><Relationship Id="rId9" Type="http://schemas.openxmlformats.org/officeDocument/2006/relationships/hyperlink" Target="https://ieeexplore.ieee.org/stamp/stamp.jsp?arnumber=11334577" TargetMode="External"/><Relationship Id="rId143" Type="http://schemas.openxmlformats.org/officeDocument/2006/relationships/hyperlink" Target="https://doi.org/10.1145/28395.28431" TargetMode="External"/><Relationship Id="rId264" Type="http://schemas.openxmlformats.org/officeDocument/2006/relationships/hyperlink" Target="https://doi.org/10.1145/375663.375720" TargetMode="External"/><Relationship Id="rId385" Type="http://schemas.openxmlformats.org/officeDocument/2006/relationships/hyperlink" Target="https://doi.org/10.3115/1117554.1117558" TargetMode="External"/><Relationship Id="rId142" Type="http://schemas.openxmlformats.org/officeDocument/2006/relationships/hyperlink" Target="https://doi.org/10.1145/2830903.2830908" TargetMode="External"/><Relationship Id="rId263" Type="http://schemas.openxmlformats.org/officeDocument/2006/relationships/hyperlink" Target="https://doi.org/10.1145/3748620" TargetMode="External"/><Relationship Id="rId384" Type="http://schemas.openxmlformats.org/officeDocument/2006/relationships/hyperlink" Target="https://doi.org/10.1613/jair.1.17654" TargetMode="External"/><Relationship Id="rId141" Type="http://schemas.openxmlformats.org/officeDocument/2006/relationships/hyperlink" Target="https://doi.org/10.1145/2807591.2807636" TargetMode="External"/><Relationship Id="rId262" Type="http://schemas.openxmlformats.org/officeDocument/2006/relationships/hyperlink" Target="https://doi.org/10.1145/3746252.3761448" TargetMode="External"/><Relationship Id="rId383" Type="http://schemas.openxmlformats.org/officeDocument/2006/relationships/hyperlink" Target="https://doi.org/10.14778/3476311.3476373" TargetMode="External"/><Relationship Id="rId140" Type="http://schemas.openxmlformats.org/officeDocument/2006/relationships/hyperlink" Target="https://doi.org/10.1145/2806777.2806850" TargetMode="External"/><Relationship Id="rId261" Type="http://schemas.openxmlformats.org/officeDocument/2006/relationships/hyperlink" Target="https://doi.org/10.1145/3746252.3761151" TargetMode="External"/><Relationship Id="rId382" Type="http://schemas.openxmlformats.org/officeDocument/2006/relationships/hyperlink" Target="https://doi.org/10.14778/3025111.3025113" TargetMode="External"/><Relationship Id="rId5" Type="http://schemas.openxmlformats.org/officeDocument/2006/relationships/hyperlink" Target="https://ieeexplore.ieee.org/stamp/stamp.jsp?arnumber=735370" TargetMode="External"/><Relationship Id="rId147" Type="http://schemas.openxmlformats.org/officeDocument/2006/relationships/hyperlink" Target="https://doi.org/10.1145/296336.296354" TargetMode="External"/><Relationship Id="rId268" Type="http://schemas.openxmlformats.org/officeDocument/2006/relationships/hyperlink" Target="https://doi.org/10.1145/3757544" TargetMode="External"/><Relationship Id="rId389" Type="http://schemas.openxmlformats.org/officeDocument/2006/relationships/hyperlink" Target="https://doi.org/10.3115/981436.981467" TargetMode="External"/><Relationship Id="rId6" Type="http://schemas.openxmlformats.org/officeDocument/2006/relationships/hyperlink" Target="https://ieeexplore.ieee.org/stamp/stamp.jsp?arnumber=11467909" TargetMode="External"/><Relationship Id="rId146" Type="http://schemas.openxmlformats.org/officeDocument/2006/relationships/hyperlink" Target="https://doi.org/10.1145/2933349.2933359" TargetMode="External"/><Relationship Id="rId267" Type="http://schemas.openxmlformats.org/officeDocument/2006/relationships/hyperlink" Target="https://doi.org/10.1145/3757442" TargetMode="External"/><Relationship Id="rId388" Type="http://schemas.openxmlformats.org/officeDocument/2006/relationships/hyperlink" Target="https://doi.org/10.3115/981175.981177" TargetMode="External"/><Relationship Id="rId7" Type="http://schemas.openxmlformats.org/officeDocument/2006/relationships/hyperlink" Target="https://ieeexplore.ieee.org/stamp/stamp.jsp?arnumber=10771051" TargetMode="External"/><Relationship Id="rId145" Type="http://schemas.openxmlformats.org/officeDocument/2006/relationships/hyperlink" Target="https://doi.org/10.1145/2901318.2901337" TargetMode="External"/><Relationship Id="rId266" Type="http://schemas.openxmlformats.org/officeDocument/2006/relationships/hyperlink" Target="https://doi.org/10.1145/3757424" TargetMode="External"/><Relationship Id="rId387" Type="http://schemas.openxmlformats.org/officeDocument/2006/relationships/hyperlink" Target="https://doi.org/10.3115/980262.980281" TargetMode="External"/><Relationship Id="rId8" Type="http://schemas.openxmlformats.org/officeDocument/2006/relationships/hyperlink" Target="https://ieeexplore.ieee.org/stamp/stamp.jsp?arnumber=11449950" TargetMode="External"/><Relationship Id="rId144" Type="http://schemas.openxmlformats.org/officeDocument/2006/relationships/hyperlink" Target="https://doi.org/10.1145/2897824.2925888" TargetMode="External"/><Relationship Id="rId265" Type="http://schemas.openxmlformats.org/officeDocument/2006/relationships/hyperlink" Target="https://doi.org/10.1145/3757279.3785553" TargetMode="External"/><Relationship Id="rId386" Type="http://schemas.openxmlformats.org/officeDocument/2006/relationships/hyperlink" Target="https://doi.org/10.3115/1220175.1220289" TargetMode="External"/><Relationship Id="rId260" Type="http://schemas.openxmlformats.org/officeDocument/2006/relationships/hyperlink" Target="https://doi.org/10.1145/3746059.3747680" TargetMode="External"/><Relationship Id="rId381" Type="http://schemas.openxmlformats.org/officeDocument/2006/relationships/hyperlink" Target="https://doi.org/10.14778/2947618.2947625" TargetMode="External"/><Relationship Id="rId380" Type="http://schemas.openxmlformats.org/officeDocument/2006/relationships/hyperlink" Target="https://doi.org/10.14778/1938545.1938549" TargetMode="External"/><Relationship Id="rId139" Type="http://schemas.openxmlformats.org/officeDocument/2006/relationships/hyperlink" Target="https://doi.org/10.1145/2798729" TargetMode="External"/><Relationship Id="rId138" Type="http://schemas.openxmlformats.org/officeDocument/2006/relationships/hyperlink" Target="https://doi.org/10.1145/2791285" TargetMode="External"/><Relationship Id="rId259" Type="http://schemas.openxmlformats.org/officeDocument/2006/relationships/hyperlink" Target="https://doi.org/10.1145/3746058.3758468" TargetMode="External"/><Relationship Id="rId137" Type="http://schemas.openxmlformats.org/officeDocument/2006/relationships/hyperlink" Target="https://doi.org/10.1145/2771937.2771939" TargetMode="External"/><Relationship Id="rId258" Type="http://schemas.openxmlformats.org/officeDocument/2006/relationships/hyperlink" Target="https://doi.org/10.1145/3746027.3755778" TargetMode="External"/><Relationship Id="rId379" Type="http://schemas.openxmlformats.org/officeDocument/2006/relationships/hyperlink" Target="https://doi.org/10.14778/1920841.1921015" TargetMode="External"/><Relationship Id="rId132" Type="http://schemas.openxmlformats.org/officeDocument/2006/relationships/hyperlink" Target="https://doi.org/10.1145/2723372.2742798" TargetMode="External"/><Relationship Id="rId253" Type="http://schemas.openxmlformats.org/officeDocument/2006/relationships/hyperlink" Target="https://doi.org/10.1145/3742413.3789147" TargetMode="External"/><Relationship Id="rId374" Type="http://schemas.openxmlformats.org/officeDocument/2006/relationships/hyperlink" Target="https://doi.org/10.1145/63047.63088" TargetMode="External"/><Relationship Id="rId131" Type="http://schemas.openxmlformats.org/officeDocument/2006/relationships/hyperlink" Target="https://doi.org/10.1145/2700312" TargetMode="External"/><Relationship Id="rId252" Type="http://schemas.openxmlformats.org/officeDocument/2006/relationships/hyperlink" Target="https://doi.org/10.1145/3742413.3789136" TargetMode="External"/><Relationship Id="rId373" Type="http://schemas.openxmlformats.org/officeDocument/2006/relationships/hyperlink" Target="https://doi.org/10.1145/581710.581733" TargetMode="External"/><Relationship Id="rId130" Type="http://schemas.openxmlformats.org/officeDocument/2006/relationships/hyperlink" Target="https://doi.org/10.1145/2668260.2668291" TargetMode="External"/><Relationship Id="rId251" Type="http://schemas.openxmlformats.org/officeDocument/2006/relationships/hyperlink" Target="https://doi.org/10.1145/3742413.3789123" TargetMode="External"/><Relationship Id="rId372" Type="http://schemas.openxmlformats.org/officeDocument/2006/relationships/hyperlink" Target="https://doi.org/10.1145/514236.514248" TargetMode="External"/><Relationship Id="rId250" Type="http://schemas.openxmlformats.org/officeDocument/2006/relationships/hyperlink" Target="https://doi.org/10.1145/3742413.3789120" TargetMode="External"/><Relationship Id="rId371" Type="http://schemas.openxmlformats.org/officeDocument/2006/relationships/hyperlink" Target="https://doi.org/10.1145/381807.381810" TargetMode="External"/><Relationship Id="rId136" Type="http://schemas.openxmlformats.org/officeDocument/2006/relationships/hyperlink" Target="https://doi.org/10.1145/2757667.2757680" TargetMode="External"/><Relationship Id="rId257" Type="http://schemas.openxmlformats.org/officeDocument/2006/relationships/hyperlink" Target="https://doi.org/10.1145/3744169.3744195" TargetMode="External"/><Relationship Id="rId378" Type="http://schemas.openxmlformats.org/officeDocument/2006/relationships/hyperlink" Target="https://doi.org/10.14236/ewic/BCSHCI2025.10" TargetMode="External"/><Relationship Id="rId135" Type="http://schemas.openxmlformats.org/officeDocument/2006/relationships/hyperlink" Target="https://doi.org/10.1145/274644.274667" TargetMode="External"/><Relationship Id="rId256" Type="http://schemas.openxmlformats.org/officeDocument/2006/relationships/hyperlink" Target="https://doi.org/10.1145/3744169.3744194" TargetMode="External"/><Relationship Id="rId377" Type="http://schemas.openxmlformats.org/officeDocument/2006/relationships/hyperlink" Target="https://doi.org/10.1145/764008.763957" TargetMode="External"/><Relationship Id="rId134" Type="http://schemas.openxmlformats.org/officeDocument/2006/relationships/hyperlink" Target="https://doi.org/10.1145/2742488" TargetMode="External"/><Relationship Id="rId255" Type="http://schemas.openxmlformats.org/officeDocument/2006/relationships/hyperlink" Target="https://doi.org/10.1145/3742413.3789223" TargetMode="External"/><Relationship Id="rId376" Type="http://schemas.openxmlformats.org/officeDocument/2006/relationships/hyperlink" Target="https://doi.org/10.1145/67544.66934" TargetMode="External"/><Relationship Id="rId133" Type="http://schemas.openxmlformats.org/officeDocument/2006/relationships/hyperlink" Target="https://doi.org/10.1145/2741948.2741956" TargetMode="External"/><Relationship Id="rId254" Type="http://schemas.openxmlformats.org/officeDocument/2006/relationships/hyperlink" Target="https://doi.org/10.1145/3742413.3789218" TargetMode="External"/><Relationship Id="rId375" Type="http://schemas.openxmlformats.org/officeDocument/2006/relationships/hyperlink" Target="https://doi.org/10.1145/6617.6618" TargetMode="External"/><Relationship Id="rId172" Type="http://schemas.openxmlformats.org/officeDocument/2006/relationships/hyperlink" Target="https://doi.org/10.1145/3339458" TargetMode="External"/><Relationship Id="rId293" Type="http://schemas.openxmlformats.org/officeDocument/2006/relationships/hyperlink" Target="https://doi.org/10.1145/3772318.3790461" TargetMode="External"/><Relationship Id="rId171" Type="http://schemas.openxmlformats.org/officeDocument/2006/relationships/hyperlink" Target="https://doi.org/10.1145/3331543.3342580" TargetMode="External"/><Relationship Id="rId292" Type="http://schemas.openxmlformats.org/officeDocument/2006/relationships/hyperlink" Target="https://doi.org/10.1145/3772318.3790456" TargetMode="External"/><Relationship Id="rId170" Type="http://schemas.openxmlformats.org/officeDocument/2006/relationships/hyperlink" Target="https://doi.org/10.1145/333140.333146" TargetMode="External"/><Relationship Id="rId291" Type="http://schemas.openxmlformats.org/officeDocument/2006/relationships/hyperlink" Target="https://doi.org/10.1145/3772318.3790388" TargetMode="External"/><Relationship Id="rId290" Type="http://schemas.openxmlformats.org/officeDocument/2006/relationships/hyperlink" Target="https://doi.org/10.1145/3772318.3790385" TargetMode="External"/><Relationship Id="rId165" Type="http://schemas.openxmlformats.org/officeDocument/2006/relationships/hyperlink" Target="https://doi.org/10.1145/3297858.3304022" TargetMode="External"/><Relationship Id="rId286" Type="http://schemas.openxmlformats.org/officeDocument/2006/relationships/hyperlink" Target="https://doi.org/10.1145/3772318.3790303" TargetMode="External"/><Relationship Id="rId164" Type="http://schemas.openxmlformats.org/officeDocument/2006/relationships/hyperlink" Target="https://doi.org/10.1145/3290607.3312915" TargetMode="External"/><Relationship Id="rId285" Type="http://schemas.openxmlformats.org/officeDocument/2006/relationships/hyperlink" Target="https://doi.org/10.1145/3772318.3790292" TargetMode="External"/><Relationship Id="rId163" Type="http://schemas.openxmlformats.org/officeDocument/2006/relationships/hyperlink" Target="https://doi.org/10.1145/3289604" TargetMode="External"/><Relationship Id="rId284" Type="http://schemas.openxmlformats.org/officeDocument/2006/relationships/hyperlink" Target="https://doi.org/10.1145/3772318.3790279" TargetMode="External"/><Relationship Id="rId162" Type="http://schemas.openxmlformats.org/officeDocument/2006/relationships/hyperlink" Target="https://doi.org/10.1145/3273982.3273989" TargetMode="External"/><Relationship Id="rId283" Type="http://schemas.openxmlformats.org/officeDocument/2006/relationships/hyperlink" Target="https://doi.org/10.1145/3772318.3790271" TargetMode="External"/><Relationship Id="rId169" Type="http://schemas.openxmlformats.org/officeDocument/2006/relationships/hyperlink" Target="https://doi.org/10.1145/3330393.3330402" TargetMode="External"/><Relationship Id="rId168" Type="http://schemas.openxmlformats.org/officeDocument/2006/relationships/hyperlink" Target="https://doi.org/10.1145/332040.332406" TargetMode="External"/><Relationship Id="rId289" Type="http://schemas.openxmlformats.org/officeDocument/2006/relationships/hyperlink" Target="https://doi.org/10.1145/3772318.3790358" TargetMode="External"/><Relationship Id="rId167" Type="http://schemas.openxmlformats.org/officeDocument/2006/relationships/hyperlink" Target="https://doi.org/10.1145/3313831.3376612" TargetMode="External"/><Relationship Id="rId288" Type="http://schemas.openxmlformats.org/officeDocument/2006/relationships/hyperlink" Target="https://doi.org/10.1145/3772318.3790340" TargetMode="External"/><Relationship Id="rId166" Type="http://schemas.openxmlformats.org/officeDocument/2006/relationships/hyperlink" Target="https://doi.org/10.1145/3308558.3313400" TargetMode="External"/><Relationship Id="rId287" Type="http://schemas.openxmlformats.org/officeDocument/2006/relationships/hyperlink" Target="https://doi.org/10.1145/3772318.3790332" TargetMode="External"/><Relationship Id="rId161" Type="http://schemas.openxmlformats.org/officeDocument/2006/relationships/hyperlink" Target="https://doi.org/10.1145/3267809.3267847" TargetMode="External"/><Relationship Id="rId282" Type="http://schemas.openxmlformats.org/officeDocument/2006/relationships/hyperlink" Target="https://doi.org/10.1145/3770749" TargetMode="External"/><Relationship Id="rId160" Type="http://schemas.openxmlformats.org/officeDocument/2006/relationships/hyperlink" Target="https://doi.org/10.1145/3241038" TargetMode="External"/><Relationship Id="rId281" Type="http://schemas.openxmlformats.org/officeDocument/2006/relationships/hyperlink" Target="https://doi.org/10.1145/3769689" TargetMode="External"/><Relationship Id="rId280" Type="http://schemas.openxmlformats.org/officeDocument/2006/relationships/hyperlink" Target="https://doi.org/10.1145/3769686" TargetMode="External"/><Relationship Id="rId159" Type="http://schemas.openxmlformats.org/officeDocument/2006/relationships/hyperlink" Target="https://doi.org/10.1145/3232162" TargetMode="External"/><Relationship Id="rId154" Type="http://schemas.openxmlformats.org/officeDocument/2006/relationships/hyperlink" Target="https://doi.org/10.1145/3056662.3056667" TargetMode="External"/><Relationship Id="rId275" Type="http://schemas.openxmlformats.org/officeDocument/2006/relationships/hyperlink" Target="https://doi.org/10.1145/3765766.3765852" TargetMode="External"/><Relationship Id="rId396" Type="http://schemas.openxmlformats.org/officeDocument/2006/relationships/drawing" Target="../drawings/drawing13.xml"/><Relationship Id="rId153" Type="http://schemas.openxmlformats.org/officeDocument/2006/relationships/hyperlink" Target="https://doi.org/10.1145/3041960" TargetMode="External"/><Relationship Id="rId274" Type="http://schemas.openxmlformats.org/officeDocument/2006/relationships/hyperlink" Target="https://doi.org/10.1145/3764687.3764716" TargetMode="External"/><Relationship Id="rId395" Type="http://schemas.openxmlformats.org/officeDocument/2006/relationships/hyperlink" Target="https://ieeexplore.ieee.org/xpl/ebooks/bookPdfWithBanner.jsp?fileName=8646901.pdf&amp;bkn=8646803&amp;pdfType=chapter" TargetMode="External"/><Relationship Id="rId152" Type="http://schemas.openxmlformats.org/officeDocument/2006/relationships/hyperlink" Target="https://doi.org/10.1145/3033273" TargetMode="External"/><Relationship Id="rId273" Type="http://schemas.openxmlformats.org/officeDocument/2006/relationships/hyperlink" Target="https://doi.org/10.1145/3762989" TargetMode="External"/><Relationship Id="rId394" Type="http://schemas.openxmlformats.org/officeDocument/2006/relationships/hyperlink" Target="https://ieeexplore.ieee.org/stamp/stamp.jsp?arnumber=6921105" TargetMode="External"/><Relationship Id="rId151" Type="http://schemas.openxmlformats.org/officeDocument/2006/relationships/hyperlink" Target="https://doi.org/10.1145/3007210" TargetMode="External"/><Relationship Id="rId272" Type="http://schemas.openxmlformats.org/officeDocument/2006/relationships/hyperlink" Target="https://doi.org/10.1145/3758871.3758905" TargetMode="External"/><Relationship Id="rId393" Type="http://schemas.openxmlformats.org/officeDocument/2006/relationships/hyperlink" Target="https://ieeexplore.ieee.org/stamp/stamp.jsp?arnumber=11270034" TargetMode="External"/><Relationship Id="rId158" Type="http://schemas.openxmlformats.org/officeDocument/2006/relationships/hyperlink" Target="https://doi.org/10.1145/3126594.3126640" TargetMode="External"/><Relationship Id="rId279" Type="http://schemas.openxmlformats.org/officeDocument/2006/relationships/hyperlink" Target="https://doi.org/10.1145/3769126.3769241" TargetMode="External"/><Relationship Id="rId157" Type="http://schemas.openxmlformats.org/officeDocument/2006/relationships/hyperlink" Target="https://doi.org/10.1145/309831.309929" TargetMode="External"/><Relationship Id="rId278" Type="http://schemas.openxmlformats.org/officeDocument/2006/relationships/hyperlink" Target="https://doi.org/10.1145/3768165" TargetMode="External"/><Relationship Id="rId156" Type="http://schemas.openxmlformats.org/officeDocument/2006/relationships/hyperlink" Target="https://doi.org/10.1145/3085574" TargetMode="External"/><Relationship Id="rId277" Type="http://schemas.openxmlformats.org/officeDocument/2006/relationships/hyperlink" Target="https://doi.org/10.1145/3767695.3769511" TargetMode="External"/><Relationship Id="rId155" Type="http://schemas.openxmlformats.org/officeDocument/2006/relationships/hyperlink" Target="https://doi.org/10.1145/3078468.3078471" TargetMode="External"/><Relationship Id="rId276" Type="http://schemas.openxmlformats.org/officeDocument/2006/relationships/hyperlink" Target="https://doi.org/10.1145/3767154" TargetMode="External"/><Relationship Id="rId40" Type="http://schemas.openxmlformats.org/officeDocument/2006/relationships/hyperlink" Target="https://doi.org/10.1109/TNET.2017.2669215" TargetMode="External"/><Relationship Id="rId42" Type="http://schemas.openxmlformats.org/officeDocument/2006/relationships/hyperlink" Target="https://ieeexplore.ieee.org/stamp/stamp.jsp?arnumber=11189226" TargetMode="External"/><Relationship Id="rId41" Type="http://schemas.openxmlformats.org/officeDocument/2006/relationships/hyperlink" Target="https://ieeexplore.ieee.org/stamp/stamp.jsp?arnumber=11029593" TargetMode="External"/><Relationship Id="rId44" Type="http://schemas.openxmlformats.org/officeDocument/2006/relationships/hyperlink" Target="https://doi.org/10.1145/1045264.1045265" TargetMode="External"/><Relationship Id="rId43" Type="http://schemas.openxmlformats.org/officeDocument/2006/relationships/hyperlink" Target="https://doi.org/10.1145/1037911.1037917" TargetMode="External"/><Relationship Id="rId46" Type="http://schemas.openxmlformats.org/officeDocument/2006/relationships/hyperlink" Target="https://doi.org/10.1145/1120212.1120419" TargetMode="External"/><Relationship Id="rId45" Type="http://schemas.openxmlformats.org/officeDocument/2006/relationships/hyperlink" Target="https://doi.org/10.1145/1088222.1088226" TargetMode="External"/><Relationship Id="rId48" Type="http://schemas.openxmlformats.org/officeDocument/2006/relationships/hyperlink" Target="https://doi.org/10.1145/1216295.1216357" TargetMode="External"/><Relationship Id="rId47" Type="http://schemas.openxmlformats.org/officeDocument/2006/relationships/hyperlink" Target="https://doi.org/10.1145/1141880.1523452" TargetMode="External"/><Relationship Id="rId49" Type="http://schemas.openxmlformats.org/officeDocument/2006/relationships/hyperlink" Target="https://doi.org/10.1145/122153.122159" TargetMode="External"/><Relationship Id="rId31" Type="http://schemas.openxmlformats.org/officeDocument/2006/relationships/hyperlink" Target="https://ieeexplore.ieee.org/stamp/stamp.jsp?arnumber=11269633" TargetMode="External"/><Relationship Id="rId30" Type="http://schemas.openxmlformats.org/officeDocument/2006/relationships/hyperlink" Target="https://doi.org/10.1109/ISCA.2016.15" TargetMode="External"/><Relationship Id="rId33" Type="http://schemas.openxmlformats.org/officeDocument/2006/relationships/hyperlink" Target="https://ieeexplore.ieee.org/stamp/stamp.jsp?arnumber=11345775" TargetMode="External"/><Relationship Id="rId32" Type="http://schemas.openxmlformats.org/officeDocument/2006/relationships/hyperlink" Target="https://ieeexplore.ieee.org/stamp/stamp.jsp?arnumber=4580542" TargetMode="External"/><Relationship Id="rId35" Type="http://schemas.openxmlformats.org/officeDocument/2006/relationships/hyperlink" Target="https://ieeexplore.ieee.org/stamp/stamp.jsp?arnumber=11424465" TargetMode="External"/><Relationship Id="rId34" Type="http://schemas.openxmlformats.org/officeDocument/2006/relationships/hyperlink" Target="https://ieeexplore.ieee.org/stamp/stamp.jsp?arnumber=11037824" TargetMode="External"/><Relationship Id="rId37" Type="http://schemas.openxmlformats.org/officeDocument/2006/relationships/hyperlink" Target="https://ieeexplore.ieee.org/stamp/stamp.jsp?arnumber=10820709" TargetMode="External"/><Relationship Id="rId36" Type="http://schemas.openxmlformats.org/officeDocument/2006/relationships/hyperlink" Target="https://doi.org/10.1109/SCW63240.2024.00017" TargetMode="External"/><Relationship Id="rId39" Type="http://schemas.openxmlformats.org/officeDocument/2006/relationships/hyperlink" Target="https://ieeexplore.ieee.org/stamp/stamp.jsp?arnumber=5427110" TargetMode="External"/><Relationship Id="rId38" Type="http://schemas.openxmlformats.org/officeDocument/2006/relationships/hyperlink" Target="https://ieeexplore.ieee.org/stamp/stamp.jsp?arnumber=11531012" TargetMode="External"/><Relationship Id="rId20" Type="http://schemas.openxmlformats.org/officeDocument/2006/relationships/hyperlink" Target="https://ieeexplore.ieee.org/stamp/stamp.jsp?arnumber=10585495" TargetMode="External"/><Relationship Id="rId22" Type="http://schemas.openxmlformats.org/officeDocument/2006/relationships/hyperlink" Target="https://ieeexplore.ieee.org/stamp/stamp.jsp?arnumber=11508939" TargetMode="External"/><Relationship Id="rId21" Type="http://schemas.openxmlformats.org/officeDocument/2006/relationships/hyperlink" Target="https://ieeexplore.ieee.org/stamp/stamp.jsp?arnumber=10590666" TargetMode="External"/><Relationship Id="rId24" Type="http://schemas.openxmlformats.org/officeDocument/2006/relationships/hyperlink" Target="https://ieeexplore.ieee.org/stamp/stamp.jsp?arnumber=11462217" TargetMode="External"/><Relationship Id="rId23" Type="http://schemas.openxmlformats.org/officeDocument/2006/relationships/hyperlink" Target="https://ieeexplore.ieee.org/stamp/stamp.jsp?arnumber=11460702" TargetMode="External"/><Relationship Id="rId26" Type="http://schemas.openxmlformats.org/officeDocument/2006/relationships/hyperlink" Target="https://ieeexplore.ieee.org/stamp/stamp.jsp?arnumber=6056911" TargetMode="External"/><Relationship Id="rId25" Type="http://schemas.openxmlformats.org/officeDocument/2006/relationships/hyperlink" Target="https://ieeexplore.ieee.org/stamp/stamp.jsp?arnumber=5409737" TargetMode="External"/><Relationship Id="rId28" Type="http://schemas.openxmlformats.org/officeDocument/2006/relationships/hyperlink" Target="https://ieeexplore.ieee.org/stamp/stamp.jsp?arnumber=4299963" TargetMode="External"/><Relationship Id="rId27" Type="http://schemas.openxmlformats.org/officeDocument/2006/relationships/hyperlink" Target="https://ieeexplore.ieee.org/stamp/stamp.jsp?arnumber=11521627" TargetMode="External"/><Relationship Id="rId29" Type="http://schemas.openxmlformats.org/officeDocument/2006/relationships/hyperlink" Target="https://ieeexplore.ieee.org/stamp/stamp.jsp?arnumber=1431446" TargetMode="External"/><Relationship Id="rId11" Type="http://schemas.openxmlformats.org/officeDocument/2006/relationships/hyperlink" Target="https://ieeexplore.ieee.org/stamp/stamp.jsp?arnumber=9381292" TargetMode="External"/><Relationship Id="rId10" Type="http://schemas.openxmlformats.org/officeDocument/2006/relationships/hyperlink" Target="https://doi.org/10.1109/ASONAM49781.2020.9381292" TargetMode="External"/><Relationship Id="rId13" Type="http://schemas.openxmlformats.org/officeDocument/2006/relationships/hyperlink" Target="https://ieeexplore.ieee.org/stamp/stamp.jsp?arnumber=11400739" TargetMode="External"/><Relationship Id="rId12" Type="http://schemas.openxmlformats.org/officeDocument/2006/relationships/hyperlink" Target="https://ieeexplore.ieee.org/stamp/stamp.jsp?arnumber=10825538" TargetMode="External"/><Relationship Id="rId15" Type="http://schemas.openxmlformats.org/officeDocument/2006/relationships/hyperlink" Target="https://doi.org/10.1109/CCGrid.2015.115" TargetMode="External"/><Relationship Id="rId14" Type="http://schemas.openxmlformats.org/officeDocument/2006/relationships/hyperlink" Target="https://doi.org/10.1109/CCGrid.2012.84" TargetMode="External"/><Relationship Id="rId17" Type="http://schemas.openxmlformats.org/officeDocument/2006/relationships/hyperlink" Target="https://doi.org/10.1109/CCGRID.2017.49" TargetMode="External"/><Relationship Id="rId16" Type="http://schemas.openxmlformats.org/officeDocument/2006/relationships/hyperlink" Target="https://doi.org/10.1109/CCGrid.2015.150" TargetMode="External"/><Relationship Id="rId19" Type="http://schemas.openxmlformats.org/officeDocument/2006/relationships/hyperlink" Target="https://ieeexplore.ieee.org/stamp/stamp.jsp?arnumber=11519295" TargetMode="External"/><Relationship Id="rId18" Type="http://schemas.openxmlformats.org/officeDocument/2006/relationships/hyperlink" Target="https://ieeexplore.ieee.org/stamp/stamp.jsp?arnumber=1554950" TargetMode="External"/><Relationship Id="rId84" Type="http://schemas.openxmlformats.org/officeDocument/2006/relationships/hyperlink" Target="https://doi.org/10.1145/1965724.1965747" TargetMode="External"/><Relationship Id="rId83" Type="http://schemas.openxmlformats.org/officeDocument/2006/relationships/hyperlink" Target="https://doi.org/10.1145/1965724.1965746" TargetMode="External"/><Relationship Id="rId86" Type="http://schemas.openxmlformats.org/officeDocument/2006/relationships/hyperlink" Target="https://doi.org/10.1145/1978942.1979209" TargetMode="External"/><Relationship Id="rId85" Type="http://schemas.openxmlformats.org/officeDocument/2006/relationships/hyperlink" Target="https://doi.org/10.1145/196734.196738" TargetMode="External"/><Relationship Id="rId88" Type="http://schemas.openxmlformats.org/officeDocument/2006/relationships/hyperlink" Target="https://doi.org/10.1145/1989323.1989461" TargetMode="External"/><Relationship Id="rId87" Type="http://schemas.openxmlformats.org/officeDocument/2006/relationships/hyperlink" Target="https://doi.org/10.1145/1989323.1989327" TargetMode="External"/><Relationship Id="rId89" Type="http://schemas.openxmlformats.org/officeDocument/2006/relationships/hyperlink" Target="https://doi.org/10.1145/1995896.1995926" TargetMode="External"/><Relationship Id="rId80" Type="http://schemas.openxmlformats.org/officeDocument/2006/relationships/hyperlink" Target="https://doi.org/10.1145/1899928.1899942" TargetMode="External"/><Relationship Id="rId82" Type="http://schemas.openxmlformats.org/officeDocument/2006/relationships/hyperlink" Target="https://doi.org/10.1145/1945023.1945029" TargetMode="External"/><Relationship Id="rId81" Type="http://schemas.openxmlformats.org/officeDocument/2006/relationships/hyperlink" Target="https://doi.org/10.1145/1944862.1944886" TargetMode="External"/><Relationship Id="rId73" Type="http://schemas.openxmlformats.org/officeDocument/2006/relationships/hyperlink" Target="https://doi.org/10.1145/1809980.1810034" TargetMode="External"/><Relationship Id="rId72" Type="http://schemas.openxmlformats.org/officeDocument/2006/relationships/hyperlink" Target="https://doi.org/10.1145/1807167.1807324" TargetMode="External"/><Relationship Id="rId75" Type="http://schemas.openxmlformats.org/officeDocument/2006/relationships/hyperlink" Target="https://doi.org/10.1145/1823838.1823840" TargetMode="External"/><Relationship Id="rId74" Type="http://schemas.openxmlformats.org/officeDocument/2006/relationships/hyperlink" Target="https://doi.org/10.1145/1815961.1816002" TargetMode="External"/><Relationship Id="rId77" Type="http://schemas.openxmlformats.org/officeDocument/2006/relationships/hyperlink" Target="https://doi.org/10.1145/1839676.1839692" TargetMode="External"/><Relationship Id="rId76" Type="http://schemas.openxmlformats.org/officeDocument/2006/relationships/hyperlink" Target="https://doi.org/10.1145/1837915.1837918" TargetMode="External"/><Relationship Id="rId79" Type="http://schemas.openxmlformats.org/officeDocument/2006/relationships/hyperlink" Target="https://doi.org/10.1145/1866296.1866298" TargetMode="External"/><Relationship Id="rId78" Type="http://schemas.openxmlformats.org/officeDocument/2006/relationships/hyperlink" Target="https://doi.org/10.1145/1866029.1866078" TargetMode="External"/><Relationship Id="rId71" Type="http://schemas.openxmlformats.org/officeDocument/2006/relationships/hyperlink" Target="https://doi.org/10.1145/1807167.1807194" TargetMode="External"/><Relationship Id="rId70" Type="http://schemas.openxmlformats.org/officeDocument/2006/relationships/hyperlink" Target="https://doi.org/10.1145/1807128.1807164" TargetMode="External"/><Relationship Id="rId62" Type="http://schemas.openxmlformats.org/officeDocument/2006/relationships/hyperlink" Target="https://doi.org/10.1145/1640089.1640127" TargetMode="External"/><Relationship Id="rId61" Type="http://schemas.openxmlformats.org/officeDocument/2006/relationships/hyperlink" Target="https://doi.org/10.1145/1629575.1629577" TargetMode="External"/><Relationship Id="rId64" Type="http://schemas.openxmlformats.org/officeDocument/2006/relationships/hyperlink" Target="https://doi.org/10.1145/1740390.1740408" TargetMode="External"/><Relationship Id="rId63" Type="http://schemas.openxmlformats.org/officeDocument/2006/relationships/hyperlink" Target="https://doi.org/10.1145/1740390.1740407" TargetMode="External"/><Relationship Id="rId66" Type="http://schemas.openxmlformats.org/officeDocument/2006/relationships/hyperlink" Target="https://doi.org/10.1145/175208.175220" TargetMode="External"/><Relationship Id="rId65" Type="http://schemas.openxmlformats.org/officeDocument/2006/relationships/hyperlink" Target="https://doi.org/10.1145/174690.174697" TargetMode="External"/><Relationship Id="rId68" Type="http://schemas.openxmlformats.org/officeDocument/2006/relationships/hyperlink" Target="https://doi.org/10.1145/1791314.1791347" TargetMode="External"/><Relationship Id="rId67" Type="http://schemas.openxmlformats.org/officeDocument/2006/relationships/hyperlink" Target="https://doi.org/10.1145/1755913.1755916" TargetMode="External"/><Relationship Id="rId60" Type="http://schemas.openxmlformats.org/officeDocument/2006/relationships/hyperlink" Target="https://doi.org/10.1145/1621890.1621914" TargetMode="External"/><Relationship Id="rId69" Type="http://schemas.openxmlformats.org/officeDocument/2006/relationships/hyperlink" Target="https://doi.org/10.1145/1807060.1807061" TargetMode="External"/><Relationship Id="rId51" Type="http://schemas.openxmlformats.org/officeDocument/2006/relationships/hyperlink" Target="https://doi.org/10.1145/1274000.1274062" TargetMode="External"/><Relationship Id="rId50" Type="http://schemas.openxmlformats.org/officeDocument/2006/relationships/hyperlink" Target="https://doi.org/10.1145/122153.122160" TargetMode="External"/><Relationship Id="rId53" Type="http://schemas.openxmlformats.org/officeDocument/2006/relationships/hyperlink" Target="https://doi.org/10.1145/1394669.1394689" TargetMode="External"/><Relationship Id="rId52" Type="http://schemas.openxmlformats.org/officeDocument/2006/relationships/hyperlink" Target="https://doi.org/10.1145/1276958.1277335" TargetMode="External"/><Relationship Id="rId55" Type="http://schemas.openxmlformats.org/officeDocument/2006/relationships/hyperlink" Target="https://doi.org/10.1145/1450579.1450652" TargetMode="External"/><Relationship Id="rId54" Type="http://schemas.openxmlformats.org/officeDocument/2006/relationships/hyperlink" Target="https://doi.org/10.1145/1409360.1409363" TargetMode="External"/><Relationship Id="rId57" Type="http://schemas.openxmlformats.org/officeDocument/2006/relationships/hyperlink" Target="https://doi.org/10.1145/1500175.1500178" TargetMode="External"/><Relationship Id="rId56" Type="http://schemas.openxmlformats.org/officeDocument/2006/relationships/hyperlink" Target="https://doi.org/10.1145/1477862.1477879" TargetMode="External"/><Relationship Id="rId59" Type="http://schemas.openxmlformats.org/officeDocument/2006/relationships/hyperlink" Target="https://doi.org/10.1145/1596685.1596827" TargetMode="External"/><Relationship Id="rId58" Type="http://schemas.openxmlformats.org/officeDocument/2006/relationships/hyperlink" Target="https://doi.org/10.1145/1518701.1519021" TargetMode="External"/><Relationship Id="rId107" Type="http://schemas.openxmlformats.org/officeDocument/2006/relationships/hyperlink" Target="https://doi.org/10.1145/2336727.2336738" TargetMode="External"/><Relationship Id="rId228" Type="http://schemas.openxmlformats.org/officeDocument/2006/relationships/hyperlink" Target="https://doi.org/10.1145/3714394.3756275" TargetMode="External"/><Relationship Id="rId349" Type="http://schemas.openxmlformats.org/officeDocument/2006/relationships/hyperlink" Target="https://doi.org/10.1145/3772363.3799334" TargetMode="External"/><Relationship Id="rId106" Type="http://schemas.openxmlformats.org/officeDocument/2006/relationships/hyperlink" Target="https://doi.org/10.1145/2254756.2254766" TargetMode="External"/><Relationship Id="rId227" Type="http://schemas.openxmlformats.org/officeDocument/2006/relationships/hyperlink" Target="https://doi.org/10.1145/3711896.3736563" TargetMode="External"/><Relationship Id="rId348" Type="http://schemas.openxmlformats.org/officeDocument/2006/relationships/hyperlink" Target="https://doi.org/10.1145/3772363.3799156" TargetMode="External"/><Relationship Id="rId105" Type="http://schemas.openxmlformats.org/officeDocument/2006/relationships/hyperlink" Target="https://doi.org/10.1145/2212908.2212915" TargetMode="External"/><Relationship Id="rId226" Type="http://schemas.openxmlformats.org/officeDocument/2006/relationships/hyperlink" Target="https://doi.org/10.1145/3708359.3712145" TargetMode="External"/><Relationship Id="rId347" Type="http://schemas.openxmlformats.org/officeDocument/2006/relationships/hyperlink" Target="https://doi.org/10.1145/3772363.3798995" TargetMode="External"/><Relationship Id="rId104" Type="http://schemas.openxmlformats.org/officeDocument/2006/relationships/hyperlink" Target="https://doi.org/10.1145/221270.221624" TargetMode="External"/><Relationship Id="rId225" Type="http://schemas.openxmlformats.org/officeDocument/2006/relationships/hyperlink" Target="https://doi.org/10.1145/3708359.3712104" TargetMode="External"/><Relationship Id="rId346" Type="http://schemas.openxmlformats.org/officeDocument/2006/relationships/hyperlink" Target="https://doi.org/10.1145/3772363.3798923" TargetMode="External"/><Relationship Id="rId109" Type="http://schemas.openxmlformats.org/officeDocument/2006/relationships/hyperlink" Target="https://doi.org/10.1145/2365946.2365951" TargetMode="External"/><Relationship Id="rId108" Type="http://schemas.openxmlformats.org/officeDocument/2006/relationships/hyperlink" Target="https://doi.org/10.1145/2342356.2342360" TargetMode="External"/><Relationship Id="rId229" Type="http://schemas.openxmlformats.org/officeDocument/2006/relationships/hyperlink" Target="https://doi.org/10.1145/3715070.3749272" TargetMode="External"/><Relationship Id="rId220" Type="http://schemas.openxmlformats.org/officeDocument/2006/relationships/hyperlink" Target="https://doi.org/10.1145/3706598.3713220" TargetMode="External"/><Relationship Id="rId341" Type="http://schemas.openxmlformats.org/officeDocument/2006/relationships/hyperlink" Target="https://doi.org/10.1145/3772363.3798611" TargetMode="External"/><Relationship Id="rId340" Type="http://schemas.openxmlformats.org/officeDocument/2006/relationships/hyperlink" Target="https://doi.org/10.1145/3772363.3798575" TargetMode="External"/><Relationship Id="rId103" Type="http://schemas.openxmlformats.org/officeDocument/2006/relationships/hyperlink" Target="https://doi.org/10.1145/2188286.2188316" TargetMode="External"/><Relationship Id="rId224" Type="http://schemas.openxmlformats.org/officeDocument/2006/relationships/hyperlink" Target="https://doi.org/10.1145/3706599.3719976" TargetMode="External"/><Relationship Id="rId345" Type="http://schemas.openxmlformats.org/officeDocument/2006/relationships/hyperlink" Target="https://doi.org/10.1145/3772363.3798919" TargetMode="External"/><Relationship Id="rId102" Type="http://schemas.openxmlformats.org/officeDocument/2006/relationships/hyperlink" Target="https://doi.org/10.1145/2155620.2155651" TargetMode="External"/><Relationship Id="rId223" Type="http://schemas.openxmlformats.org/officeDocument/2006/relationships/hyperlink" Target="https://doi.org/10.1145/3706598.3713675" TargetMode="External"/><Relationship Id="rId344" Type="http://schemas.openxmlformats.org/officeDocument/2006/relationships/hyperlink" Target="https://doi.org/10.1145/3772363.3798812" TargetMode="External"/><Relationship Id="rId101" Type="http://schemas.openxmlformats.org/officeDocument/2006/relationships/hyperlink" Target="https://doi.org/10.1145/2146382.2146391" TargetMode="External"/><Relationship Id="rId222" Type="http://schemas.openxmlformats.org/officeDocument/2006/relationships/hyperlink" Target="https://doi.org/10.1145/3706598.3713408" TargetMode="External"/><Relationship Id="rId343" Type="http://schemas.openxmlformats.org/officeDocument/2006/relationships/hyperlink" Target="https://doi.org/10.1145/3772363.3798705" TargetMode="External"/><Relationship Id="rId100" Type="http://schemas.openxmlformats.org/officeDocument/2006/relationships/hyperlink" Target="https://doi.org/10.1145/2133382.2133388" TargetMode="External"/><Relationship Id="rId221" Type="http://schemas.openxmlformats.org/officeDocument/2006/relationships/hyperlink" Target="https://doi.org/10.1145/3706598.3713406" TargetMode="External"/><Relationship Id="rId342" Type="http://schemas.openxmlformats.org/officeDocument/2006/relationships/hyperlink" Target="https://doi.org/10.1145/3772363.3798685" TargetMode="External"/><Relationship Id="rId217" Type="http://schemas.openxmlformats.org/officeDocument/2006/relationships/hyperlink" Target="https://doi.org/10.1145/3703454" TargetMode="External"/><Relationship Id="rId338" Type="http://schemas.openxmlformats.org/officeDocument/2006/relationships/hyperlink" Target="https://doi.org/10.1145/3772363.3798512" TargetMode="External"/><Relationship Id="rId216" Type="http://schemas.openxmlformats.org/officeDocument/2006/relationships/hyperlink" Target="https://doi.org/10.1145/3703155" TargetMode="External"/><Relationship Id="rId337" Type="http://schemas.openxmlformats.org/officeDocument/2006/relationships/hyperlink" Target="https://doi.org/10.1145/3772363.3798453" TargetMode="External"/><Relationship Id="rId215" Type="http://schemas.openxmlformats.org/officeDocument/2006/relationships/hyperlink" Target="https://doi.org/10.1145/3701188" TargetMode="External"/><Relationship Id="rId336" Type="http://schemas.openxmlformats.org/officeDocument/2006/relationships/hyperlink" Target="https://doi.org/10.1145/3772363.3778745" TargetMode="External"/><Relationship Id="rId214" Type="http://schemas.openxmlformats.org/officeDocument/2006/relationships/hyperlink" Target="https://doi.org/10.1145/3700035.3700036" TargetMode="External"/><Relationship Id="rId335" Type="http://schemas.openxmlformats.org/officeDocument/2006/relationships/hyperlink" Target="https://doi.org/10.1145/3772363.3778699" TargetMode="External"/><Relationship Id="rId219" Type="http://schemas.openxmlformats.org/officeDocument/2006/relationships/hyperlink" Target="https://doi.org/10.1145/3706468.3706564" TargetMode="External"/><Relationship Id="rId218" Type="http://schemas.openxmlformats.org/officeDocument/2006/relationships/hyperlink" Target="https://doi.org/10.1145/3705294" TargetMode="External"/><Relationship Id="rId339" Type="http://schemas.openxmlformats.org/officeDocument/2006/relationships/hyperlink" Target="https://doi.org/10.1145/3772363.3798562" TargetMode="External"/><Relationship Id="rId330" Type="http://schemas.openxmlformats.org/officeDocument/2006/relationships/hyperlink" Target="https://doi.org/10.1145/3772318.3791915" TargetMode="External"/><Relationship Id="rId213" Type="http://schemas.openxmlformats.org/officeDocument/2006/relationships/hyperlink" Target="https://doi.org/10.1145/3698896.3722209" TargetMode="External"/><Relationship Id="rId334" Type="http://schemas.openxmlformats.org/officeDocument/2006/relationships/hyperlink" Target="https://doi.org/10.1145/3772318.3809104" TargetMode="External"/><Relationship Id="rId212" Type="http://schemas.openxmlformats.org/officeDocument/2006/relationships/hyperlink" Target="https://doi.org/10.1145/3676536.3698390" TargetMode="External"/><Relationship Id="rId333" Type="http://schemas.openxmlformats.org/officeDocument/2006/relationships/hyperlink" Target="https://doi.org/10.1145/3772318.3809068" TargetMode="External"/><Relationship Id="rId211" Type="http://schemas.openxmlformats.org/officeDocument/2006/relationships/hyperlink" Target="https://doi.org/10.1145/3671016.3674821" TargetMode="External"/><Relationship Id="rId332" Type="http://schemas.openxmlformats.org/officeDocument/2006/relationships/hyperlink" Target="https://doi.org/10.1145/3772318.3808894" TargetMode="External"/><Relationship Id="rId210" Type="http://schemas.openxmlformats.org/officeDocument/2006/relationships/hyperlink" Target="https://doi.org/10.1145/3663547.3746319" TargetMode="External"/><Relationship Id="rId331" Type="http://schemas.openxmlformats.org/officeDocument/2006/relationships/hyperlink" Target="https://doi.org/10.1145/3772318.3793266" TargetMode="External"/><Relationship Id="rId370" Type="http://schemas.openxmlformats.org/officeDocument/2006/relationships/hyperlink" Target="https://doi.org/10.1145/3815195" TargetMode="External"/><Relationship Id="rId129" Type="http://schemas.openxmlformats.org/officeDocument/2006/relationships/hyperlink" Target="https://doi.org/10.1145/2666216.2666222" TargetMode="External"/><Relationship Id="rId128" Type="http://schemas.openxmlformats.org/officeDocument/2006/relationships/hyperlink" Target="https://doi.org/10.1145/266399.266405" TargetMode="External"/><Relationship Id="rId249" Type="http://schemas.openxmlformats.org/officeDocument/2006/relationships/hyperlink" Target="https://doi.org/10.1145/3742413.3789111" TargetMode="External"/><Relationship Id="rId127" Type="http://schemas.openxmlformats.org/officeDocument/2006/relationships/hyperlink" Target="https://doi.org/10.1145/2656204" TargetMode="External"/><Relationship Id="rId248" Type="http://schemas.openxmlformats.org/officeDocument/2006/relationships/hyperlink" Target="https://doi.org/10.1145/3736731.3786118" TargetMode="External"/><Relationship Id="rId369" Type="http://schemas.openxmlformats.org/officeDocument/2006/relationships/hyperlink" Target="https://doi.org/10.1145/3810945" TargetMode="External"/><Relationship Id="rId126" Type="http://schemas.openxmlformats.org/officeDocument/2006/relationships/hyperlink" Target="https://doi.org/10.1145/2631187" TargetMode="External"/><Relationship Id="rId247" Type="http://schemas.openxmlformats.org/officeDocument/2006/relationships/hyperlink" Target="https://doi.org/10.1145/3736731.3746137" TargetMode="External"/><Relationship Id="rId368" Type="http://schemas.openxmlformats.org/officeDocument/2006/relationships/hyperlink" Target="https://doi.org/10.1145/3802598" TargetMode="External"/><Relationship Id="rId121" Type="http://schemas.openxmlformats.org/officeDocument/2006/relationships/hyperlink" Target="https://doi.org/10.1145/2523616.2523635" TargetMode="External"/><Relationship Id="rId242" Type="http://schemas.openxmlformats.org/officeDocument/2006/relationships/hyperlink" Target="https://doi.org/10.1145/3721201.3721385" TargetMode="External"/><Relationship Id="rId363" Type="http://schemas.openxmlformats.org/officeDocument/2006/relationships/hyperlink" Target="https://doi.org/10.1145/3793679" TargetMode="External"/><Relationship Id="rId120" Type="http://schemas.openxmlformats.org/officeDocument/2006/relationships/hyperlink" Target="https://doi.org/10.1145/2512348" TargetMode="External"/><Relationship Id="rId241" Type="http://schemas.openxmlformats.org/officeDocument/2006/relationships/hyperlink" Target="https://doi.org/10.1145/3720554.3735862" TargetMode="External"/><Relationship Id="rId362" Type="http://schemas.openxmlformats.org/officeDocument/2006/relationships/hyperlink" Target="https://doi.org/10.1145/3793638.3793643" TargetMode="External"/><Relationship Id="rId240" Type="http://schemas.openxmlformats.org/officeDocument/2006/relationships/hyperlink" Target="https://doi.org/10.1145/3719160.3736618" TargetMode="External"/><Relationship Id="rId361" Type="http://schemas.openxmlformats.org/officeDocument/2006/relationships/hyperlink" Target="https://doi.org/10.1145/3788646.3789536" TargetMode="External"/><Relationship Id="rId360" Type="http://schemas.openxmlformats.org/officeDocument/2006/relationships/hyperlink" Target="https://doi.org/10.1145/3786335.3813137" TargetMode="External"/><Relationship Id="rId125" Type="http://schemas.openxmlformats.org/officeDocument/2006/relationships/hyperlink" Target="https://doi.org/10.1145/262116.262142" TargetMode="External"/><Relationship Id="rId246" Type="http://schemas.openxmlformats.org/officeDocument/2006/relationships/hyperlink" Target="https://doi.org/10.1145/3736425.3770093" TargetMode="External"/><Relationship Id="rId367" Type="http://schemas.openxmlformats.org/officeDocument/2006/relationships/hyperlink" Target="https://doi.org/10.1145/3800687" TargetMode="External"/><Relationship Id="rId124" Type="http://schemas.openxmlformats.org/officeDocument/2006/relationships/hyperlink" Target="https://doi.org/10.1145/2559206.2581287" TargetMode="External"/><Relationship Id="rId245" Type="http://schemas.openxmlformats.org/officeDocument/2006/relationships/hyperlink" Target="https://doi.org/10.1145/3735402" TargetMode="External"/><Relationship Id="rId366" Type="http://schemas.openxmlformats.org/officeDocument/2006/relationships/hyperlink" Target="https://doi.org/10.1145/3800683" TargetMode="External"/><Relationship Id="rId123" Type="http://schemas.openxmlformats.org/officeDocument/2006/relationships/hyperlink" Target="https://doi.org/10.1145/2541940.2541951" TargetMode="External"/><Relationship Id="rId244" Type="http://schemas.openxmlformats.org/officeDocument/2006/relationships/hyperlink" Target="https://doi.org/10.1145/3731459.3786222" TargetMode="External"/><Relationship Id="rId365" Type="http://schemas.openxmlformats.org/officeDocument/2006/relationships/hyperlink" Target="https://doi.org/10.1145/3800580" TargetMode="External"/><Relationship Id="rId122" Type="http://schemas.openxmlformats.org/officeDocument/2006/relationships/hyperlink" Target="https://doi.org/10.1145/2536536.2536628" TargetMode="External"/><Relationship Id="rId243" Type="http://schemas.openxmlformats.org/officeDocument/2006/relationships/hyperlink" Target="https://doi.org/10.1145/3727200.3727226" TargetMode="External"/><Relationship Id="rId364" Type="http://schemas.openxmlformats.org/officeDocument/2006/relationships/hyperlink" Target="https://doi.org/10.1145/3799914.3799919" TargetMode="External"/><Relationship Id="rId95" Type="http://schemas.openxmlformats.org/officeDocument/2006/relationships/hyperlink" Target="https://doi.org/10.1145/2043556.2043558" TargetMode="External"/><Relationship Id="rId94" Type="http://schemas.openxmlformats.org/officeDocument/2006/relationships/hyperlink" Target="https://doi.org/10.1145/2038916.2038939" TargetMode="External"/><Relationship Id="rId97" Type="http://schemas.openxmlformats.org/officeDocument/2006/relationships/hyperlink" Target="https://doi.org/10.1145/2107502.2107511" TargetMode="External"/><Relationship Id="rId96" Type="http://schemas.openxmlformats.org/officeDocument/2006/relationships/hyperlink" Target="https://doi.org/10.1145/2043556.2043593" TargetMode="External"/><Relationship Id="rId99" Type="http://schemas.openxmlformats.org/officeDocument/2006/relationships/hyperlink" Target="https://doi.org/10.1145/2124295.2124300" TargetMode="External"/><Relationship Id="rId98" Type="http://schemas.openxmlformats.org/officeDocument/2006/relationships/hyperlink" Target="https://doi.org/10.1145/2110205.2110209" TargetMode="External"/><Relationship Id="rId91" Type="http://schemas.openxmlformats.org/officeDocument/2006/relationships/hyperlink" Target="https://doi.org/10.1145/2003690.2003693" TargetMode="External"/><Relationship Id="rId90" Type="http://schemas.openxmlformats.org/officeDocument/2006/relationships/hyperlink" Target="https://doi.org/10.1145/199688.199776" TargetMode="External"/><Relationship Id="rId93" Type="http://schemas.openxmlformats.org/officeDocument/2006/relationships/hyperlink" Target="https://doi.org/10.1145/2038916.2038917" TargetMode="External"/><Relationship Id="rId92" Type="http://schemas.openxmlformats.org/officeDocument/2006/relationships/hyperlink" Target="https://doi.org/10.1145/2018584.2018596" TargetMode="External"/><Relationship Id="rId118" Type="http://schemas.openxmlformats.org/officeDocument/2006/relationships/hyperlink" Target="https://doi.org/10.1145/2504847" TargetMode="External"/><Relationship Id="rId239" Type="http://schemas.openxmlformats.org/officeDocument/2006/relationships/hyperlink" Target="https://doi.org/10.1145/3719160.3736611" TargetMode="External"/><Relationship Id="rId117" Type="http://schemas.openxmlformats.org/officeDocument/2006/relationships/hyperlink" Target="https://doi.org/10.1145/2503210.2503281" TargetMode="External"/><Relationship Id="rId238" Type="http://schemas.openxmlformats.org/officeDocument/2006/relationships/hyperlink" Target="https://doi.org/10.1145/3717511.3747073" TargetMode="External"/><Relationship Id="rId359" Type="http://schemas.openxmlformats.org/officeDocument/2006/relationships/hyperlink" Target="https://doi.org/10.1145/3786304.3787891" TargetMode="External"/><Relationship Id="rId116" Type="http://schemas.openxmlformats.org/officeDocument/2006/relationships/hyperlink" Target="https://doi.org/10.1145/2482767.2482793" TargetMode="External"/><Relationship Id="rId237" Type="http://schemas.openxmlformats.org/officeDocument/2006/relationships/hyperlink" Target="https://doi.org/10.1145/3716628" TargetMode="External"/><Relationship Id="rId358" Type="http://schemas.openxmlformats.org/officeDocument/2006/relationships/hyperlink" Target="https://doi.org/10.1145/3786304.3787879" TargetMode="External"/><Relationship Id="rId115" Type="http://schemas.openxmlformats.org/officeDocument/2006/relationships/hyperlink" Target="https://doi.org/10.1145/2465529.2465553" TargetMode="External"/><Relationship Id="rId236" Type="http://schemas.openxmlformats.org/officeDocument/2006/relationships/hyperlink" Target="https://doi.org/10.1145/3716553.3750784" TargetMode="External"/><Relationship Id="rId357" Type="http://schemas.openxmlformats.org/officeDocument/2006/relationships/hyperlink" Target="https://doi.org/10.1145/3786304.3787865" TargetMode="External"/><Relationship Id="rId119" Type="http://schemas.openxmlformats.org/officeDocument/2006/relationships/hyperlink" Target="https://doi.org/10.1145/2508363.2508381" TargetMode="External"/><Relationship Id="rId110" Type="http://schemas.openxmlformats.org/officeDocument/2006/relationships/hyperlink" Target="https://doi.org/10.1145/2377677.2377681" TargetMode="External"/><Relationship Id="rId231" Type="http://schemas.openxmlformats.org/officeDocument/2006/relationships/hyperlink" Target="https://doi.org/10.1145/3715275.3732038" TargetMode="External"/><Relationship Id="rId352" Type="http://schemas.openxmlformats.org/officeDocument/2006/relationships/hyperlink" Target="https://doi.org/10.1145/3774904.3792976" TargetMode="External"/><Relationship Id="rId230" Type="http://schemas.openxmlformats.org/officeDocument/2006/relationships/hyperlink" Target="https://doi.org/10.1145/3715073.3715075" TargetMode="External"/><Relationship Id="rId351" Type="http://schemas.openxmlformats.org/officeDocument/2006/relationships/hyperlink" Target="https://doi.org/10.1145/3774904.3792671" TargetMode="External"/><Relationship Id="rId350" Type="http://schemas.openxmlformats.org/officeDocument/2006/relationships/hyperlink" Target="https://doi.org/10.1145/3774904.3792506" TargetMode="External"/><Relationship Id="rId114" Type="http://schemas.openxmlformats.org/officeDocument/2006/relationships/hyperlink" Target="https://doi.org/10.1145/2465351.2465361" TargetMode="External"/><Relationship Id="rId235" Type="http://schemas.openxmlformats.org/officeDocument/2006/relationships/hyperlink" Target="https://doi.org/10.1145/3715275.3732146" TargetMode="External"/><Relationship Id="rId356" Type="http://schemas.openxmlformats.org/officeDocument/2006/relationships/hyperlink" Target="https://doi.org/10.1145/3786167.3788413" TargetMode="External"/><Relationship Id="rId113" Type="http://schemas.openxmlformats.org/officeDocument/2006/relationships/hyperlink" Target="https://doi.org/10.1145/2391229.2391237" TargetMode="External"/><Relationship Id="rId234" Type="http://schemas.openxmlformats.org/officeDocument/2006/relationships/hyperlink" Target="https://doi.org/10.1145/3715275.3732094" TargetMode="External"/><Relationship Id="rId355" Type="http://schemas.openxmlformats.org/officeDocument/2006/relationships/hyperlink" Target="https://doi.org/10.1145/3779295" TargetMode="External"/><Relationship Id="rId112" Type="http://schemas.openxmlformats.org/officeDocument/2006/relationships/hyperlink" Target="https://doi.org/10.1145/238168.238181" TargetMode="External"/><Relationship Id="rId233" Type="http://schemas.openxmlformats.org/officeDocument/2006/relationships/hyperlink" Target="https://doi.org/10.1145/3715275.3732063" TargetMode="External"/><Relationship Id="rId354" Type="http://schemas.openxmlformats.org/officeDocument/2006/relationships/hyperlink" Target="https://doi.org/10.1145/3778354" TargetMode="External"/><Relationship Id="rId111" Type="http://schemas.openxmlformats.org/officeDocument/2006/relationships/hyperlink" Target="https://doi.org/10.1145/2378356.2378361" TargetMode="External"/><Relationship Id="rId232" Type="http://schemas.openxmlformats.org/officeDocument/2006/relationships/hyperlink" Target="https://doi.org/10.1145/3715275.3732039" TargetMode="External"/><Relationship Id="rId353" Type="http://schemas.openxmlformats.org/officeDocument/2006/relationships/hyperlink" Target="https://doi.org/10.1145/3776734.3794532" TargetMode="External"/><Relationship Id="rId305" Type="http://schemas.openxmlformats.org/officeDocument/2006/relationships/hyperlink" Target="https://doi.org/10.1145/3772318.3791068" TargetMode="External"/><Relationship Id="rId304" Type="http://schemas.openxmlformats.org/officeDocument/2006/relationships/hyperlink" Target="https://doi.org/10.1145/3772318.3791060" TargetMode="External"/><Relationship Id="rId303" Type="http://schemas.openxmlformats.org/officeDocument/2006/relationships/hyperlink" Target="https://doi.org/10.1145/3772318.3791012" TargetMode="External"/><Relationship Id="rId302" Type="http://schemas.openxmlformats.org/officeDocument/2006/relationships/hyperlink" Target="https://doi.org/10.1145/3772318.3790934" TargetMode="External"/><Relationship Id="rId309" Type="http://schemas.openxmlformats.org/officeDocument/2006/relationships/hyperlink" Target="https://doi.org/10.1145/3772318.3791248" TargetMode="External"/><Relationship Id="rId308" Type="http://schemas.openxmlformats.org/officeDocument/2006/relationships/hyperlink" Target="https://doi.org/10.1145/3772318.3791233" TargetMode="External"/><Relationship Id="rId307" Type="http://schemas.openxmlformats.org/officeDocument/2006/relationships/hyperlink" Target="https://doi.org/10.1145/3772318.3791149" TargetMode="External"/><Relationship Id="rId306" Type="http://schemas.openxmlformats.org/officeDocument/2006/relationships/hyperlink" Target="https://doi.org/10.1145/3772318.3791079" TargetMode="External"/><Relationship Id="rId301" Type="http://schemas.openxmlformats.org/officeDocument/2006/relationships/hyperlink" Target="https://doi.org/10.1145/3772318.3790907" TargetMode="External"/><Relationship Id="rId300" Type="http://schemas.openxmlformats.org/officeDocument/2006/relationships/hyperlink" Target="https://doi.org/10.1145/3772318.3790859" TargetMode="External"/><Relationship Id="rId206" Type="http://schemas.openxmlformats.org/officeDocument/2006/relationships/hyperlink" Target="https://doi.org/10.1145/3655103.3655107" TargetMode="External"/><Relationship Id="rId327" Type="http://schemas.openxmlformats.org/officeDocument/2006/relationships/hyperlink" Target="https://doi.org/10.1145/3772318.3791845" TargetMode="External"/><Relationship Id="rId205" Type="http://schemas.openxmlformats.org/officeDocument/2006/relationships/hyperlink" Target="https://doi.org/10.1145/3648188.3678216" TargetMode="External"/><Relationship Id="rId326" Type="http://schemas.openxmlformats.org/officeDocument/2006/relationships/hyperlink" Target="https://doi.org/10.1145/3772318.3791834" TargetMode="External"/><Relationship Id="rId204" Type="http://schemas.openxmlformats.org/officeDocument/2006/relationships/hyperlink" Target="https://doi.org/10.1145/3643834.3661525" TargetMode="External"/><Relationship Id="rId325" Type="http://schemas.openxmlformats.org/officeDocument/2006/relationships/hyperlink" Target="https://doi.org/10.1145/3772318.3791775" TargetMode="External"/><Relationship Id="rId203" Type="http://schemas.openxmlformats.org/officeDocument/2006/relationships/hyperlink" Target="https://doi.org/10.1145/3642979.3642984" TargetMode="External"/><Relationship Id="rId324" Type="http://schemas.openxmlformats.org/officeDocument/2006/relationships/hyperlink" Target="https://doi.org/10.1145/3772318.3791760" TargetMode="External"/><Relationship Id="rId209" Type="http://schemas.openxmlformats.org/officeDocument/2006/relationships/hyperlink" Target="https://doi.org/10.1145/3660650.3660656" TargetMode="External"/><Relationship Id="rId208" Type="http://schemas.openxmlformats.org/officeDocument/2006/relationships/hyperlink" Target="https://doi.org/10.1145/3658644.3691638" TargetMode="External"/><Relationship Id="rId329" Type="http://schemas.openxmlformats.org/officeDocument/2006/relationships/hyperlink" Target="https://doi.org/10.1145/3772318.3791880" TargetMode="External"/><Relationship Id="rId207" Type="http://schemas.openxmlformats.org/officeDocument/2006/relationships/hyperlink" Target="https://doi.org/10.1145/3657604.3662042" TargetMode="External"/><Relationship Id="rId328" Type="http://schemas.openxmlformats.org/officeDocument/2006/relationships/hyperlink" Target="https://doi.org/10.1145/3772318.3791851" TargetMode="External"/><Relationship Id="rId202" Type="http://schemas.openxmlformats.org/officeDocument/2006/relationships/hyperlink" Target="https://doi.org/10.1145/3640543.3645148" TargetMode="External"/><Relationship Id="rId323" Type="http://schemas.openxmlformats.org/officeDocument/2006/relationships/hyperlink" Target="https://doi.org/10.1145/3772318.3791726" TargetMode="External"/><Relationship Id="rId201" Type="http://schemas.openxmlformats.org/officeDocument/2006/relationships/hyperlink" Target="https://doi.org/10.1145/3640352" TargetMode="External"/><Relationship Id="rId322" Type="http://schemas.openxmlformats.org/officeDocument/2006/relationships/hyperlink" Target="https://doi.org/10.1145/3772318.3791640" TargetMode="External"/><Relationship Id="rId200" Type="http://schemas.openxmlformats.org/officeDocument/2006/relationships/hyperlink" Target="https://doi.org/10.1145/3639372" TargetMode="External"/><Relationship Id="rId321" Type="http://schemas.openxmlformats.org/officeDocument/2006/relationships/hyperlink" Target="https://doi.org/10.1145/3772318.3791632" TargetMode="External"/><Relationship Id="rId320" Type="http://schemas.openxmlformats.org/officeDocument/2006/relationships/hyperlink" Target="https://doi.org/10.1145/3772318.3791600" TargetMode="External"/><Relationship Id="rId316" Type="http://schemas.openxmlformats.org/officeDocument/2006/relationships/hyperlink" Target="https://doi.org/10.1145/3772318.3791484" TargetMode="External"/><Relationship Id="rId315" Type="http://schemas.openxmlformats.org/officeDocument/2006/relationships/hyperlink" Target="https://doi.org/10.1145/3772318.3791428" TargetMode="External"/><Relationship Id="rId314" Type="http://schemas.openxmlformats.org/officeDocument/2006/relationships/hyperlink" Target="https://doi.org/10.1145/3772318.3791381" TargetMode="External"/><Relationship Id="rId313" Type="http://schemas.openxmlformats.org/officeDocument/2006/relationships/hyperlink" Target="https://doi.org/10.1145/3772318.3791365" TargetMode="External"/><Relationship Id="rId319" Type="http://schemas.openxmlformats.org/officeDocument/2006/relationships/hyperlink" Target="https://doi.org/10.1145/3772318.3791571" TargetMode="External"/><Relationship Id="rId318" Type="http://schemas.openxmlformats.org/officeDocument/2006/relationships/hyperlink" Target="https://doi.org/10.1145/3772318.3791560" TargetMode="External"/><Relationship Id="rId317" Type="http://schemas.openxmlformats.org/officeDocument/2006/relationships/hyperlink" Target="https://doi.org/10.1145/3772318.3791556" TargetMode="External"/><Relationship Id="rId312" Type="http://schemas.openxmlformats.org/officeDocument/2006/relationships/hyperlink" Target="https://doi.org/10.1145/3772318.3791363" TargetMode="External"/><Relationship Id="rId311" Type="http://schemas.openxmlformats.org/officeDocument/2006/relationships/hyperlink" Target="https://doi.org/10.1145/3772318.3791319" TargetMode="External"/><Relationship Id="rId310" Type="http://schemas.openxmlformats.org/officeDocument/2006/relationships/hyperlink" Target="https://doi.org/10.1145/3772318.3791300"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7.88"/>
    <col customWidth="1" min="2" max="2" width="3.75"/>
    <col customWidth="1" min="3" max="3" width="4.88"/>
    <col customWidth="1" min="4" max="4" width="3.38"/>
    <col customWidth="1" min="5" max="7" width="12.5"/>
    <col customWidth="1" min="8" max="8" width="16.13"/>
    <col customWidth="1" min="9" max="9" width="12.5"/>
    <col customWidth="1" min="10" max="14" width="15.38"/>
    <col customWidth="1" min="15" max="15" width="12.63"/>
    <col customWidth="1" min="16" max="16" width="8.75"/>
    <col customWidth="1" min="17" max="17" width="12.38"/>
  </cols>
  <sheetData>
    <row r="1">
      <c r="A1" s="1" t="s">
        <v>0</v>
      </c>
      <c r="B1" s="1" t="s">
        <v>1</v>
      </c>
      <c r="C1" s="1" t="s">
        <v>2</v>
      </c>
      <c r="D1" s="2" t="s">
        <v>3</v>
      </c>
      <c r="E1" s="3"/>
      <c r="F1" s="3"/>
      <c r="G1" s="3"/>
      <c r="H1" s="4" t="s">
        <v>4</v>
      </c>
      <c r="I1" s="5"/>
      <c r="J1" s="5"/>
      <c r="K1" s="5"/>
      <c r="L1" s="5"/>
      <c r="M1" s="6" t="s">
        <v>5</v>
      </c>
      <c r="N1" s="7"/>
      <c r="O1" s="7"/>
      <c r="P1" s="7"/>
      <c r="Q1" s="7"/>
    </row>
    <row r="2" ht="29.25" customHeight="1">
      <c r="A2" s="8"/>
      <c r="B2" s="9"/>
      <c r="C2" s="9"/>
      <c r="D2" s="2" t="s">
        <v>3</v>
      </c>
      <c r="E2" s="10" t="s">
        <v>6</v>
      </c>
      <c r="F2" s="10" t="s">
        <v>7</v>
      </c>
      <c r="G2" s="10" t="s">
        <v>8</v>
      </c>
      <c r="H2" s="4" t="s">
        <v>9</v>
      </c>
      <c r="I2" s="4" t="s">
        <v>10</v>
      </c>
      <c r="J2" s="4" t="s">
        <v>11</v>
      </c>
      <c r="K2" s="4" t="s">
        <v>12</v>
      </c>
      <c r="L2" s="4" t="s">
        <v>13</v>
      </c>
      <c r="M2" s="6" t="s">
        <v>14</v>
      </c>
      <c r="N2" s="6" t="s">
        <v>15</v>
      </c>
      <c r="O2" s="6" t="s">
        <v>16</v>
      </c>
      <c r="P2" s="6" t="s">
        <v>17</v>
      </c>
      <c r="Q2" s="6" t="s">
        <v>18</v>
      </c>
    </row>
    <row r="3" ht="57.75" customHeight="1">
      <c r="A3" s="8"/>
      <c r="B3" s="9"/>
      <c r="C3" s="9"/>
      <c r="D3" s="2" t="s">
        <v>3</v>
      </c>
      <c r="E3" s="11" t="s">
        <v>19</v>
      </c>
      <c r="F3" s="11" t="s">
        <v>20</v>
      </c>
      <c r="G3" s="11" t="s">
        <v>21</v>
      </c>
      <c r="H3" s="12" t="s">
        <v>22</v>
      </c>
      <c r="I3" s="12" t="s">
        <v>23</v>
      </c>
      <c r="J3" s="12" t="s">
        <v>24</v>
      </c>
      <c r="K3" s="12" t="s">
        <v>25</v>
      </c>
      <c r="L3" s="12" t="s">
        <v>26</v>
      </c>
      <c r="M3" s="6" t="s">
        <v>27</v>
      </c>
      <c r="N3" s="6" t="s">
        <v>28</v>
      </c>
      <c r="O3" s="6" t="s">
        <v>29</v>
      </c>
      <c r="P3" s="6" t="s">
        <v>30</v>
      </c>
      <c r="Q3" s="6" t="s">
        <v>31</v>
      </c>
    </row>
    <row r="4">
      <c r="A4" s="13" t="s">
        <v>32</v>
      </c>
      <c r="B4" s="13" t="s">
        <v>33</v>
      </c>
      <c r="C4" s="13" t="s">
        <v>34</v>
      </c>
      <c r="D4" s="2" t="s">
        <v>3</v>
      </c>
      <c r="E4" s="14" t="s">
        <v>35</v>
      </c>
      <c r="F4" s="14" t="s">
        <v>35</v>
      </c>
      <c r="G4" s="14" t="s">
        <v>36</v>
      </c>
      <c r="H4" s="14" t="s">
        <v>35</v>
      </c>
      <c r="I4" s="14" t="s">
        <v>35</v>
      </c>
      <c r="J4" s="14" t="s">
        <v>36</v>
      </c>
      <c r="K4" s="14" t="s">
        <v>35</v>
      </c>
      <c r="L4" s="14" t="s">
        <v>36</v>
      </c>
      <c r="M4" s="14" t="s">
        <v>35</v>
      </c>
      <c r="N4" s="14" t="s">
        <v>35</v>
      </c>
      <c r="O4" s="14" t="s">
        <v>36</v>
      </c>
      <c r="P4" s="14" t="s">
        <v>35</v>
      </c>
      <c r="Q4" s="14" t="s">
        <v>35</v>
      </c>
    </row>
    <row r="5">
      <c r="A5" s="13" t="s">
        <v>37</v>
      </c>
      <c r="B5" s="13" t="s">
        <v>38</v>
      </c>
      <c r="C5" s="13" t="s">
        <v>39</v>
      </c>
      <c r="D5" s="2" t="s">
        <v>3</v>
      </c>
      <c r="E5" s="14" t="s">
        <v>35</v>
      </c>
      <c r="F5" s="14" t="s">
        <v>35</v>
      </c>
      <c r="G5" s="14" t="s">
        <v>36</v>
      </c>
      <c r="H5" s="14" t="s">
        <v>35</v>
      </c>
      <c r="I5" s="14" t="s">
        <v>35</v>
      </c>
      <c r="J5" s="14" t="s">
        <v>35</v>
      </c>
      <c r="K5" s="14" t="s">
        <v>36</v>
      </c>
      <c r="L5" s="14" t="s">
        <v>36</v>
      </c>
      <c r="M5" s="14" t="s">
        <v>35</v>
      </c>
      <c r="N5" s="14" t="s">
        <v>35</v>
      </c>
      <c r="O5" s="14" t="s">
        <v>35</v>
      </c>
      <c r="P5" s="14" t="s">
        <v>36</v>
      </c>
      <c r="Q5" s="14" t="s">
        <v>35</v>
      </c>
    </row>
    <row r="6">
      <c r="A6" s="13" t="s">
        <v>40</v>
      </c>
      <c r="B6" s="13" t="s">
        <v>41</v>
      </c>
      <c r="C6" s="13" t="s">
        <v>42</v>
      </c>
      <c r="D6" s="2" t="s">
        <v>3</v>
      </c>
      <c r="E6" s="14" t="s">
        <v>35</v>
      </c>
      <c r="F6" s="14" t="s">
        <v>35</v>
      </c>
      <c r="G6" s="14" t="s">
        <v>36</v>
      </c>
      <c r="H6" s="14" t="s">
        <v>36</v>
      </c>
      <c r="I6" s="14" t="s">
        <v>35</v>
      </c>
      <c r="J6" s="14" t="s">
        <v>35</v>
      </c>
      <c r="K6" s="14" t="s">
        <v>36</v>
      </c>
      <c r="L6" s="14" t="s">
        <v>36</v>
      </c>
      <c r="M6" s="14" t="s">
        <v>35</v>
      </c>
      <c r="N6" s="14" t="s">
        <v>35</v>
      </c>
      <c r="O6" s="14" t="s">
        <v>35</v>
      </c>
      <c r="P6" s="14" t="s">
        <v>36</v>
      </c>
      <c r="Q6" s="14" t="s">
        <v>35</v>
      </c>
    </row>
    <row r="7">
      <c r="A7" s="13" t="s">
        <v>43</v>
      </c>
      <c r="B7" s="13" t="s">
        <v>44</v>
      </c>
      <c r="C7" s="13" t="s">
        <v>45</v>
      </c>
      <c r="D7" s="2" t="s">
        <v>3</v>
      </c>
      <c r="E7" s="14" t="s">
        <v>35</v>
      </c>
      <c r="F7" s="14" t="s">
        <v>36</v>
      </c>
      <c r="G7" s="14" t="s">
        <v>36</v>
      </c>
      <c r="H7" s="14" t="s">
        <v>36</v>
      </c>
      <c r="I7" s="14" t="s">
        <v>35</v>
      </c>
      <c r="J7" s="14" t="s">
        <v>35</v>
      </c>
      <c r="K7" s="14" t="s">
        <v>35</v>
      </c>
      <c r="L7" s="14" t="s">
        <v>35</v>
      </c>
      <c r="M7" s="14" t="s">
        <v>35</v>
      </c>
      <c r="N7" s="14" t="s">
        <v>35</v>
      </c>
      <c r="O7" s="14" t="s">
        <v>35</v>
      </c>
      <c r="P7" s="14" t="s">
        <v>36</v>
      </c>
      <c r="Q7" s="14" t="s">
        <v>35</v>
      </c>
    </row>
    <row r="8">
      <c r="A8" s="13" t="s">
        <v>46</v>
      </c>
      <c r="B8" s="13" t="s">
        <v>47</v>
      </c>
      <c r="C8" s="13" t="s">
        <v>48</v>
      </c>
      <c r="D8" s="2" t="s">
        <v>3</v>
      </c>
      <c r="E8" s="14" t="s">
        <v>35</v>
      </c>
      <c r="F8" s="14" t="s">
        <v>35</v>
      </c>
      <c r="G8" s="14" t="s">
        <v>35</v>
      </c>
      <c r="H8" s="14" t="s">
        <v>35</v>
      </c>
      <c r="I8" s="14" t="s">
        <v>35</v>
      </c>
      <c r="J8" s="14" t="s">
        <v>35</v>
      </c>
      <c r="K8" s="14" t="s">
        <v>35</v>
      </c>
      <c r="L8" s="14" t="s">
        <v>36</v>
      </c>
      <c r="M8" s="14" t="s">
        <v>35</v>
      </c>
      <c r="N8" s="14" t="s">
        <v>36</v>
      </c>
      <c r="O8" s="14" t="s">
        <v>36</v>
      </c>
      <c r="P8" s="14" t="s">
        <v>35</v>
      </c>
      <c r="Q8" s="14" t="s">
        <v>35</v>
      </c>
    </row>
    <row r="9">
      <c r="A9" s="13" t="s">
        <v>49</v>
      </c>
      <c r="B9" s="13" t="s">
        <v>50</v>
      </c>
      <c r="C9" s="13" t="s">
        <v>51</v>
      </c>
      <c r="D9" s="2" t="s">
        <v>3</v>
      </c>
      <c r="E9" s="14" t="s">
        <v>36</v>
      </c>
      <c r="F9" s="14" t="s">
        <v>35</v>
      </c>
      <c r="G9" s="14" t="s">
        <v>35</v>
      </c>
      <c r="H9" s="14" t="s">
        <v>35</v>
      </c>
      <c r="I9" s="14" t="s">
        <v>35</v>
      </c>
      <c r="J9" s="14" t="s">
        <v>36</v>
      </c>
      <c r="K9" s="14" t="s">
        <v>35</v>
      </c>
      <c r="L9" s="14" t="s">
        <v>36</v>
      </c>
      <c r="M9" s="14" t="s">
        <v>36</v>
      </c>
      <c r="N9" s="14" t="s">
        <v>35</v>
      </c>
      <c r="O9" s="14" t="s">
        <v>35</v>
      </c>
      <c r="P9" s="14" t="s">
        <v>35</v>
      </c>
      <c r="Q9" s="14" t="s">
        <v>35</v>
      </c>
    </row>
    <row r="10">
      <c r="A10" s="13" t="s">
        <v>52</v>
      </c>
      <c r="B10" s="13" t="s">
        <v>53</v>
      </c>
      <c r="C10" s="13" t="s">
        <v>54</v>
      </c>
      <c r="D10" s="2" t="s">
        <v>3</v>
      </c>
      <c r="E10" s="14" t="s">
        <v>35</v>
      </c>
      <c r="F10" s="14" t="s">
        <v>36</v>
      </c>
      <c r="G10" s="14" t="s">
        <v>35</v>
      </c>
      <c r="H10" s="14" t="s">
        <v>35</v>
      </c>
      <c r="I10" s="14" t="s">
        <v>35</v>
      </c>
      <c r="J10" s="14" t="s">
        <v>35</v>
      </c>
      <c r="K10" s="14" t="s">
        <v>35</v>
      </c>
      <c r="L10" s="14" t="s">
        <v>36</v>
      </c>
      <c r="M10" s="14" t="s">
        <v>35</v>
      </c>
      <c r="N10" s="14" t="s">
        <v>36</v>
      </c>
      <c r="O10" s="14" t="s">
        <v>36</v>
      </c>
      <c r="P10" s="14" t="s">
        <v>35</v>
      </c>
      <c r="Q10" s="14" t="s">
        <v>35</v>
      </c>
    </row>
    <row r="11">
      <c r="A11" s="13" t="s">
        <v>55</v>
      </c>
      <c r="B11" s="13" t="s">
        <v>56</v>
      </c>
      <c r="C11" s="13" t="s">
        <v>57</v>
      </c>
      <c r="D11" s="2" t="s">
        <v>3</v>
      </c>
      <c r="E11" s="14" t="s">
        <v>36</v>
      </c>
      <c r="F11" s="14" t="s">
        <v>35</v>
      </c>
      <c r="G11" s="14" t="s">
        <v>35</v>
      </c>
      <c r="H11" s="14" t="s">
        <v>36</v>
      </c>
      <c r="I11" s="14" t="s">
        <v>35</v>
      </c>
      <c r="J11" s="14" t="s">
        <v>35</v>
      </c>
      <c r="K11" s="14" t="s">
        <v>35</v>
      </c>
      <c r="L11" s="14" t="s">
        <v>36</v>
      </c>
      <c r="M11" s="14" t="s">
        <v>35</v>
      </c>
      <c r="N11" s="14" t="s">
        <v>35</v>
      </c>
      <c r="O11" s="14" t="s">
        <v>35</v>
      </c>
      <c r="P11" s="14" t="s">
        <v>36</v>
      </c>
      <c r="Q11" s="14" t="s">
        <v>35</v>
      </c>
    </row>
    <row r="12">
      <c r="A12" s="13" t="s">
        <v>58</v>
      </c>
      <c r="B12" s="13" t="s">
        <v>59</v>
      </c>
      <c r="C12" s="13" t="s">
        <v>60</v>
      </c>
      <c r="D12" s="2" t="s">
        <v>3</v>
      </c>
      <c r="E12" s="14" t="s">
        <v>35</v>
      </c>
      <c r="F12" s="14" t="s">
        <v>35</v>
      </c>
      <c r="G12" s="14" t="s">
        <v>35</v>
      </c>
      <c r="H12" s="14" t="s">
        <v>35</v>
      </c>
      <c r="I12" s="14" t="s">
        <v>36</v>
      </c>
      <c r="J12" s="14" t="s">
        <v>35</v>
      </c>
      <c r="K12" s="14" t="s">
        <v>35</v>
      </c>
      <c r="L12" s="14" t="s">
        <v>36</v>
      </c>
      <c r="M12" s="14" t="s">
        <v>35</v>
      </c>
      <c r="N12" s="14" t="s">
        <v>36</v>
      </c>
      <c r="O12" s="14" t="s">
        <v>35</v>
      </c>
      <c r="P12" s="14" t="s">
        <v>35</v>
      </c>
      <c r="Q12" s="14" t="s">
        <v>35</v>
      </c>
    </row>
    <row r="13">
      <c r="A13" s="13" t="s">
        <v>61</v>
      </c>
      <c r="B13" s="13" t="s">
        <v>62</v>
      </c>
      <c r="C13" s="13" t="s">
        <v>63</v>
      </c>
      <c r="D13" s="2" t="s">
        <v>3</v>
      </c>
      <c r="E13" s="14" t="s">
        <v>36</v>
      </c>
      <c r="F13" s="14" t="s">
        <v>35</v>
      </c>
      <c r="G13" s="14" t="s">
        <v>36</v>
      </c>
      <c r="H13" s="14" t="s">
        <v>35</v>
      </c>
      <c r="I13" s="14" t="s">
        <v>35</v>
      </c>
      <c r="J13" s="14" t="s">
        <v>35</v>
      </c>
      <c r="K13" s="14" t="s">
        <v>35</v>
      </c>
      <c r="L13" s="14" t="s">
        <v>36</v>
      </c>
      <c r="M13" s="14" t="s">
        <v>35</v>
      </c>
      <c r="N13" s="14" t="s">
        <v>35</v>
      </c>
      <c r="O13" s="14" t="s">
        <v>35</v>
      </c>
      <c r="P13" s="14" t="s">
        <v>36</v>
      </c>
      <c r="Q13" s="14" t="s">
        <v>35</v>
      </c>
    </row>
    <row r="14">
      <c r="A14" s="13" t="s">
        <v>64</v>
      </c>
      <c r="B14" s="13" t="s">
        <v>65</v>
      </c>
      <c r="C14" s="13" t="s">
        <v>66</v>
      </c>
      <c r="D14" s="2" t="s">
        <v>3</v>
      </c>
      <c r="E14" s="14" t="s">
        <v>35</v>
      </c>
      <c r="F14" s="14" t="s">
        <v>35</v>
      </c>
      <c r="G14" s="14" t="s">
        <v>35</v>
      </c>
      <c r="H14" s="14" t="s">
        <v>35</v>
      </c>
      <c r="I14" s="14" t="s">
        <v>36</v>
      </c>
      <c r="J14" s="14" t="s">
        <v>35</v>
      </c>
      <c r="K14" s="14" t="s">
        <v>35</v>
      </c>
      <c r="L14" s="14" t="s">
        <v>36</v>
      </c>
      <c r="M14" s="14" t="s">
        <v>35</v>
      </c>
      <c r="N14" s="14" t="s">
        <v>35</v>
      </c>
      <c r="O14" s="14" t="s">
        <v>35</v>
      </c>
      <c r="P14" s="14" t="s">
        <v>35</v>
      </c>
      <c r="Q14" s="14" t="s">
        <v>36</v>
      </c>
    </row>
    <row r="15">
      <c r="A15" s="13" t="s">
        <v>67</v>
      </c>
      <c r="B15" s="13" t="s">
        <v>68</v>
      </c>
      <c r="C15" s="13" t="s">
        <v>69</v>
      </c>
      <c r="D15" s="2" t="s">
        <v>3</v>
      </c>
      <c r="E15" s="14" t="s">
        <v>35</v>
      </c>
      <c r="F15" s="14" t="s">
        <v>35</v>
      </c>
      <c r="G15" s="14" t="s">
        <v>35</v>
      </c>
      <c r="H15" s="14" t="s">
        <v>35</v>
      </c>
      <c r="I15" s="14" t="s">
        <v>35</v>
      </c>
      <c r="J15" s="14" t="s">
        <v>35</v>
      </c>
      <c r="K15" s="14" t="s">
        <v>36</v>
      </c>
      <c r="L15" s="14" t="s">
        <v>35</v>
      </c>
      <c r="M15" s="14" t="s">
        <v>35</v>
      </c>
      <c r="N15" s="14" t="s">
        <v>36</v>
      </c>
      <c r="O15" s="14" t="s">
        <v>36</v>
      </c>
      <c r="P15" s="14" t="s">
        <v>35</v>
      </c>
      <c r="Q15" s="14" t="s">
        <v>35</v>
      </c>
    </row>
    <row r="16">
      <c r="A16" s="13" t="s">
        <v>70</v>
      </c>
      <c r="B16" s="13" t="s">
        <v>71</v>
      </c>
      <c r="C16" s="13" t="s">
        <v>72</v>
      </c>
      <c r="D16" s="2" t="s">
        <v>3</v>
      </c>
      <c r="E16" s="14" t="s">
        <v>35</v>
      </c>
      <c r="F16" s="14" t="s">
        <v>35</v>
      </c>
      <c r="G16" s="14" t="s">
        <v>36</v>
      </c>
      <c r="H16" s="14" t="s">
        <v>35</v>
      </c>
      <c r="I16" s="14" t="s">
        <v>35</v>
      </c>
      <c r="J16" s="14" t="s">
        <v>35</v>
      </c>
      <c r="K16" s="14" t="s">
        <v>35</v>
      </c>
      <c r="L16" s="14" t="s">
        <v>36</v>
      </c>
      <c r="M16" s="14" t="s">
        <v>35</v>
      </c>
      <c r="N16" s="14" t="s">
        <v>35</v>
      </c>
      <c r="O16" s="14" t="s">
        <v>36</v>
      </c>
      <c r="P16" s="14" t="s">
        <v>35</v>
      </c>
      <c r="Q16" s="14" t="s">
        <v>36</v>
      </c>
    </row>
    <row r="17">
      <c r="A17" s="13" t="s">
        <v>73</v>
      </c>
      <c r="B17" s="13" t="s">
        <v>74</v>
      </c>
      <c r="C17" s="13" t="s">
        <v>75</v>
      </c>
      <c r="D17" s="2" t="s">
        <v>3</v>
      </c>
      <c r="E17" s="14" t="s">
        <v>35</v>
      </c>
      <c r="F17" s="14" t="s">
        <v>36</v>
      </c>
      <c r="G17" s="14" t="s">
        <v>35</v>
      </c>
      <c r="H17" s="14" t="s">
        <v>35</v>
      </c>
      <c r="I17" s="14" t="s">
        <v>35</v>
      </c>
      <c r="J17" s="14" t="s">
        <v>36</v>
      </c>
      <c r="K17" s="14" t="s">
        <v>35</v>
      </c>
      <c r="L17" s="14" t="s">
        <v>36</v>
      </c>
      <c r="M17" s="14" t="s">
        <v>36</v>
      </c>
      <c r="N17" s="14" t="s">
        <v>35</v>
      </c>
      <c r="O17" s="14" t="s">
        <v>35</v>
      </c>
      <c r="P17" s="14" t="s">
        <v>35</v>
      </c>
      <c r="Q17" s="14" t="s">
        <v>35</v>
      </c>
    </row>
    <row r="18">
      <c r="A18" s="13" t="s">
        <v>76</v>
      </c>
      <c r="B18" s="13" t="s">
        <v>77</v>
      </c>
      <c r="C18" s="13" t="s">
        <v>78</v>
      </c>
      <c r="D18" s="2" t="s">
        <v>3</v>
      </c>
      <c r="E18" s="14" t="s">
        <v>35</v>
      </c>
      <c r="F18" s="14" t="s">
        <v>36</v>
      </c>
      <c r="G18" s="14" t="s">
        <v>35</v>
      </c>
      <c r="H18" s="14" t="s">
        <v>36</v>
      </c>
      <c r="I18" s="14" t="s">
        <v>35</v>
      </c>
      <c r="J18" s="14" t="s">
        <v>35</v>
      </c>
      <c r="K18" s="14" t="s">
        <v>36</v>
      </c>
      <c r="L18" s="14" t="s">
        <v>35</v>
      </c>
      <c r="M18" s="14" t="s">
        <v>35</v>
      </c>
      <c r="N18" s="14" t="s">
        <v>35</v>
      </c>
      <c r="O18" s="14" t="s">
        <v>35</v>
      </c>
      <c r="P18" s="14" t="s">
        <v>36</v>
      </c>
      <c r="Q18" s="14" t="s">
        <v>35</v>
      </c>
    </row>
    <row r="19">
      <c r="A19" s="13" t="s">
        <v>79</v>
      </c>
      <c r="B19" s="13" t="s">
        <v>80</v>
      </c>
      <c r="C19" s="13" t="s">
        <v>81</v>
      </c>
      <c r="D19" s="2" t="s">
        <v>3</v>
      </c>
      <c r="E19" s="14" t="s">
        <v>35</v>
      </c>
      <c r="F19" s="14" t="s">
        <v>35</v>
      </c>
      <c r="G19" s="14" t="s">
        <v>35</v>
      </c>
      <c r="H19" s="14" t="s">
        <v>35</v>
      </c>
      <c r="I19" s="14" t="s">
        <v>35</v>
      </c>
      <c r="J19" s="14" t="s">
        <v>35</v>
      </c>
      <c r="K19" s="14" t="s">
        <v>36</v>
      </c>
      <c r="L19" s="14" t="s">
        <v>36</v>
      </c>
      <c r="M19" s="14" t="s">
        <v>35</v>
      </c>
      <c r="N19" s="14" t="s">
        <v>36</v>
      </c>
      <c r="O19" s="14" t="s">
        <v>36</v>
      </c>
      <c r="P19" s="14" t="s">
        <v>35</v>
      </c>
      <c r="Q19" s="14" t="s">
        <v>35</v>
      </c>
    </row>
    <row r="20">
      <c r="A20" s="13" t="s">
        <v>82</v>
      </c>
      <c r="B20" s="13" t="s">
        <v>83</v>
      </c>
      <c r="C20" s="13" t="s">
        <v>84</v>
      </c>
      <c r="D20" s="2" t="s">
        <v>3</v>
      </c>
      <c r="E20" s="14" t="s">
        <v>35</v>
      </c>
      <c r="F20" s="14" t="s">
        <v>35</v>
      </c>
      <c r="G20" s="14" t="s">
        <v>35</v>
      </c>
      <c r="H20" s="14" t="s">
        <v>35</v>
      </c>
      <c r="I20" s="14" t="s">
        <v>36</v>
      </c>
      <c r="J20" s="14" t="s">
        <v>36</v>
      </c>
      <c r="K20" s="14" t="s">
        <v>35</v>
      </c>
      <c r="L20" s="14" t="s">
        <v>35</v>
      </c>
      <c r="M20" s="14" t="s">
        <v>35</v>
      </c>
      <c r="N20" s="14" t="s">
        <v>36</v>
      </c>
      <c r="O20" s="14" t="s">
        <v>36</v>
      </c>
      <c r="P20" s="14" t="s">
        <v>35</v>
      </c>
      <c r="Q20" s="14" t="s">
        <v>36</v>
      </c>
    </row>
    <row r="21">
      <c r="A21" s="13" t="s">
        <v>85</v>
      </c>
      <c r="B21" s="13" t="s">
        <v>86</v>
      </c>
      <c r="C21" s="13" t="s">
        <v>87</v>
      </c>
      <c r="D21" s="2" t="s">
        <v>3</v>
      </c>
      <c r="E21" s="14" t="s">
        <v>35</v>
      </c>
      <c r="F21" s="14" t="s">
        <v>35</v>
      </c>
      <c r="G21" s="14" t="s">
        <v>35</v>
      </c>
      <c r="H21" s="14" t="s">
        <v>35</v>
      </c>
      <c r="I21" s="14" t="s">
        <v>35</v>
      </c>
      <c r="J21" s="14" t="s">
        <v>36</v>
      </c>
      <c r="K21" s="14" t="s">
        <v>36</v>
      </c>
      <c r="L21" s="14" t="s">
        <v>35</v>
      </c>
      <c r="M21" s="14" t="s">
        <v>35</v>
      </c>
      <c r="N21" s="14" t="s">
        <v>36</v>
      </c>
      <c r="O21" s="14" t="s">
        <v>35</v>
      </c>
      <c r="P21" s="14" t="s">
        <v>35</v>
      </c>
      <c r="Q21" s="14" t="s">
        <v>35</v>
      </c>
    </row>
    <row r="22">
      <c r="A22" s="13" t="s">
        <v>88</v>
      </c>
      <c r="B22" s="13" t="s">
        <v>89</v>
      </c>
      <c r="C22" s="13" t="s">
        <v>90</v>
      </c>
      <c r="D22" s="2" t="s">
        <v>3</v>
      </c>
      <c r="E22" s="14" t="s">
        <v>35</v>
      </c>
      <c r="F22" s="14" t="s">
        <v>35</v>
      </c>
      <c r="G22" s="14" t="s">
        <v>35</v>
      </c>
      <c r="H22" s="14" t="s">
        <v>35</v>
      </c>
      <c r="I22" s="14" t="s">
        <v>36</v>
      </c>
      <c r="J22" s="14" t="s">
        <v>36</v>
      </c>
      <c r="K22" s="14" t="s">
        <v>35</v>
      </c>
      <c r="L22" s="14" t="s">
        <v>35</v>
      </c>
      <c r="M22" s="14" t="s">
        <v>35</v>
      </c>
      <c r="N22" s="14" t="s">
        <v>36</v>
      </c>
      <c r="O22" s="14" t="s">
        <v>36</v>
      </c>
      <c r="P22" s="14" t="s">
        <v>35</v>
      </c>
      <c r="Q22" s="14" t="s">
        <v>35</v>
      </c>
    </row>
    <row r="23">
      <c r="A23" s="13" t="s">
        <v>91</v>
      </c>
      <c r="B23" s="13" t="s">
        <v>92</v>
      </c>
      <c r="C23" s="13" t="s">
        <v>93</v>
      </c>
      <c r="D23" s="2" t="s">
        <v>3</v>
      </c>
      <c r="E23" s="14" t="s">
        <v>36</v>
      </c>
      <c r="F23" s="14" t="s">
        <v>35</v>
      </c>
      <c r="G23" s="14" t="s">
        <v>35</v>
      </c>
      <c r="H23" s="14" t="s">
        <v>35</v>
      </c>
      <c r="I23" s="14" t="s">
        <v>36</v>
      </c>
      <c r="J23" s="14" t="s">
        <v>35</v>
      </c>
      <c r="K23" s="14" t="s">
        <v>35</v>
      </c>
      <c r="L23" s="14" t="s">
        <v>35</v>
      </c>
      <c r="M23" s="14" t="s">
        <v>35</v>
      </c>
      <c r="N23" s="14" t="s">
        <v>36</v>
      </c>
      <c r="O23" s="14" t="s">
        <v>35</v>
      </c>
      <c r="P23" s="14" t="s">
        <v>36</v>
      </c>
      <c r="Q23" s="14" t="s">
        <v>35</v>
      </c>
    </row>
    <row r="24">
      <c r="A24" s="13" t="s">
        <v>94</v>
      </c>
      <c r="B24" s="13" t="s">
        <v>95</v>
      </c>
      <c r="C24" s="13" t="s">
        <v>96</v>
      </c>
      <c r="D24" s="2" t="s">
        <v>3</v>
      </c>
      <c r="E24" s="14" t="s">
        <v>36</v>
      </c>
      <c r="F24" s="14" t="s">
        <v>35</v>
      </c>
      <c r="G24" s="14" t="s">
        <v>35</v>
      </c>
      <c r="H24" s="14" t="s">
        <v>35</v>
      </c>
      <c r="I24" s="14" t="s">
        <v>36</v>
      </c>
      <c r="J24" s="14" t="s">
        <v>35</v>
      </c>
      <c r="K24" s="14" t="s">
        <v>35</v>
      </c>
      <c r="L24" s="14" t="s">
        <v>35</v>
      </c>
      <c r="M24" s="14" t="s">
        <v>35</v>
      </c>
      <c r="N24" s="14" t="s">
        <v>35</v>
      </c>
      <c r="O24" s="14" t="s">
        <v>35</v>
      </c>
      <c r="P24" s="14" t="s">
        <v>36</v>
      </c>
      <c r="Q24" s="14" t="s">
        <v>35</v>
      </c>
    </row>
    <row r="25">
      <c r="A25" s="13" t="s">
        <v>97</v>
      </c>
      <c r="B25" s="13" t="s">
        <v>98</v>
      </c>
      <c r="C25" s="13" t="s">
        <v>99</v>
      </c>
      <c r="D25" s="2" t="s">
        <v>3</v>
      </c>
      <c r="E25" s="14" t="s">
        <v>35</v>
      </c>
      <c r="F25" s="14" t="s">
        <v>35</v>
      </c>
      <c r="G25" s="14" t="s">
        <v>35</v>
      </c>
      <c r="H25" s="14" t="s">
        <v>35</v>
      </c>
      <c r="I25" s="14" t="s">
        <v>35</v>
      </c>
      <c r="J25" s="14" t="s">
        <v>35</v>
      </c>
      <c r="K25" s="14" t="s">
        <v>35</v>
      </c>
      <c r="L25" s="14" t="s">
        <v>36</v>
      </c>
      <c r="M25" s="14" t="s">
        <v>35</v>
      </c>
      <c r="N25" s="14" t="s">
        <v>35</v>
      </c>
      <c r="O25" s="14" t="s">
        <v>35</v>
      </c>
      <c r="P25" s="14" t="s">
        <v>35</v>
      </c>
      <c r="Q25" s="14" t="s">
        <v>36</v>
      </c>
    </row>
    <row r="26">
      <c r="A26" s="13" t="s">
        <v>100</v>
      </c>
      <c r="B26" s="13" t="s">
        <v>101</v>
      </c>
      <c r="C26" s="13" t="s">
        <v>102</v>
      </c>
      <c r="D26" s="2" t="s">
        <v>3</v>
      </c>
      <c r="E26" s="14" t="s">
        <v>35</v>
      </c>
      <c r="F26" s="14" t="s">
        <v>35</v>
      </c>
      <c r="G26" s="14" t="s">
        <v>35</v>
      </c>
      <c r="H26" s="14" t="s">
        <v>35</v>
      </c>
      <c r="I26" s="14" t="s">
        <v>36</v>
      </c>
      <c r="J26" s="14" t="s">
        <v>35</v>
      </c>
      <c r="K26" s="14" t="s">
        <v>35</v>
      </c>
      <c r="L26" s="14" t="s">
        <v>35</v>
      </c>
      <c r="M26" s="14" t="s">
        <v>35</v>
      </c>
      <c r="N26" s="14" t="s">
        <v>36</v>
      </c>
      <c r="O26" s="14" t="s">
        <v>35</v>
      </c>
      <c r="P26" s="14" t="s">
        <v>35</v>
      </c>
      <c r="Q26" s="14" t="s">
        <v>35</v>
      </c>
    </row>
    <row r="27">
      <c r="A27" s="13" t="s">
        <v>103</v>
      </c>
      <c r="B27" s="13" t="s">
        <v>104</v>
      </c>
      <c r="C27" s="13" t="s">
        <v>105</v>
      </c>
      <c r="D27" s="2" t="s">
        <v>3</v>
      </c>
      <c r="E27" s="14" t="s">
        <v>35</v>
      </c>
      <c r="F27" s="14" t="s">
        <v>35</v>
      </c>
      <c r="G27" s="14" t="s">
        <v>35</v>
      </c>
      <c r="H27" s="14" t="s">
        <v>35</v>
      </c>
      <c r="I27" s="14" t="s">
        <v>36</v>
      </c>
      <c r="J27" s="14" t="s">
        <v>35</v>
      </c>
      <c r="K27" s="14" t="s">
        <v>35</v>
      </c>
      <c r="L27" s="14" t="s">
        <v>35</v>
      </c>
      <c r="M27" s="14" t="s">
        <v>36</v>
      </c>
      <c r="N27" s="14" t="s">
        <v>35</v>
      </c>
      <c r="O27" s="14" t="s">
        <v>35</v>
      </c>
      <c r="P27" s="14" t="s">
        <v>35</v>
      </c>
      <c r="Q27" s="14" t="s">
        <v>35</v>
      </c>
    </row>
    <row r="28">
      <c r="A28" s="13" t="s">
        <v>106</v>
      </c>
      <c r="B28" s="13" t="s">
        <v>107</v>
      </c>
      <c r="C28" s="13" t="s">
        <v>108</v>
      </c>
      <c r="D28" s="2" t="s">
        <v>3</v>
      </c>
      <c r="E28" s="14" t="s">
        <v>35</v>
      </c>
      <c r="F28" s="14" t="s">
        <v>35</v>
      </c>
      <c r="G28" s="14" t="s">
        <v>35</v>
      </c>
      <c r="H28" s="14" t="s">
        <v>35</v>
      </c>
      <c r="I28" s="14" t="s">
        <v>36</v>
      </c>
      <c r="J28" s="14" t="s">
        <v>35</v>
      </c>
      <c r="K28" s="14" t="s">
        <v>35</v>
      </c>
      <c r="L28" s="14" t="s">
        <v>35</v>
      </c>
      <c r="M28" s="14" t="s">
        <v>35</v>
      </c>
      <c r="N28" s="14" t="s">
        <v>36</v>
      </c>
      <c r="O28" s="14" t="s">
        <v>35</v>
      </c>
      <c r="P28" s="14" t="s">
        <v>35</v>
      </c>
      <c r="Q28" s="14" t="s">
        <v>35</v>
      </c>
    </row>
    <row r="29">
      <c r="A29" s="13" t="s">
        <v>109</v>
      </c>
      <c r="B29" s="13" t="s">
        <v>110</v>
      </c>
      <c r="C29" s="13" t="s">
        <v>111</v>
      </c>
      <c r="D29" s="2" t="s">
        <v>3</v>
      </c>
      <c r="E29" s="14" t="s">
        <v>35</v>
      </c>
      <c r="F29" s="14" t="s">
        <v>36</v>
      </c>
      <c r="G29" s="14" t="s">
        <v>35</v>
      </c>
      <c r="H29" s="14" t="s">
        <v>35</v>
      </c>
      <c r="I29" s="14" t="s">
        <v>35</v>
      </c>
      <c r="J29" s="14" t="s">
        <v>35</v>
      </c>
      <c r="K29" s="14" t="s">
        <v>35</v>
      </c>
      <c r="L29" s="14" t="s">
        <v>36</v>
      </c>
      <c r="M29" s="14" t="s">
        <v>35</v>
      </c>
      <c r="N29" s="14" t="s">
        <v>35</v>
      </c>
      <c r="O29" s="14" t="s">
        <v>35</v>
      </c>
      <c r="P29" s="14" t="s">
        <v>36</v>
      </c>
      <c r="Q29" s="14" t="s">
        <v>35</v>
      </c>
    </row>
    <row r="30">
      <c r="A30" s="13" t="s">
        <v>112</v>
      </c>
      <c r="B30" s="13" t="s">
        <v>113</v>
      </c>
      <c r="C30" s="13" t="s">
        <v>114</v>
      </c>
      <c r="D30" s="2" t="s">
        <v>3</v>
      </c>
      <c r="E30" s="14" t="s">
        <v>35</v>
      </c>
      <c r="F30" s="14" t="s">
        <v>35</v>
      </c>
      <c r="G30" s="14" t="s">
        <v>36</v>
      </c>
      <c r="H30" s="14" t="s">
        <v>35</v>
      </c>
      <c r="I30" s="14" t="s">
        <v>36</v>
      </c>
      <c r="J30" s="14" t="s">
        <v>35</v>
      </c>
      <c r="K30" s="14" t="s">
        <v>36</v>
      </c>
      <c r="L30" s="14" t="s">
        <v>35</v>
      </c>
      <c r="M30" s="14" t="s">
        <v>35</v>
      </c>
      <c r="N30" s="14" t="s">
        <v>35</v>
      </c>
      <c r="O30" s="14" t="s">
        <v>35</v>
      </c>
      <c r="P30" s="14" t="s">
        <v>36</v>
      </c>
      <c r="Q30" s="14" t="s">
        <v>35</v>
      </c>
    </row>
    <row r="31">
      <c r="A31" s="13" t="s">
        <v>115</v>
      </c>
      <c r="B31" s="13" t="s">
        <v>116</v>
      </c>
      <c r="C31" s="13" t="s">
        <v>117</v>
      </c>
      <c r="D31" s="2" t="s">
        <v>3</v>
      </c>
      <c r="E31" s="14" t="s">
        <v>35</v>
      </c>
      <c r="F31" s="14" t="s">
        <v>36</v>
      </c>
      <c r="G31" s="14" t="s">
        <v>35</v>
      </c>
      <c r="H31" s="14" t="s">
        <v>35</v>
      </c>
      <c r="I31" s="14" t="s">
        <v>36</v>
      </c>
      <c r="J31" s="14" t="s">
        <v>36</v>
      </c>
      <c r="K31" s="14" t="s">
        <v>35</v>
      </c>
      <c r="L31" s="14" t="s">
        <v>36</v>
      </c>
      <c r="M31" s="14" t="s">
        <v>36</v>
      </c>
      <c r="N31" s="14" t="s">
        <v>35</v>
      </c>
      <c r="O31" s="14" t="s">
        <v>35</v>
      </c>
      <c r="P31" s="14" t="s">
        <v>35</v>
      </c>
      <c r="Q31" s="14" t="s">
        <v>35</v>
      </c>
    </row>
    <row r="32">
      <c r="A32" s="13" t="s">
        <v>118</v>
      </c>
      <c r="B32" s="13" t="s">
        <v>119</v>
      </c>
      <c r="C32" s="13" t="s">
        <v>120</v>
      </c>
      <c r="D32" s="2" t="s">
        <v>3</v>
      </c>
      <c r="E32" s="14" t="s">
        <v>35</v>
      </c>
      <c r="F32" s="14" t="s">
        <v>36</v>
      </c>
      <c r="G32" s="14" t="s">
        <v>35</v>
      </c>
      <c r="H32" s="14" t="s">
        <v>35</v>
      </c>
      <c r="I32" s="14" t="s">
        <v>36</v>
      </c>
      <c r="J32" s="14" t="s">
        <v>35</v>
      </c>
      <c r="K32" s="14" t="s">
        <v>35</v>
      </c>
      <c r="L32" s="14" t="s">
        <v>35</v>
      </c>
      <c r="M32" s="14" t="s">
        <v>36</v>
      </c>
      <c r="N32" s="14" t="s">
        <v>35</v>
      </c>
      <c r="O32" s="14" t="s">
        <v>35</v>
      </c>
      <c r="P32" s="14" t="s">
        <v>35</v>
      </c>
      <c r="Q32" s="14" t="s">
        <v>35</v>
      </c>
    </row>
    <row r="33">
      <c r="A33" s="13" t="s">
        <v>121</v>
      </c>
      <c r="B33" s="13" t="s">
        <v>122</v>
      </c>
      <c r="C33" s="13" t="s">
        <v>123</v>
      </c>
      <c r="D33" s="2" t="s">
        <v>3</v>
      </c>
      <c r="E33" s="14" t="s">
        <v>35</v>
      </c>
      <c r="F33" s="14" t="s">
        <v>36</v>
      </c>
      <c r="G33" s="14" t="s">
        <v>35</v>
      </c>
      <c r="H33" s="14" t="s">
        <v>35</v>
      </c>
      <c r="I33" s="14" t="s">
        <v>35</v>
      </c>
      <c r="J33" s="14" t="s">
        <v>35</v>
      </c>
      <c r="K33" s="14" t="s">
        <v>36</v>
      </c>
      <c r="L33" s="14" t="s">
        <v>35</v>
      </c>
      <c r="M33" s="14" t="s">
        <v>35</v>
      </c>
      <c r="N33" s="14" t="s">
        <v>35</v>
      </c>
      <c r="O33" s="14" t="s">
        <v>35</v>
      </c>
      <c r="P33" s="14" t="s">
        <v>36</v>
      </c>
      <c r="Q33" s="14" t="s">
        <v>35</v>
      </c>
    </row>
    <row r="34">
      <c r="A34" s="13" t="s">
        <v>124</v>
      </c>
      <c r="B34" s="13" t="s">
        <v>125</v>
      </c>
      <c r="C34" s="13" t="s">
        <v>126</v>
      </c>
      <c r="D34" s="2" t="s">
        <v>3</v>
      </c>
      <c r="E34" s="14" t="s">
        <v>35</v>
      </c>
      <c r="F34" s="14" t="s">
        <v>35</v>
      </c>
      <c r="G34" s="14" t="s">
        <v>36</v>
      </c>
      <c r="H34" s="14" t="s">
        <v>35</v>
      </c>
      <c r="I34" s="14" t="s">
        <v>36</v>
      </c>
      <c r="J34" s="14" t="s">
        <v>35</v>
      </c>
      <c r="K34" s="14" t="s">
        <v>35</v>
      </c>
      <c r="L34" s="14" t="s">
        <v>36</v>
      </c>
      <c r="M34" s="14" t="s">
        <v>35</v>
      </c>
      <c r="N34" s="14" t="s">
        <v>35</v>
      </c>
      <c r="O34" s="14" t="s">
        <v>35</v>
      </c>
      <c r="P34" s="14" t="s">
        <v>36</v>
      </c>
      <c r="Q34" s="14" t="s">
        <v>35</v>
      </c>
    </row>
    <row r="35">
      <c r="A35" s="15"/>
      <c r="B35" s="16"/>
      <c r="C35" s="16"/>
    </row>
    <row r="36">
      <c r="A36" s="13"/>
      <c r="F36" s="17"/>
      <c r="G36" s="17"/>
      <c r="H36" s="17"/>
      <c r="I36" s="17"/>
      <c r="K36" s="17"/>
      <c r="O36" s="17"/>
      <c r="Q36" s="17"/>
      <c r="R36" s="17"/>
      <c r="S36" s="17"/>
      <c r="T36" s="17"/>
      <c r="U36" s="17"/>
      <c r="V36" s="17"/>
      <c r="W36" s="17"/>
      <c r="X36" s="17"/>
    </row>
    <row r="37">
      <c r="A37" s="15"/>
      <c r="B37" s="18"/>
      <c r="C37" s="18"/>
    </row>
    <row r="38">
      <c r="A38" s="15"/>
    </row>
    <row r="39">
      <c r="A39" s="15"/>
      <c r="B39" s="19"/>
      <c r="C39" s="19"/>
    </row>
    <row r="40">
      <c r="A40" s="13"/>
    </row>
    <row r="41">
      <c r="A41" s="20"/>
    </row>
  </sheetData>
  <conditionalFormatting sqref="A4:C34">
    <cfRule type="cellIs" dxfId="0" priority="1" operator="equal">
      <formula>"TRUE"</formula>
    </cfRule>
  </conditionalFormatting>
  <conditionalFormatting sqref="A4:C34">
    <cfRule type="cellIs" dxfId="1" priority="2" operator="equal">
      <formula>"FALSE"</formula>
    </cfRule>
  </conditionalFormatting>
  <conditionalFormatting sqref="E4:Q34">
    <cfRule type="cellIs" dxfId="2" priority="3" operator="equal">
      <formula>"?"</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3"/>
  </cols>
  <sheetData>
    <row r="1">
      <c r="A1" s="19" t="s">
        <v>0</v>
      </c>
      <c r="B1" s="19" t="s">
        <v>127</v>
      </c>
      <c r="C1" s="19" t="s">
        <v>1</v>
      </c>
    </row>
    <row r="2">
      <c r="A2" s="21" t="s">
        <v>40</v>
      </c>
      <c r="B2" s="22" t="s">
        <v>42</v>
      </c>
      <c r="C2" s="22" t="s">
        <v>41</v>
      </c>
    </row>
    <row r="3">
      <c r="A3" s="21" t="s">
        <v>37</v>
      </c>
      <c r="B3" s="22" t="s">
        <v>39</v>
      </c>
      <c r="C3" s="22" t="s">
        <v>38</v>
      </c>
    </row>
    <row r="4">
      <c r="A4" s="21" t="s">
        <v>128</v>
      </c>
      <c r="B4" s="22" t="s">
        <v>129</v>
      </c>
      <c r="C4" s="22" t="s">
        <v>130</v>
      </c>
    </row>
    <row r="5">
      <c r="A5" s="21" t="s">
        <v>131</v>
      </c>
      <c r="B5" s="22" t="s">
        <v>132</v>
      </c>
      <c r="C5" s="22" t="s">
        <v>133</v>
      </c>
    </row>
    <row r="6">
      <c r="A6" s="21" t="s">
        <v>134</v>
      </c>
      <c r="B6" s="22" t="s">
        <v>135</v>
      </c>
      <c r="C6" s="22" t="s">
        <v>136</v>
      </c>
    </row>
    <row r="7">
      <c r="A7" s="21" t="s">
        <v>137</v>
      </c>
      <c r="B7" s="22" t="s">
        <v>138</v>
      </c>
      <c r="C7" s="22" t="s">
        <v>139</v>
      </c>
    </row>
    <row r="8">
      <c r="A8" s="21" t="s">
        <v>140</v>
      </c>
      <c r="B8" s="22" t="s">
        <v>141</v>
      </c>
      <c r="C8" s="22" t="s">
        <v>142</v>
      </c>
    </row>
    <row r="9">
      <c r="A9" s="21" t="s">
        <v>143</v>
      </c>
      <c r="B9" s="22" t="s">
        <v>144</v>
      </c>
      <c r="C9" s="22" t="s">
        <v>145</v>
      </c>
    </row>
    <row r="10">
      <c r="A10" s="21" t="s">
        <v>146</v>
      </c>
      <c r="B10" s="22" t="s">
        <v>147</v>
      </c>
      <c r="C10" s="22" t="s">
        <v>148</v>
      </c>
    </row>
    <row r="11">
      <c r="A11" s="21" t="s">
        <v>149</v>
      </c>
      <c r="B11" s="22" t="s">
        <v>150</v>
      </c>
      <c r="C11" s="22" t="s">
        <v>151</v>
      </c>
    </row>
    <row r="12">
      <c r="A12" s="21" t="s">
        <v>152</v>
      </c>
      <c r="B12" s="22" t="s">
        <v>153</v>
      </c>
      <c r="C12" s="22" t="s">
        <v>154</v>
      </c>
    </row>
    <row r="13">
      <c r="A13" s="21" t="s">
        <v>155</v>
      </c>
      <c r="B13" s="22" t="s">
        <v>156</v>
      </c>
      <c r="C13" s="22" t="s">
        <v>157</v>
      </c>
    </row>
    <row r="14">
      <c r="A14" s="21" t="s">
        <v>158</v>
      </c>
      <c r="B14" s="22" t="s">
        <v>159</v>
      </c>
      <c r="C14" s="22" t="s">
        <v>160</v>
      </c>
    </row>
    <row r="15">
      <c r="A15" s="21" t="s">
        <v>32</v>
      </c>
      <c r="B15" s="22" t="s">
        <v>34</v>
      </c>
      <c r="C15" s="22" t="s">
        <v>33</v>
      </c>
    </row>
    <row r="16">
      <c r="A16" s="21" t="s">
        <v>43</v>
      </c>
      <c r="B16" s="22" t="s">
        <v>45</v>
      </c>
      <c r="C16" s="22" t="s">
        <v>44</v>
      </c>
    </row>
    <row r="17">
      <c r="A17" s="21" t="s">
        <v>161</v>
      </c>
      <c r="B17" s="22" t="s">
        <v>162</v>
      </c>
      <c r="C17" s="22" t="s">
        <v>163</v>
      </c>
    </row>
    <row r="18">
      <c r="A18" s="21" t="s">
        <v>164</v>
      </c>
      <c r="B18" s="22" t="s">
        <v>165</v>
      </c>
      <c r="C18" s="22" t="s">
        <v>166</v>
      </c>
    </row>
    <row r="19">
      <c r="A19" s="21" t="s">
        <v>167</v>
      </c>
      <c r="B19" s="22" t="s">
        <v>168</v>
      </c>
      <c r="C19" s="22" t="s">
        <v>169</v>
      </c>
    </row>
    <row r="20">
      <c r="A20" s="21" t="s">
        <v>170</v>
      </c>
      <c r="B20" s="22" t="s">
        <v>171</v>
      </c>
      <c r="C20" s="22" t="s">
        <v>172</v>
      </c>
    </row>
    <row r="21">
      <c r="A21" s="21" t="s">
        <v>173</v>
      </c>
      <c r="B21" s="22" t="s">
        <v>174</v>
      </c>
      <c r="C21" s="22" t="s">
        <v>175</v>
      </c>
    </row>
    <row r="22">
      <c r="A22" s="21" t="s">
        <v>176</v>
      </c>
      <c r="B22" s="22" t="s">
        <v>177</v>
      </c>
      <c r="C22" s="22" t="s">
        <v>178</v>
      </c>
    </row>
    <row r="23">
      <c r="A23" s="21" t="s">
        <v>179</v>
      </c>
      <c r="B23" s="22" t="s">
        <v>180</v>
      </c>
      <c r="C23" s="22" t="s">
        <v>181</v>
      </c>
    </row>
    <row r="24">
      <c r="A24" s="21" t="s">
        <v>182</v>
      </c>
      <c r="B24" s="22" t="s">
        <v>183</v>
      </c>
      <c r="C24" s="22" t="s">
        <v>184</v>
      </c>
    </row>
    <row r="25">
      <c r="A25" s="21" t="s">
        <v>185</v>
      </c>
      <c r="B25" s="23" t="s">
        <v>36</v>
      </c>
      <c r="C25" s="22" t="s">
        <v>186</v>
      </c>
    </row>
    <row r="26">
      <c r="A26" s="21" t="s">
        <v>187</v>
      </c>
      <c r="B26" s="22" t="s">
        <v>188</v>
      </c>
      <c r="C26" s="22" t="s">
        <v>189</v>
      </c>
    </row>
    <row r="27">
      <c r="A27" s="21" t="s">
        <v>190</v>
      </c>
      <c r="B27" s="22" t="s">
        <v>191</v>
      </c>
      <c r="C27" s="22" t="s">
        <v>192</v>
      </c>
    </row>
    <row r="28">
      <c r="A28" s="21" t="s">
        <v>193</v>
      </c>
      <c r="B28" s="22" t="s">
        <v>194</v>
      </c>
      <c r="C28" s="22" t="s">
        <v>195</v>
      </c>
    </row>
    <row r="29">
      <c r="A29" s="21" t="s">
        <v>196</v>
      </c>
      <c r="B29" s="23" t="s">
        <v>36</v>
      </c>
      <c r="C29" s="22" t="s">
        <v>197</v>
      </c>
    </row>
    <row r="30">
      <c r="A30" s="21" t="s">
        <v>198</v>
      </c>
      <c r="B30" s="23" t="s">
        <v>36</v>
      </c>
      <c r="C30" s="22" t="s">
        <v>199</v>
      </c>
    </row>
    <row r="31">
      <c r="A31" s="21" t="s">
        <v>200</v>
      </c>
      <c r="B31" s="22" t="s">
        <v>201</v>
      </c>
      <c r="C31" s="22" t="s">
        <v>202</v>
      </c>
    </row>
    <row r="32">
      <c r="A32" s="21" t="s">
        <v>203</v>
      </c>
      <c r="B32" s="22" t="s">
        <v>204</v>
      </c>
      <c r="C32" s="22" t="s">
        <v>205</v>
      </c>
    </row>
    <row r="33">
      <c r="A33" s="21" t="s">
        <v>206</v>
      </c>
      <c r="B33" s="22" t="s">
        <v>207</v>
      </c>
      <c r="C33" s="22" t="s">
        <v>208</v>
      </c>
    </row>
    <row r="34">
      <c r="A34" s="21" t="s">
        <v>209</v>
      </c>
      <c r="B34" s="22" t="s">
        <v>210</v>
      </c>
      <c r="C34" s="22" t="s">
        <v>211</v>
      </c>
    </row>
    <row r="35">
      <c r="A35" s="21" t="s">
        <v>212</v>
      </c>
      <c r="B35" s="22" t="s">
        <v>213</v>
      </c>
      <c r="C35" s="22" t="s">
        <v>214</v>
      </c>
    </row>
    <row r="36">
      <c r="A36" s="24" t="s">
        <v>82</v>
      </c>
      <c r="B36" s="19" t="s">
        <v>84</v>
      </c>
      <c r="C36" s="19" t="s">
        <v>83</v>
      </c>
    </row>
    <row r="37">
      <c r="A37" s="24" t="s">
        <v>97</v>
      </c>
      <c r="B37" s="19" t="s">
        <v>99</v>
      </c>
      <c r="C37" s="19" t="s">
        <v>98</v>
      </c>
    </row>
    <row r="38">
      <c r="A38" s="24" t="s">
        <v>115</v>
      </c>
      <c r="B38" s="19" t="s">
        <v>117</v>
      </c>
      <c r="C38" s="19" t="s">
        <v>116</v>
      </c>
    </row>
    <row r="39">
      <c r="A39" s="24" t="s">
        <v>103</v>
      </c>
      <c r="B39" s="19" t="s">
        <v>105</v>
      </c>
      <c r="C39" s="19" t="s">
        <v>104</v>
      </c>
    </row>
    <row r="40">
      <c r="A40" s="24" t="s">
        <v>76</v>
      </c>
      <c r="B40" s="19" t="s">
        <v>78</v>
      </c>
      <c r="C40" s="19" t="s">
        <v>77</v>
      </c>
    </row>
    <row r="41">
      <c r="A41" s="24" t="s">
        <v>85</v>
      </c>
      <c r="B41" s="19" t="s">
        <v>87</v>
      </c>
      <c r="C41" s="19" t="s">
        <v>86</v>
      </c>
      <c r="D41" s="19" t="s">
        <v>215</v>
      </c>
    </row>
    <row r="42">
      <c r="A42" s="24" t="s">
        <v>216</v>
      </c>
      <c r="B42" s="19" t="s">
        <v>217</v>
      </c>
      <c r="C42" s="19" t="s">
        <v>218</v>
      </c>
    </row>
    <row r="43">
      <c r="A43" s="24" t="s">
        <v>219</v>
      </c>
      <c r="B43" s="19" t="s">
        <v>220</v>
      </c>
      <c r="C43" s="19" t="s">
        <v>221</v>
      </c>
    </row>
    <row r="44">
      <c r="A44" s="24" t="s">
        <v>112</v>
      </c>
      <c r="B44" s="19" t="s">
        <v>114</v>
      </c>
      <c r="C44" s="19" t="s">
        <v>113</v>
      </c>
    </row>
    <row r="45">
      <c r="A45" s="24" t="s">
        <v>121</v>
      </c>
      <c r="B45" s="19" t="s">
        <v>123</v>
      </c>
      <c r="C45" s="19" t="s">
        <v>122</v>
      </c>
    </row>
    <row r="46">
      <c r="A46" s="24" t="s">
        <v>222</v>
      </c>
      <c r="B46" s="19" t="s">
        <v>223</v>
      </c>
      <c r="C46" s="19" t="s">
        <v>224</v>
      </c>
      <c r="D46" s="19" t="s">
        <v>225</v>
      </c>
    </row>
    <row r="47">
      <c r="A47" s="24" t="s">
        <v>226</v>
      </c>
      <c r="B47" s="19" t="s">
        <v>227</v>
      </c>
      <c r="C47" s="19" t="s">
        <v>228</v>
      </c>
    </row>
    <row r="48">
      <c r="A48" s="24" t="s">
        <v>70</v>
      </c>
      <c r="B48" s="19" t="s">
        <v>72</v>
      </c>
      <c r="C48" s="19" t="s">
        <v>71</v>
      </c>
    </row>
    <row r="49">
      <c r="A49" s="24" t="s">
        <v>91</v>
      </c>
      <c r="B49" s="19" t="s">
        <v>93</v>
      </c>
      <c r="C49" s="19" t="s">
        <v>92</v>
      </c>
    </row>
    <row r="50">
      <c r="A50" s="24" t="s">
        <v>124</v>
      </c>
      <c r="B50" s="19" t="s">
        <v>126</v>
      </c>
      <c r="C50" s="19" t="s">
        <v>125</v>
      </c>
    </row>
    <row r="51">
      <c r="A51" s="24" t="s">
        <v>67</v>
      </c>
      <c r="B51" s="19" t="s">
        <v>69</v>
      </c>
      <c r="C51" s="19" t="s">
        <v>68</v>
      </c>
    </row>
    <row r="52">
      <c r="A52" s="24" t="s">
        <v>229</v>
      </c>
      <c r="B52" s="19" t="s">
        <v>230</v>
      </c>
      <c r="C52" s="19" t="s">
        <v>231</v>
      </c>
      <c r="D52" s="19" t="s">
        <v>232</v>
      </c>
      <c r="E52" s="19" t="s">
        <v>233</v>
      </c>
    </row>
    <row r="53">
      <c r="A53" s="24" t="s">
        <v>234</v>
      </c>
      <c r="B53" s="19" t="s">
        <v>45</v>
      </c>
      <c r="C53" s="19" t="s">
        <v>44</v>
      </c>
    </row>
    <row r="54">
      <c r="A54" s="24" t="s">
        <v>61</v>
      </c>
      <c r="B54" s="19" t="s">
        <v>63</v>
      </c>
      <c r="C54" s="19" t="s">
        <v>62</v>
      </c>
    </row>
    <row r="55">
      <c r="A55" s="24" t="s">
        <v>52</v>
      </c>
      <c r="B55" s="19" t="s">
        <v>54</v>
      </c>
      <c r="C55" s="19" t="s">
        <v>53</v>
      </c>
    </row>
    <row r="56">
      <c r="A56" s="24" t="s">
        <v>235</v>
      </c>
      <c r="B56" s="19" t="s">
        <v>236</v>
      </c>
      <c r="C56" s="19" t="s">
        <v>237</v>
      </c>
    </row>
    <row r="57">
      <c r="A57" s="24" t="s">
        <v>238</v>
      </c>
      <c r="B57" s="19" t="s">
        <v>239</v>
      </c>
      <c r="C57" s="19" t="s">
        <v>240</v>
      </c>
    </row>
    <row r="58">
      <c r="A58" s="24" t="s">
        <v>241</v>
      </c>
      <c r="B58" s="19" t="s">
        <v>242</v>
      </c>
      <c r="C58" s="19" t="s">
        <v>243</v>
      </c>
    </row>
    <row r="59">
      <c r="A59" s="24" t="s">
        <v>88</v>
      </c>
      <c r="B59" s="19" t="s">
        <v>90</v>
      </c>
      <c r="C59" s="19" t="s">
        <v>89</v>
      </c>
    </row>
    <row r="60">
      <c r="A60" s="24" t="s">
        <v>100</v>
      </c>
      <c r="B60" s="19" t="s">
        <v>102</v>
      </c>
      <c r="C60" s="19" t="s">
        <v>101</v>
      </c>
      <c r="D60" s="19" t="s">
        <v>244</v>
      </c>
      <c r="E60" s="19" t="s">
        <v>245</v>
      </c>
      <c r="F60" s="19" t="s">
        <v>246</v>
      </c>
    </row>
    <row r="61">
      <c r="A61" s="24" t="s">
        <v>94</v>
      </c>
      <c r="B61" s="19" t="s">
        <v>96</v>
      </c>
      <c r="C61" s="19" t="s">
        <v>95</v>
      </c>
      <c r="D61" s="19" t="s">
        <v>247</v>
      </c>
    </row>
    <row r="62">
      <c r="A62" s="24" t="s">
        <v>248</v>
      </c>
      <c r="B62" s="19" t="s">
        <v>249</v>
      </c>
      <c r="C62" s="19" t="s">
        <v>250</v>
      </c>
    </row>
    <row r="63">
      <c r="A63" s="24" t="s">
        <v>251</v>
      </c>
      <c r="B63" s="19" t="s">
        <v>252</v>
      </c>
      <c r="C63" s="19" t="s">
        <v>253</v>
      </c>
    </row>
    <row r="64">
      <c r="A64" s="24" t="s">
        <v>55</v>
      </c>
      <c r="B64" s="19" t="s">
        <v>57</v>
      </c>
      <c r="C64" s="19" t="s">
        <v>56</v>
      </c>
      <c r="D64" s="19" t="s">
        <v>254</v>
      </c>
      <c r="E64" s="19" t="s">
        <v>255</v>
      </c>
      <c r="F64" s="19" t="s">
        <v>256</v>
      </c>
    </row>
    <row r="65">
      <c r="A65" s="24" t="s">
        <v>257</v>
      </c>
      <c r="B65" s="19" t="s">
        <v>258</v>
      </c>
      <c r="C65" s="19" t="s">
        <v>259</v>
      </c>
    </row>
    <row r="66">
      <c r="A66" s="24" t="s">
        <v>260</v>
      </c>
      <c r="B66" s="19" t="s">
        <v>261</v>
      </c>
      <c r="C66" s="19" t="s">
        <v>262</v>
      </c>
    </row>
    <row r="67">
      <c r="A67" s="24" t="s">
        <v>58</v>
      </c>
      <c r="B67" s="19" t="s">
        <v>60</v>
      </c>
      <c r="C67" s="19" t="s">
        <v>59</v>
      </c>
    </row>
    <row r="68">
      <c r="A68" s="24" t="s">
        <v>263</v>
      </c>
      <c r="B68" s="19" t="s">
        <v>264</v>
      </c>
      <c r="C68" s="19" t="s">
        <v>265</v>
      </c>
    </row>
    <row r="69">
      <c r="A69" s="24" t="s">
        <v>266</v>
      </c>
      <c r="B69" s="19" t="s">
        <v>267</v>
      </c>
      <c r="C69" s="19" t="s">
        <v>268</v>
      </c>
    </row>
    <row r="70">
      <c r="A70" s="24" t="s">
        <v>269</v>
      </c>
      <c r="B70" s="19" t="s">
        <v>270</v>
      </c>
      <c r="C70" s="19" t="s">
        <v>271</v>
      </c>
      <c r="D70" s="19" t="s">
        <v>272</v>
      </c>
      <c r="E70" s="19" t="s">
        <v>273</v>
      </c>
    </row>
    <row r="71">
      <c r="A71" s="24" t="s">
        <v>106</v>
      </c>
      <c r="B71" s="19" t="s">
        <v>108</v>
      </c>
      <c r="C71" s="19" t="s">
        <v>107</v>
      </c>
      <c r="D71" s="19" t="s">
        <v>274</v>
      </c>
    </row>
    <row r="72">
      <c r="A72" s="24" t="s">
        <v>275</v>
      </c>
      <c r="B72" s="19" t="s">
        <v>276</v>
      </c>
      <c r="C72" s="19" t="s">
        <v>277</v>
      </c>
    </row>
    <row r="73">
      <c r="A73" s="24" t="s">
        <v>278</v>
      </c>
      <c r="B73" s="19" t="s">
        <v>279</v>
      </c>
      <c r="C73" s="19" t="s">
        <v>280</v>
      </c>
    </row>
    <row r="74">
      <c r="A74" s="24" t="s">
        <v>281</v>
      </c>
      <c r="B74" s="19" t="s">
        <v>282</v>
      </c>
      <c r="C74" s="19" t="s">
        <v>283</v>
      </c>
      <c r="D74" s="19" t="s">
        <v>284</v>
      </c>
      <c r="E74" s="19" t="s">
        <v>285</v>
      </c>
    </row>
    <row r="75">
      <c r="A75" s="24" t="s">
        <v>286</v>
      </c>
      <c r="B75" s="19" t="s">
        <v>287</v>
      </c>
      <c r="C75" s="19" t="s">
        <v>288</v>
      </c>
    </row>
    <row r="76">
      <c r="A76" s="24" t="s">
        <v>289</v>
      </c>
      <c r="B76" s="19" t="s">
        <v>290</v>
      </c>
      <c r="C76" s="19" t="s">
        <v>291</v>
      </c>
    </row>
    <row r="77">
      <c r="A77" s="24" t="s">
        <v>292</v>
      </c>
      <c r="B77" s="19" t="s">
        <v>293</v>
      </c>
      <c r="C77" s="19" t="s">
        <v>294</v>
      </c>
      <c r="D77" s="19" t="s">
        <v>295</v>
      </c>
      <c r="E77" s="19" t="s">
        <v>296</v>
      </c>
    </row>
    <row r="78">
      <c r="A78" s="24" t="s">
        <v>297</v>
      </c>
      <c r="B78" s="19" t="s">
        <v>298</v>
      </c>
      <c r="C78" s="19" t="s">
        <v>299</v>
      </c>
    </row>
    <row r="79">
      <c r="A79" s="24" t="s">
        <v>300</v>
      </c>
      <c r="B79" s="19" t="s">
        <v>301</v>
      </c>
      <c r="C79" s="19" t="s">
        <v>302</v>
      </c>
    </row>
    <row r="80">
      <c r="A80" s="24" t="s">
        <v>303</v>
      </c>
      <c r="B80" s="19" t="s">
        <v>304</v>
      </c>
      <c r="C80" s="19" t="s">
        <v>305</v>
      </c>
      <c r="D80" s="19" t="s">
        <v>306</v>
      </c>
    </row>
    <row r="81">
      <c r="A81" s="24" t="s">
        <v>307</v>
      </c>
      <c r="B81" s="19" t="s">
        <v>308</v>
      </c>
      <c r="C81" s="19" t="s">
        <v>309</v>
      </c>
    </row>
    <row r="82">
      <c r="A82" s="24" t="s">
        <v>310</v>
      </c>
      <c r="B82" s="19" t="s">
        <v>311</v>
      </c>
      <c r="C82" s="19" t="s">
        <v>312</v>
      </c>
    </row>
    <row r="83">
      <c r="A83" s="24" t="s">
        <v>313</v>
      </c>
      <c r="B83" s="19" t="s">
        <v>314</v>
      </c>
      <c r="C83" s="19" t="s">
        <v>315</v>
      </c>
    </row>
    <row r="84">
      <c r="A84" s="24" t="s">
        <v>73</v>
      </c>
      <c r="B84" s="19" t="s">
        <v>75</v>
      </c>
      <c r="C84" s="19" t="s">
        <v>74</v>
      </c>
    </row>
    <row r="85">
      <c r="A85" s="24" t="s">
        <v>316</v>
      </c>
      <c r="B85" s="19" t="s">
        <v>317</v>
      </c>
      <c r="C85" s="19" t="s">
        <v>318</v>
      </c>
    </row>
    <row r="86">
      <c r="A86" s="24" t="s">
        <v>319</v>
      </c>
      <c r="B86" s="19" t="s">
        <v>320</v>
      </c>
      <c r="C86" s="19" t="s">
        <v>321</v>
      </c>
    </row>
    <row r="87">
      <c r="A87" s="24" t="s">
        <v>322</v>
      </c>
      <c r="B87" s="19" t="s">
        <v>323</v>
      </c>
      <c r="C87" s="19" t="s">
        <v>324</v>
      </c>
    </row>
    <row r="88">
      <c r="A88" s="24" t="s">
        <v>325</v>
      </c>
      <c r="B88" s="19" t="s">
        <v>326</v>
      </c>
      <c r="C88" s="19" t="s">
        <v>327</v>
      </c>
      <c r="D88" s="19" t="s">
        <v>328</v>
      </c>
    </row>
    <row r="89">
      <c r="A89" s="24" t="s">
        <v>329</v>
      </c>
      <c r="B89" s="19" t="s">
        <v>330</v>
      </c>
      <c r="C89" s="19" t="s">
        <v>331</v>
      </c>
    </row>
    <row r="90">
      <c r="A90" s="24" t="s">
        <v>332</v>
      </c>
      <c r="B90" s="19" t="s">
        <v>333</v>
      </c>
      <c r="C90" s="19" t="s">
        <v>334</v>
      </c>
    </row>
    <row r="91">
      <c r="A91" s="24" t="s">
        <v>335</v>
      </c>
      <c r="B91" s="19" t="s">
        <v>336</v>
      </c>
      <c r="C91" s="19" t="s">
        <v>337</v>
      </c>
    </row>
    <row r="92">
      <c r="A92" s="24" t="s">
        <v>338</v>
      </c>
      <c r="B92" s="19" t="s">
        <v>339</v>
      </c>
      <c r="C92" s="19" t="s">
        <v>340</v>
      </c>
    </row>
    <row r="93">
      <c r="A93" s="24" t="s">
        <v>341</v>
      </c>
      <c r="B93" s="19" t="s">
        <v>342</v>
      </c>
      <c r="C93" s="19" t="s">
        <v>343</v>
      </c>
      <c r="D93" s="19" t="s">
        <v>344</v>
      </c>
      <c r="E93" s="19" t="s">
        <v>345</v>
      </c>
    </row>
    <row r="94">
      <c r="A94" s="24" t="s">
        <v>346</v>
      </c>
      <c r="B94" s="19" t="s">
        <v>347</v>
      </c>
      <c r="C94" s="19" t="s">
        <v>348</v>
      </c>
    </row>
    <row r="95">
      <c r="A95" s="24" t="s">
        <v>349</v>
      </c>
      <c r="B95" s="19" t="s">
        <v>350</v>
      </c>
      <c r="C95" s="19" t="s">
        <v>351</v>
      </c>
    </row>
    <row r="96">
      <c r="A96" s="24" t="s">
        <v>352</v>
      </c>
      <c r="B96" s="19" t="s">
        <v>353</v>
      </c>
      <c r="C96" s="19" t="s">
        <v>354</v>
      </c>
    </row>
    <row r="97">
      <c r="A97" s="24" t="s">
        <v>355</v>
      </c>
      <c r="B97" s="19" t="s">
        <v>356</v>
      </c>
      <c r="C97" s="19" t="s">
        <v>357</v>
      </c>
    </row>
    <row r="98">
      <c r="A98" s="24" t="s">
        <v>358</v>
      </c>
      <c r="B98" s="19" t="s">
        <v>359</v>
      </c>
      <c r="C98" s="19" t="s">
        <v>360</v>
      </c>
    </row>
    <row r="99">
      <c r="A99" s="24" t="s">
        <v>361</v>
      </c>
      <c r="B99" s="19" t="s">
        <v>362</v>
      </c>
      <c r="C99" s="19" t="s">
        <v>363</v>
      </c>
    </row>
    <row r="100">
      <c r="A100" s="24" t="s">
        <v>364</v>
      </c>
      <c r="B100" s="19" t="s">
        <v>365</v>
      </c>
      <c r="C100" s="19" t="s">
        <v>366</v>
      </c>
    </row>
    <row r="101">
      <c r="A101" s="24" t="s">
        <v>367</v>
      </c>
      <c r="B101" s="19" t="s">
        <v>368</v>
      </c>
      <c r="C101" s="19" t="s">
        <v>369</v>
      </c>
    </row>
    <row r="102">
      <c r="A102" s="24" t="s">
        <v>370</v>
      </c>
      <c r="B102" s="19" t="s">
        <v>371</v>
      </c>
      <c r="C102" s="19" t="s">
        <v>372</v>
      </c>
    </row>
    <row r="103">
      <c r="A103" s="24" t="s">
        <v>373</v>
      </c>
      <c r="B103" s="19" t="s">
        <v>374</v>
      </c>
      <c r="C103" s="19" t="s">
        <v>375</v>
      </c>
      <c r="D103" s="19" t="s">
        <v>376</v>
      </c>
    </row>
    <row r="104">
      <c r="A104" s="24" t="s">
        <v>118</v>
      </c>
      <c r="B104" s="19" t="s">
        <v>120</v>
      </c>
      <c r="C104" s="19" t="s">
        <v>119</v>
      </c>
      <c r="D104" s="19" t="s">
        <v>377</v>
      </c>
      <c r="E104" s="19" t="s">
        <v>378</v>
      </c>
    </row>
    <row r="105">
      <c r="A105" s="24" t="s">
        <v>379</v>
      </c>
      <c r="B105" s="19" t="s">
        <v>380</v>
      </c>
      <c r="C105" s="19" t="s">
        <v>381</v>
      </c>
    </row>
    <row r="106">
      <c r="A106" s="24" t="s">
        <v>382</v>
      </c>
      <c r="B106" s="19" t="s">
        <v>383</v>
      </c>
      <c r="C106" s="19" t="s">
        <v>384</v>
      </c>
      <c r="D106" s="19" t="s">
        <v>385</v>
      </c>
      <c r="E106" s="19" t="s">
        <v>386</v>
      </c>
    </row>
    <row r="107">
      <c r="A107" s="24" t="s">
        <v>387</v>
      </c>
      <c r="B107" s="19" t="s">
        <v>388</v>
      </c>
      <c r="C107" s="19" t="s">
        <v>389</v>
      </c>
      <c r="D107" s="19" t="s">
        <v>390</v>
      </c>
      <c r="E107" s="19" t="s">
        <v>391</v>
      </c>
    </row>
    <row r="108">
      <c r="A108" s="24" t="s">
        <v>392</v>
      </c>
      <c r="B108" s="19" t="s">
        <v>393</v>
      </c>
      <c r="C108" s="19" t="s">
        <v>394</v>
      </c>
    </row>
    <row r="109">
      <c r="A109" s="24" t="s">
        <v>395</v>
      </c>
      <c r="B109" s="19" t="s">
        <v>396</v>
      </c>
      <c r="C109" s="19" t="s">
        <v>397</v>
      </c>
    </row>
    <row r="110">
      <c r="A110" s="24" t="s">
        <v>398</v>
      </c>
      <c r="B110" s="19" t="s">
        <v>399</v>
      </c>
      <c r="C110" s="19" t="s">
        <v>400</v>
      </c>
    </row>
    <row r="111">
      <c r="A111" s="24" t="s">
        <v>401</v>
      </c>
      <c r="B111" s="19" t="s">
        <v>402</v>
      </c>
      <c r="C111" s="19" t="s">
        <v>403</v>
      </c>
      <c r="D111" s="19" t="s">
        <v>404</v>
      </c>
      <c r="E111" s="19" t="s">
        <v>405</v>
      </c>
    </row>
    <row r="112">
      <c r="A112" s="24" t="s">
        <v>406</v>
      </c>
      <c r="B112" s="19" t="s">
        <v>407</v>
      </c>
      <c r="C112" s="19" t="s">
        <v>408</v>
      </c>
    </row>
    <row r="113">
      <c r="A113" s="24" t="s">
        <v>64</v>
      </c>
      <c r="B113" s="19" t="s">
        <v>66</v>
      </c>
      <c r="C113" s="19" t="s">
        <v>65</v>
      </c>
    </row>
    <row r="114">
      <c r="A114" s="24" t="s">
        <v>409</v>
      </c>
      <c r="B114" s="19" t="s">
        <v>410</v>
      </c>
      <c r="C114" s="19" t="s">
        <v>411</v>
      </c>
    </row>
    <row r="115">
      <c r="A115" s="24" t="s">
        <v>412</v>
      </c>
      <c r="B115" s="19" t="s">
        <v>413</v>
      </c>
      <c r="C115" s="19" t="s">
        <v>414</v>
      </c>
    </row>
    <row r="116">
      <c r="A116" s="24" t="s">
        <v>415</v>
      </c>
      <c r="B116" s="19" t="s">
        <v>416</v>
      </c>
      <c r="C116" s="19" t="s">
        <v>417</v>
      </c>
    </row>
    <row r="117">
      <c r="A117" s="24" t="s">
        <v>418</v>
      </c>
      <c r="B117" s="19" t="s">
        <v>419</v>
      </c>
      <c r="C117" s="19" t="s">
        <v>420</v>
      </c>
    </row>
    <row r="118">
      <c r="A118" s="24" t="s">
        <v>421</v>
      </c>
      <c r="B118" s="19" t="s">
        <v>422</v>
      </c>
      <c r="C118" s="19" t="s">
        <v>423</v>
      </c>
    </row>
    <row r="119">
      <c r="A119" s="24" t="s">
        <v>424</v>
      </c>
      <c r="B119" s="19" t="s">
        <v>425</v>
      </c>
      <c r="C119" s="19" t="s">
        <v>426</v>
      </c>
    </row>
    <row r="120">
      <c r="A120" s="24" t="s">
        <v>427</v>
      </c>
      <c r="B120" s="19" t="s">
        <v>428</v>
      </c>
      <c r="C120" s="19" t="s">
        <v>429</v>
      </c>
    </row>
    <row r="121">
      <c r="A121" s="24" t="s">
        <v>430</v>
      </c>
      <c r="B121" s="19" t="s">
        <v>431</v>
      </c>
      <c r="C121" s="19" t="s">
        <v>432</v>
      </c>
    </row>
    <row r="122">
      <c r="A122" s="24" t="s">
        <v>433</v>
      </c>
      <c r="B122" s="19" t="s">
        <v>434</v>
      </c>
      <c r="C122" s="19" t="s">
        <v>435</v>
      </c>
    </row>
    <row r="123">
      <c r="A123" s="24" t="s">
        <v>436</v>
      </c>
      <c r="B123" s="19" t="s">
        <v>437</v>
      </c>
      <c r="C123" s="19" t="s">
        <v>438</v>
      </c>
    </row>
    <row r="124">
      <c r="A124" s="24" t="s">
        <v>439</v>
      </c>
      <c r="B124" s="19" t="s">
        <v>440</v>
      </c>
      <c r="C124" s="19" t="s">
        <v>441</v>
      </c>
    </row>
    <row r="125">
      <c r="A125" s="24" t="s">
        <v>442</v>
      </c>
      <c r="B125" s="19" t="s">
        <v>443</v>
      </c>
      <c r="C125" s="19" t="s">
        <v>444</v>
      </c>
    </row>
    <row r="126">
      <c r="A126" s="24" t="s">
        <v>445</v>
      </c>
      <c r="B126" s="19" t="s">
        <v>446</v>
      </c>
      <c r="C126" s="19" t="s">
        <v>447</v>
      </c>
    </row>
    <row r="127">
      <c r="A127" s="24" t="s">
        <v>448</v>
      </c>
      <c r="B127" s="19" t="s">
        <v>449</v>
      </c>
      <c r="C127" s="19" t="s">
        <v>450</v>
      </c>
    </row>
    <row r="128">
      <c r="A128" s="24" t="s">
        <v>451</v>
      </c>
      <c r="B128" s="19" t="s">
        <v>452</v>
      </c>
      <c r="C128" s="19" t="s">
        <v>453</v>
      </c>
    </row>
    <row r="129">
      <c r="A129" s="24" t="s">
        <v>454</v>
      </c>
      <c r="B129" s="19" t="s">
        <v>455</v>
      </c>
      <c r="C129" s="19" t="s">
        <v>456</v>
      </c>
    </row>
    <row r="130">
      <c r="A130" s="24" t="s">
        <v>457</v>
      </c>
      <c r="B130" s="19" t="s">
        <v>458</v>
      </c>
      <c r="C130" s="19" t="s">
        <v>459</v>
      </c>
    </row>
    <row r="131">
      <c r="A131" s="24" t="s">
        <v>460</v>
      </c>
      <c r="B131" s="19" t="s">
        <v>461</v>
      </c>
      <c r="C131" s="19" t="s">
        <v>462</v>
      </c>
    </row>
    <row r="132">
      <c r="A132" s="24" t="s">
        <v>463</v>
      </c>
      <c r="B132" s="19" t="s">
        <v>464</v>
      </c>
      <c r="C132" s="19" t="s">
        <v>465</v>
      </c>
      <c r="D132" s="19" t="s">
        <v>255</v>
      </c>
      <c r="E132" s="19" t="s">
        <v>466</v>
      </c>
    </row>
    <row r="133">
      <c r="A133" s="24" t="s">
        <v>109</v>
      </c>
      <c r="B133" s="19" t="s">
        <v>111</v>
      </c>
      <c r="C133" s="19" t="s">
        <v>110</v>
      </c>
    </row>
    <row r="134">
      <c r="A134" s="24" t="s">
        <v>467</v>
      </c>
      <c r="B134" s="19" t="s">
        <v>468</v>
      </c>
      <c r="C134" s="19" t="s">
        <v>469</v>
      </c>
    </row>
    <row r="135">
      <c r="A135" s="24" t="s">
        <v>470</v>
      </c>
      <c r="B135" s="19" t="s">
        <v>471</v>
      </c>
      <c r="C135" s="19" t="s">
        <v>472</v>
      </c>
    </row>
    <row r="136">
      <c r="A136" s="24" t="s">
        <v>473</v>
      </c>
      <c r="B136" s="19" t="s">
        <v>474</v>
      </c>
      <c r="C136" s="19" t="s">
        <v>475</v>
      </c>
    </row>
    <row r="137">
      <c r="A137" s="24" t="s">
        <v>476</v>
      </c>
      <c r="B137" s="19" t="s">
        <v>477</v>
      </c>
      <c r="C137" s="19" t="s">
        <v>478</v>
      </c>
    </row>
    <row r="138">
      <c r="A138" s="24" t="s">
        <v>479</v>
      </c>
      <c r="B138" s="19" t="s">
        <v>480</v>
      </c>
      <c r="C138" s="19" t="s">
        <v>481</v>
      </c>
      <c r="D138" s="19" t="s">
        <v>482</v>
      </c>
      <c r="E138" s="19" t="s">
        <v>483</v>
      </c>
    </row>
    <row r="139">
      <c r="A139" s="24" t="s">
        <v>484</v>
      </c>
      <c r="B139" s="19" t="s">
        <v>485</v>
      </c>
      <c r="C139" s="19" t="s">
        <v>486</v>
      </c>
    </row>
    <row r="140">
      <c r="A140" s="24" t="s">
        <v>487</v>
      </c>
      <c r="B140" s="19" t="s">
        <v>488</v>
      </c>
      <c r="C140" s="19" t="s">
        <v>489</v>
      </c>
    </row>
    <row r="141">
      <c r="A141" s="24" t="s">
        <v>490</v>
      </c>
      <c r="B141" s="19" t="s">
        <v>491</v>
      </c>
      <c r="C141" s="19" t="s">
        <v>492</v>
      </c>
    </row>
    <row r="142">
      <c r="A142" s="24" t="s">
        <v>493</v>
      </c>
      <c r="B142" s="19" t="s">
        <v>494</v>
      </c>
      <c r="C142" s="19" t="s">
        <v>495</v>
      </c>
    </row>
    <row r="143">
      <c r="A143" s="24" t="s">
        <v>496</v>
      </c>
      <c r="B143" s="19" t="s">
        <v>497</v>
      </c>
      <c r="C143" s="19" t="s">
        <v>498</v>
      </c>
    </row>
    <row r="144">
      <c r="A144" s="24" t="s">
        <v>499</v>
      </c>
      <c r="B144" s="19" t="s">
        <v>500</v>
      </c>
      <c r="C144" s="19" t="s">
        <v>501</v>
      </c>
    </row>
    <row r="145">
      <c r="A145" s="24" t="s">
        <v>502</v>
      </c>
      <c r="B145" s="19" t="s">
        <v>503</v>
      </c>
      <c r="C145" s="19" t="s">
        <v>504</v>
      </c>
    </row>
    <row r="146">
      <c r="A146" s="24" t="s">
        <v>505</v>
      </c>
      <c r="B146" s="19" t="s">
        <v>506</v>
      </c>
      <c r="C146" s="19" t="s">
        <v>507</v>
      </c>
    </row>
    <row r="147">
      <c r="A147" s="24" t="s">
        <v>508</v>
      </c>
      <c r="B147" s="19" t="s">
        <v>509</v>
      </c>
      <c r="C147" s="19" t="s">
        <v>510</v>
      </c>
    </row>
    <row r="148">
      <c r="A148" s="24" t="s">
        <v>511</v>
      </c>
      <c r="B148" s="19" t="s">
        <v>512</v>
      </c>
      <c r="C148" s="19" t="s">
        <v>513</v>
      </c>
    </row>
    <row r="149">
      <c r="A149" s="24" t="s">
        <v>514</v>
      </c>
      <c r="B149" s="19" t="s">
        <v>515</v>
      </c>
      <c r="C149" s="19" t="s">
        <v>516</v>
      </c>
    </row>
    <row r="150">
      <c r="A150" s="24" t="s">
        <v>517</v>
      </c>
      <c r="B150" s="19" t="s">
        <v>518</v>
      </c>
      <c r="C150" s="19" t="s">
        <v>519</v>
      </c>
      <c r="D150" s="19" t="s">
        <v>520</v>
      </c>
      <c r="E150" s="19" t="s">
        <v>521</v>
      </c>
      <c r="F150" s="19" t="s">
        <v>522</v>
      </c>
      <c r="G150" s="19" t="s">
        <v>405</v>
      </c>
    </row>
    <row r="151">
      <c r="A151" s="24" t="s">
        <v>523</v>
      </c>
      <c r="B151" s="19" t="s">
        <v>524</v>
      </c>
      <c r="C151" s="19" t="s">
        <v>525</v>
      </c>
    </row>
    <row r="152">
      <c r="A152" s="24" t="s">
        <v>526</v>
      </c>
      <c r="B152" s="19" t="s">
        <v>527</v>
      </c>
      <c r="C152" s="19" t="s">
        <v>528</v>
      </c>
    </row>
    <row r="153">
      <c r="A153" s="24" t="s">
        <v>529</v>
      </c>
      <c r="B153" s="19" t="s">
        <v>530</v>
      </c>
      <c r="C153" s="19" t="s">
        <v>531</v>
      </c>
    </row>
    <row r="154">
      <c r="A154" s="24" t="s">
        <v>532</v>
      </c>
      <c r="B154" s="19" t="s">
        <v>533</v>
      </c>
      <c r="C154" s="19" t="s">
        <v>534</v>
      </c>
      <c r="D154" s="19" t="s">
        <v>535</v>
      </c>
    </row>
    <row r="155">
      <c r="A155" s="24" t="s">
        <v>536</v>
      </c>
      <c r="B155" s="19" t="s">
        <v>537</v>
      </c>
      <c r="C155" s="25" t="s">
        <v>538</v>
      </c>
    </row>
    <row r="156">
      <c r="A156" s="24" t="s">
        <v>539</v>
      </c>
      <c r="B156" s="19" t="s">
        <v>540</v>
      </c>
      <c r="C156" s="19" t="s">
        <v>541</v>
      </c>
    </row>
    <row r="157">
      <c r="A157" s="24" t="s">
        <v>542</v>
      </c>
      <c r="B157" s="19" t="s">
        <v>543</v>
      </c>
      <c r="C157" s="19" t="s">
        <v>544</v>
      </c>
    </row>
    <row r="158">
      <c r="A158" s="24" t="s">
        <v>545</v>
      </c>
      <c r="B158" s="19" t="s">
        <v>546</v>
      </c>
      <c r="C158" s="19" t="s">
        <v>547</v>
      </c>
    </row>
    <row r="159">
      <c r="A159" s="24" t="s">
        <v>548</v>
      </c>
      <c r="B159" s="19" t="s">
        <v>549</v>
      </c>
      <c r="C159" s="19" t="s">
        <v>550</v>
      </c>
    </row>
    <row r="160">
      <c r="A160" s="24" t="s">
        <v>551</v>
      </c>
      <c r="B160" s="19" t="s">
        <v>552</v>
      </c>
      <c r="C160" s="19" t="s">
        <v>553</v>
      </c>
      <c r="D160" s="19" t="s">
        <v>554</v>
      </c>
      <c r="E160" s="19" t="s">
        <v>555</v>
      </c>
    </row>
    <row r="161">
      <c r="A161" s="24" t="s">
        <v>556</v>
      </c>
      <c r="B161" s="19" t="s">
        <v>557</v>
      </c>
      <c r="C161" s="19" t="s">
        <v>558</v>
      </c>
    </row>
    <row r="162">
      <c r="A162" s="24" t="s">
        <v>559</v>
      </c>
      <c r="B162" s="19" t="s">
        <v>560</v>
      </c>
      <c r="C162" s="19" t="s">
        <v>561</v>
      </c>
    </row>
    <row r="163">
      <c r="A163" s="24" t="s">
        <v>562</v>
      </c>
      <c r="B163" s="19" t="s">
        <v>563</v>
      </c>
      <c r="C163" s="19" t="s">
        <v>564</v>
      </c>
    </row>
    <row r="164">
      <c r="A164" s="24" t="s">
        <v>79</v>
      </c>
      <c r="B164" s="19" t="s">
        <v>81</v>
      </c>
      <c r="C164" s="19" t="s">
        <v>80</v>
      </c>
    </row>
    <row r="165">
      <c r="A165" s="24" t="s">
        <v>565</v>
      </c>
      <c r="B165" s="19" t="s">
        <v>566</v>
      </c>
      <c r="C165" s="19" t="s">
        <v>567</v>
      </c>
    </row>
    <row r="166">
      <c r="A166" s="24" t="s">
        <v>568</v>
      </c>
      <c r="B166" s="19" t="s">
        <v>569</v>
      </c>
      <c r="C166" s="19" t="s">
        <v>570</v>
      </c>
      <c r="D166" s="19" t="s">
        <v>571</v>
      </c>
      <c r="E166" s="19" t="s">
        <v>572</v>
      </c>
    </row>
    <row r="167">
      <c r="A167" s="24" t="s">
        <v>573</v>
      </c>
      <c r="B167" s="19" t="s">
        <v>574</v>
      </c>
      <c r="C167" s="19" t="s">
        <v>575</v>
      </c>
    </row>
    <row r="168">
      <c r="A168" s="24" t="s">
        <v>576</v>
      </c>
      <c r="B168" s="19" t="s">
        <v>577</v>
      </c>
      <c r="C168" s="19" t="s">
        <v>578</v>
      </c>
    </row>
    <row r="169">
      <c r="A169" s="24" t="s">
        <v>579</v>
      </c>
      <c r="B169" s="19" t="s">
        <v>580</v>
      </c>
      <c r="C169" s="19" t="s">
        <v>581</v>
      </c>
    </row>
    <row r="170">
      <c r="A170" s="24" t="s">
        <v>582</v>
      </c>
      <c r="B170" s="19" t="s">
        <v>583</v>
      </c>
      <c r="C170" s="19" t="s">
        <v>584</v>
      </c>
    </row>
    <row r="171">
      <c r="A171" s="24" t="s">
        <v>585</v>
      </c>
      <c r="B171" s="19" t="s">
        <v>586</v>
      </c>
      <c r="C171" s="19" t="s">
        <v>587</v>
      </c>
    </row>
    <row r="172">
      <c r="A172" s="24" t="s">
        <v>588</v>
      </c>
      <c r="B172" s="19" t="s">
        <v>589</v>
      </c>
      <c r="C172" s="19" t="s">
        <v>590</v>
      </c>
    </row>
    <row r="173">
      <c r="A173" s="24" t="s">
        <v>591</v>
      </c>
      <c r="B173" s="19" t="s">
        <v>592</v>
      </c>
      <c r="C173" s="19" t="s">
        <v>593</v>
      </c>
    </row>
    <row r="174">
      <c r="A174" s="24" t="s">
        <v>594</v>
      </c>
      <c r="B174" s="19" t="s">
        <v>595</v>
      </c>
      <c r="C174" s="19" t="s">
        <v>596</v>
      </c>
    </row>
    <row r="175">
      <c r="A175" s="24" t="s">
        <v>597</v>
      </c>
      <c r="B175" s="19" t="s">
        <v>598</v>
      </c>
      <c r="C175" s="19" t="s">
        <v>599</v>
      </c>
    </row>
    <row r="176">
      <c r="A176" s="24" t="s">
        <v>600</v>
      </c>
      <c r="B176" s="19" t="s">
        <v>601</v>
      </c>
      <c r="C176" s="19" t="s">
        <v>602</v>
      </c>
    </row>
    <row r="177">
      <c r="A177" s="24" t="s">
        <v>603</v>
      </c>
      <c r="B177" s="19" t="s">
        <v>604</v>
      </c>
      <c r="C177" s="19" t="s">
        <v>605</v>
      </c>
    </row>
    <row r="178">
      <c r="A178" s="24" t="s">
        <v>606</v>
      </c>
      <c r="B178" s="19" t="s">
        <v>607</v>
      </c>
      <c r="C178" s="19" t="s">
        <v>608</v>
      </c>
    </row>
    <row r="179">
      <c r="A179" s="24" t="s">
        <v>609</v>
      </c>
      <c r="B179" s="19" t="s">
        <v>610</v>
      </c>
      <c r="C179" s="19" t="s">
        <v>611</v>
      </c>
    </row>
    <row r="180">
      <c r="A180" s="24" t="s">
        <v>612</v>
      </c>
      <c r="B180" s="19" t="s">
        <v>613</v>
      </c>
      <c r="C180" s="19" t="s">
        <v>614</v>
      </c>
    </row>
    <row r="181">
      <c r="A181" s="24" t="s">
        <v>615</v>
      </c>
      <c r="B181" s="19" t="s">
        <v>616</v>
      </c>
      <c r="C181" s="19" t="s">
        <v>617</v>
      </c>
    </row>
    <row r="182">
      <c r="A182" s="24" t="s">
        <v>618</v>
      </c>
      <c r="B182" s="19" t="s">
        <v>619</v>
      </c>
      <c r="C182" s="19" t="s">
        <v>620</v>
      </c>
    </row>
    <row r="183">
      <c r="A183" s="24" t="s">
        <v>621</v>
      </c>
      <c r="B183" s="19" t="s">
        <v>622</v>
      </c>
      <c r="C183" s="19" t="s">
        <v>623</v>
      </c>
    </row>
    <row r="184">
      <c r="A184" s="24" t="s">
        <v>624</v>
      </c>
      <c r="B184" s="19" t="s">
        <v>625</v>
      </c>
      <c r="C184" s="19" t="s">
        <v>626</v>
      </c>
    </row>
    <row r="185">
      <c r="A185" s="24" t="s">
        <v>627</v>
      </c>
      <c r="B185" s="19" t="s">
        <v>628</v>
      </c>
      <c r="C185" s="19" t="s">
        <v>629</v>
      </c>
      <c r="D185" s="19" t="s">
        <v>630</v>
      </c>
      <c r="E185" s="19" t="s">
        <v>631</v>
      </c>
      <c r="F185" s="19" t="s">
        <v>632</v>
      </c>
      <c r="G185" s="19" t="s">
        <v>633</v>
      </c>
      <c r="H185" s="19" t="s">
        <v>634</v>
      </c>
    </row>
    <row r="186">
      <c r="A186" s="24" t="s">
        <v>635</v>
      </c>
      <c r="B186" s="19" t="s">
        <v>636</v>
      </c>
      <c r="C186" s="19" t="s">
        <v>637</v>
      </c>
    </row>
    <row r="187">
      <c r="A187" s="24" t="s">
        <v>638</v>
      </c>
      <c r="B187" s="19" t="s">
        <v>639</v>
      </c>
      <c r="C187" s="19" t="s">
        <v>640</v>
      </c>
      <c r="D187" s="19" t="s">
        <v>641</v>
      </c>
      <c r="E187" s="19" t="s">
        <v>642</v>
      </c>
    </row>
    <row r="188">
      <c r="A188" s="24" t="s">
        <v>643</v>
      </c>
      <c r="B188" s="19" t="s">
        <v>644</v>
      </c>
      <c r="C188" s="19" t="s">
        <v>645</v>
      </c>
    </row>
    <row r="189">
      <c r="A189" s="24" t="s">
        <v>646</v>
      </c>
      <c r="B189" s="19" t="s">
        <v>647</v>
      </c>
      <c r="C189" s="19" t="s">
        <v>648</v>
      </c>
      <c r="D189" s="19" t="s">
        <v>649</v>
      </c>
    </row>
    <row r="190">
      <c r="A190" s="24" t="s">
        <v>650</v>
      </c>
      <c r="B190" s="19" t="s">
        <v>651</v>
      </c>
      <c r="C190" s="19" t="s">
        <v>652</v>
      </c>
    </row>
    <row r="191">
      <c r="A191" s="24" t="s">
        <v>653</v>
      </c>
      <c r="B191" s="19" t="s">
        <v>654</v>
      </c>
      <c r="C191" s="19" t="s">
        <v>655</v>
      </c>
    </row>
    <row r="192">
      <c r="A192" s="24" t="s">
        <v>656</v>
      </c>
      <c r="B192" s="19" t="s">
        <v>657</v>
      </c>
      <c r="C192" s="19" t="s">
        <v>658</v>
      </c>
    </row>
    <row r="193">
      <c r="A193" s="24" t="s">
        <v>659</v>
      </c>
      <c r="B193" s="19" t="s">
        <v>660</v>
      </c>
      <c r="C193" s="19" t="s">
        <v>661</v>
      </c>
    </row>
    <row r="194">
      <c r="A194" s="24" t="s">
        <v>662</v>
      </c>
      <c r="B194" s="19" t="s">
        <v>663</v>
      </c>
      <c r="C194" s="19" t="s">
        <v>664</v>
      </c>
    </row>
    <row r="195">
      <c r="A195" s="24" t="s">
        <v>665</v>
      </c>
      <c r="B195" s="19" t="s">
        <v>666</v>
      </c>
      <c r="C195" s="19" t="s">
        <v>667</v>
      </c>
    </row>
    <row r="196">
      <c r="A196" s="24" t="s">
        <v>668</v>
      </c>
      <c r="B196" s="19" t="s">
        <v>669</v>
      </c>
      <c r="C196" s="19" t="s">
        <v>670</v>
      </c>
      <c r="D196" s="19" t="s">
        <v>671</v>
      </c>
      <c r="E196" s="19" t="s">
        <v>672</v>
      </c>
      <c r="F196" s="19" t="s">
        <v>673</v>
      </c>
      <c r="G196" s="19" t="s">
        <v>674</v>
      </c>
    </row>
    <row r="197">
      <c r="A197" s="24" t="s">
        <v>675</v>
      </c>
      <c r="B197" s="19" t="s">
        <v>676</v>
      </c>
      <c r="C197" s="19" t="s">
        <v>677</v>
      </c>
    </row>
    <row r="198">
      <c r="A198" s="24" t="s">
        <v>678</v>
      </c>
      <c r="B198" s="19" t="s">
        <v>679</v>
      </c>
      <c r="C198" s="19" t="s">
        <v>680</v>
      </c>
    </row>
    <row r="199">
      <c r="A199" s="24" t="s">
        <v>681</v>
      </c>
      <c r="B199" s="19" t="s">
        <v>682</v>
      </c>
      <c r="C199" s="19" t="s">
        <v>683</v>
      </c>
    </row>
    <row r="200">
      <c r="A200" s="24" t="s">
        <v>46</v>
      </c>
      <c r="B200" s="19" t="s">
        <v>48</v>
      </c>
      <c r="C200" s="19" t="s">
        <v>47</v>
      </c>
      <c r="D200" s="19" t="s">
        <v>684</v>
      </c>
    </row>
    <row r="201">
      <c r="A201" s="24" t="s">
        <v>685</v>
      </c>
      <c r="B201" s="19" t="s">
        <v>686</v>
      </c>
      <c r="C201" s="19" t="s">
        <v>687</v>
      </c>
      <c r="D201" s="19" t="s">
        <v>688</v>
      </c>
      <c r="E201" s="19" t="s">
        <v>689</v>
      </c>
    </row>
    <row r="202">
      <c r="A202" s="24" t="s">
        <v>690</v>
      </c>
      <c r="B202" s="19" t="s">
        <v>691</v>
      </c>
      <c r="C202" s="19" t="s">
        <v>692</v>
      </c>
    </row>
    <row r="203">
      <c r="A203" s="24" t="s">
        <v>693</v>
      </c>
      <c r="B203" s="19" t="s">
        <v>694</v>
      </c>
      <c r="C203" s="19" t="s">
        <v>695</v>
      </c>
    </row>
    <row r="204">
      <c r="A204" s="24" t="s">
        <v>696</v>
      </c>
      <c r="B204" s="19" t="s">
        <v>697</v>
      </c>
      <c r="C204" s="19" t="s">
        <v>698</v>
      </c>
    </row>
    <row r="205">
      <c r="A205" s="24" t="s">
        <v>699</v>
      </c>
      <c r="B205" s="19" t="s">
        <v>700</v>
      </c>
      <c r="C205" s="19" t="s">
        <v>701</v>
      </c>
    </row>
    <row r="206">
      <c r="A206" s="24" t="s">
        <v>702</v>
      </c>
      <c r="B206" s="19" t="s">
        <v>703</v>
      </c>
      <c r="C206" s="19" t="s">
        <v>704</v>
      </c>
    </row>
    <row r="207">
      <c r="A207" s="24" t="s">
        <v>705</v>
      </c>
      <c r="B207" s="19" t="s">
        <v>706</v>
      </c>
      <c r="C207" s="19" t="s">
        <v>707</v>
      </c>
    </row>
    <row r="208">
      <c r="A208" s="24" t="s">
        <v>708</v>
      </c>
      <c r="B208" s="19" t="s">
        <v>709</v>
      </c>
      <c r="C208" s="19" t="s">
        <v>710</v>
      </c>
    </row>
    <row r="209">
      <c r="A209" s="24" t="s">
        <v>711</v>
      </c>
      <c r="B209" s="19" t="s">
        <v>712</v>
      </c>
      <c r="C209" s="19" t="s">
        <v>713</v>
      </c>
    </row>
    <row r="210">
      <c r="A210" s="24" t="s">
        <v>714</v>
      </c>
      <c r="B210" s="19" t="s">
        <v>715</v>
      </c>
      <c r="C210" s="19" t="s">
        <v>707</v>
      </c>
    </row>
    <row r="211">
      <c r="A211" s="24" t="s">
        <v>716</v>
      </c>
      <c r="B211" s="19" t="s">
        <v>717</v>
      </c>
      <c r="C211" s="19" t="s">
        <v>718</v>
      </c>
    </row>
    <row r="212">
      <c r="A212" s="24" t="s">
        <v>719</v>
      </c>
      <c r="B212" s="19" t="s">
        <v>720</v>
      </c>
      <c r="C212" s="19" t="s">
        <v>721</v>
      </c>
    </row>
    <row r="213">
      <c r="A213" s="24" t="s">
        <v>722</v>
      </c>
      <c r="B213" s="19" t="s">
        <v>723</v>
      </c>
      <c r="C213" s="19" t="s">
        <v>724</v>
      </c>
    </row>
    <row r="214">
      <c r="A214" s="24" t="s">
        <v>725</v>
      </c>
      <c r="B214" s="19" t="s">
        <v>726</v>
      </c>
      <c r="C214" s="19" t="s">
        <v>727</v>
      </c>
      <c r="D214" s="19">
        <v>2008.0</v>
      </c>
    </row>
    <row r="215">
      <c r="A215" s="24" t="s">
        <v>728</v>
      </c>
      <c r="B215" s="19" t="s">
        <v>729</v>
      </c>
      <c r="C215" s="19" t="s">
        <v>730</v>
      </c>
    </row>
    <row r="216">
      <c r="A216" s="24" t="s">
        <v>731</v>
      </c>
      <c r="B216" s="19" t="s">
        <v>732</v>
      </c>
      <c r="C216" s="19" t="s">
        <v>733</v>
      </c>
      <c r="D216" s="19" t="s">
        <v>734</v>
      </c>
      <c r="E216" s="19" t="s">
        <v>735</v>
      </c>
    </row>
    <row r="217">
      <c r="A217" s="24" t="s">
        <v>736</v>
      </c>
      <c r="B217" s="19" t="s">
        <v>737</v>
      </c>
      <c r="C217" s="19" t="s">
        <v>738</v>
      </c>
    </row>
    <row r="218">
      <c r="A218" s="24" t="s">
        <v>739</v>
      </c>
      <c r="B218" s="19" t="s">
        <v>740</v>
      </c>
      <c r="C218" s="19" t="s">
        <v>741</v>
      </c>
    </row>
    <row r="219">
      <c r="A219" s="24" t="s">
        <v>742</v>
      </c>
      <c r="B219" s="19" t="s">
        <v>743</v>
      </c>
      <c r="C219" s="19" t="s">
        <v>744</v>
      </c>
    </row>
    <row r="220">
      <c r="A220" s="24" t="s">
        <v>745</v>
      </c>
      <c r="B220" s="19" t="s">
        <v>746</v>
      </c>
      <c r="C220" s="19" t="s">
        <v>747</v>
      </c>
      <c r="D220" s="19" t="s">
        <v>748</v>
      </c>
      <c r="E220" s="19" t="s">
        <v>749</v>
      </c>
    </row>
    <row r="221">
      <c r="A221" s="24" t="s">
        <v>750</v>
      </c>
      <c r="B221" s="19" t="s">
        <v>751</v>
      </c>
      <c r="C221" s="19" t="s">
        <v>752</v>
      </c>
    </row>
    <row r="222">
      <c r="A222" s="24" t="s">
        <v>753</v>
      </c>
      <c r="B222" s="19" t="s">
        <v>754</v>
      </c>
      <c r="C222" s="19" t="s">
        <v>755</v>
      </c>
    </row>
    <row r="223">
      <c r="A223" s="24" t="s">
        <v>756</v>
      </c>
      <c r="B223" s="19" t="s">
        <v>757</v>
      </c>
      <c r="C223" s="19" t="s">
        <v>758</v>
      </c>
    </row>
    <row r="224">
      <c r="A224" s="24" t="s">
        <v>759</v>
      </c>
      <c r="B224" s="19" t="s">
        <v>760</v>
      </c>
      <c r="C224" s="19" t="s">
        <v>761</v>
      </c>
      <c r="D224" s="19" t="s">
        <v>762</v>
      </c>
      <c r="E224" s="19" t="s">
        <v>763</v>
      </c>
    </row>
    <row r="225">
      <c r="A225" s="24" t="s">
        <v>764</v>
      </c>
      <c r="B225" s="19" t="s">
        <v>765</v>
      </c>
      <c r="C225" s="19" t="s">
        <v>766</v>
      </c>
    </row>
    <row r="226">
      <c r="A226" s="24" t="s">
        <v>767</v>
      </c>
      <c r="B226" s="19" t="s">
        <v>768</v>
      </c>
      <c r="C226" s="19" t="s">
        <v>769</v>
      </c>
    </row>
    <row r="227">
      <c r="A227" s="24" t="s">
        <v>770</v>
      </c>
      <c r="B227" s="19" t="s">
        <v>771</v>
      </c>
      <c r="C227" s="19" t="s">
        <v>772</v>
      </c>
    </row>
    <row r="228">
      <c r="A228" s="24" t="s">
        <v>773</v>
      </c>
      <c r="B228" s="19" t="s">
        <v>774</v>
      </c>
      <c r="C228" s="19" t="s">
        <v>775</v>
      </c>
      <c r="D228" s="19" t="s">
        <v>776</v>
      </c>
      <c r="E228" s="19" t="s">
        <v>777</v>
      </c>
    </row>
    <row r="229">
      <c r="A229" s="24" t="s">
        <v>778</v>
      </c>
      <c r="B229" s="19" t="s">
        <v>779</v>
      </c>
      <c r="C229" s="19" t="s">
        <v>780</v>
      </c>
    </row>
    <row r="230">
      <c r="A230" s="24" t="s">
        <v>781</v>
      </c>
      <c r="B230" s="19" t="s">
        <v>782</v>
      </c>
      <c r="C230" s="19" t="s">
        <v>783</v>
      </c>
    </row>
    <row r="231">
      <c r="A231" s="24" t="s">
        <v>784</v>
      </c>
      <c r="B231" s="19" t="s">
        <v>785</v>
      </c>
      <c r="C231" s="19" t="s">
        <v>786</v>
      </c>
    </row>
    <row r="232">
      <c r="A232" s="24" t="s">
        <v>787</v>
      </c>
      <c r="B232" s="19" t="s">
        <v>788</v>
      </c>
      <c r="C232" s="19" t="s">
        <v>789</v>
      </c>
    </row>
    <row r="233">
      <c r="A233" s="24" t="s">
        <v>790</v>
      </c>
      <c r="B233" s="19" t="s">
        <v>791</v>
      </c>
      <c r="C233" s="19" t="s">
        <v>792</v>
      </c>
    </row>
    <row r="234">
      <c r="A234" s="24" t="s">
        <v>793</v>
      </c>
      <c r="B234" s="19" t="s">
        <v>794</v>
      </c>
      <c r="C234" s="19" t="s">
        <v>795</v>
      </c>
    </row>
    <row r="235">
      <c r="A235" s="24" t="s">
        <v>796</v>
      </c>
      <c r="B235" s="19" t="s">
        <v>797</v>
      </c>
      <c r="C235" s="19" t="s">
        <v>798</v>
      </c>
      <c r="D235" s="19" t="s">
        <v>799</v>
      </c>
      <c r="E235" s="19" t="s">
        <v>800</v>
      </c>
      <c r="F235" s="19" t="s">
        <v>801</v>
      </c>
    </row>
    <row r="236">
      <c r="A236" s="24" t="s">
        <v>802</v>
      </c>
      <c r="B236" s="19" t="s">
        <v>803</v>
      </c>
      <c r="C236" s="19" t="s">
        <v>804</v>
      </c>
      <c r="D236" s="19" t="s">
        <v>805</v>
      </c>
    </row>
    <row r="237">
      <c r="A237" s="24" t="s">
        <v>49</v>
      </c>
      <c r="B237" s="19" t="s">
        <v>51</v>
      </c>
      <c r="C237" s="19" t="s">
        <v>50</v>
      </c>
      <c r="D237" s="19" t="s">
        <v>806</v>
      </c>
    </row>
    <row r="238">
      <c r="A238" s="24" t="s">
        <v>807</v>
      </c>
      <c r="B238" s="19" t="s">
        <v>808</v>
      </c>
      <c r="C238" s="19" t="s">
        <v>809</v>
      </c>
    </row>
    <row r="239">
      <c r="A239" s="24" t="s">
        <v>810</v>
      </c>
      <c r="B239" s="19" t="s">
        <v>811</v>
      </c>
      <c r="C239" s="19" t="s">
        <v>812</v>
      </c>
    </row>
    <row r="240">
      <c r="A240" s="24" t="s">
        <v>813</v>
      </c>
      <c r="B240" s="19" t="s">
        <v>814</v>
      </c>
      <c r="C240" s="19" t="s">
        <v>815</v>
      </c>
    </row>
    <row r="241">
      <c r="A241" s="24" t="s">
        <v>816</v>
      </c>
      <c r="B241" s="19" t="s">
        <v>817</v>
      </c>
      <c r="C241" s="19" t="s">
        <v>818</v>
      </c>
      <c r="D241" s="19" t="s">
        <v>819</v>
      </c>
      <c r="E241" s="19" t="s">
        <v>820</v>
      </c>
    </row>
    <row r="242">
      <c r="A242" s="24" t="s">
        <v>821</v>
      </c>
      <c r="B242" s="19" t="s">
        <v>822</v>
      </c>
      <c r="C242" s="19" t="s">
        <v>823</v>
      </c>
      <c r="D242" s="19" t="s">
        <v>824</v>
      </c>
    </row>
    <row r="243">
      <c r="A243" s="24" t="s">
        <v>825</v>
      </c>
      <c r="B243" s="19" t="s">
        <v>826</v>
      </c>
      <c r="C243" s="19" t="s">
        <v>827</v>
      </c>
    </row>
    <row r="244">
      <c r="A244" s="24" t="s">
        <v>828</v>
      </c>
      <c r="B244" s="19" t="s">
        <v>829</v>
      </c>
      <c r="C244" s="19" t="s">
        <v>830</v>
      </c>
      <c r="D244" s="19" t="s">
        <v>831</v>
      </c>
      <c r="E244" s="19" t="s">
        <v>832</v>
      </c>
      <c r="F244" s="19" t="s">
        <v>244</v>
      </c>
      <c r="G244" s="19" t="s">
        <v>833</v>
      </c>
      <c r="H244" s="19" t="s">
        <v>834</v>
      </c>
      <c r="I244" s="26">
        <v>46308.0</v>
      </c>
      <c r="J244" s="19">
        <v>2021.0</v>
      </c>
      <c r="K244" s="19" t="s">
        <v>835</v>
      </c>
    </row>
    <row r="245">
      <c r="A245" s="24" t="s">
        <v>836</v>
      </c>
      <c r="B245" s="19" t="s">
        <v>837</v>
      </c>
      <c r="C245" s="19" t="s">
        <v>838</v>
      </c>
    </row>
    <row r="246">
      <c r="A246" s="24" t="s">
        <v>839</v>
      </c>
      <c r="B246" s="19" t="s">
        <v>840</v>
      </c>
      <c r="C246" s="19" t="s">
        <v>841</v>
      </c>
    </row>
    <row r="247">
      <c r="A247" s="24" t="s">
        <v>842</v>
      </c>
      <c r="B247" s="19" t="s">
        <v>843</v>
      </c>
      <c r="C247" s="19" t="s">
        <v>844</v>
      </c>
    </row>
    <row r="248">
      <c r="A248" s="24" t="s">
        <v>845</v>
      </c>
      <c r="B248" s="19" t="s">
        <v>846</v>
      </c>
      <c r="C248" s="19" t="s">
        <v>847</v>
      </c>
    </row>
    <row r="249">
      <c r="A249" s="24" t="s">
        <v>848</v>
      </c>
      <c r="B249" s="19" t="s">
        <v>849</v>
      </c>
      <c r="C249" s="19" t="s">
        <v>850</v>
      </c>
    </row>
    <row r="250">
      <c r="A250" s="24" t="s">
        <v>851</v>
      </c>
      <c r="B250" s="19" t="s">
        <v>852</v>
      </c>
      <c r="C250" s="19" t="s">
        <v>853</v>
      </c>
    </row>
    <row r="251">
      <c r="A251" s="24" t="s">
        <v>854</v>
      </c>
      <c r="B251" s="19" t="s">
        <v>855</v>
      </c>
      <c r="C251" s="19" t="s">
        <v>856</v>
      </c>
    </row>
    <row r="252">
      <c r="A252" s="24" t="s">
        <v>857</v>
      </c>
      <c r="B252" s="19" t="s">
        <v>858</v>
      </c>
      <c r="C252" s="19" t="s">
        <v>859</v>
      </c>
    </row>
    <row r="253">
      <c r="A253" s="24" t="s">
        <v>860</v>
      </c>
      <c r="B253" s="19" t="s">
        <v>861</v>
      </c>
      <c r="C253" s="19" t="s">
        <v>862</v>
      </c>
    </row>
    <row r="254">
      <c r="A254" s="24" t="s">
        <v>863</v>
      </c>
      <c r="B254" s="19" t="s">
        <v>864</v>
      </c>
      <c r="C254" s="19" t="s">
        <v>865</v>
      </c>
    </row>
    <row r="255">
      <c r="A255" s="24" t="s">
        <v>866</v>
      </c>
      <c r="B255" s="19" t="s">
        <v>867</v>
      </c>
      <c r="C255" s="19" t="s">
        <v>868</v>
      </c>
    </row>
    <row r="256">
      <c r="A256" s="24" t="s">
        <v>869</v>
      </c>
      <c r="B256" s="19" t="s">
        <v>870</v>
      </c>
      <c r="C256" s="19" t="s">
        <v>871</v>
      </c>
    </row>
    <row r="257">
      <c r="A257" s="24" t="s">
        <v>872</v>
      </c>
      <c r="B257" s="19" t="s">
        <v>873</v>
      </c>
      <c r="C257" s="19" t="s">
        <v>874</v>
      </c>
    </row>
    <row r="258">
      <c r="A258" s="24" t="s">
        <v>875</v>
      </c>
      <c r="B258" s="19" t="s">
        <v>876</v>
      </c>
      <c r="C258" s="19" t="s">
        <v>877</v>
      </c>
    </row>
    <row r="259">
      <c r="A259" s="24" t="s">
        <v>878</v>
      </c>
      <c r="B259" s="19" t="s">
        <v>879</v>
      </c>
      <c r="C259" s="19" t="s">
        <v>880</v>
      </c>
    </row>
    <row r="260">
      <c r="A260" s="24" t="s">
        <v>881</v>
      </c>
      <c r="B260" s="19" t="s">
        <v>882</v>
      </c>
      <c r="C260" s="19" t="s">
        <v>883</v>
      </c>
    </row>
    <row r="261">
      <c r="A261" s="24" t="s">
        <v>884</v>
      </c>
      <c r="B261" s="19" t="s">
        <v>885</v>
      </c>
      <c r="C261" s="19" t="s">
        <v>886</v>
      </c>
    </row>
    <row r="262">
      <c r="A262" s="24" t="s">
        <v>887</v>
      </c>
      <c r="B262" s="19" t="s">
        <v>888</v>
      </c>
      <c r="C262" s="19" t="s">
        <v>889</v>
      </c>
    </row>
    <row r="263">
      <c r="A263" s="24" t="s">
        <v>890</v>
      </c>
      <c r="B263" s="19" t="s">
        <v>891</v>
      </c>
      <c r="C263" s="19" t="s">
        <v>892</v>
      </c>
    </row>
    <row r="264">
      <c r="A264" s="24" t="s">
        <v>893</v>
      </c>
      <c r="B264" s="19" t="s">
        <v>894</v>
      </c>
      <c r="C264" s="19" t="s">
        <v>895</v>
      </c>
    </row>
    <row r="265">
      <c r="A265" s="24" t="s">
        <v>896</v>
      </c>
      <c r="B265" s="19" t="s">
        <v>897</v>
      </c>
      <c r="C265" s="19" t="s">
        <v>898</v>
      </c>
    </row>
    <row r="266">
      <c r="A266" s="24" t="s">
        <v>899</v>
      </c>
      <c r="B266" s="19" t="s">
        <v>900</v>
      </c>
      <c r="C266" s="19" t="s">
        <v>901</v>
      </c>
    </row>
    <row r="267">
      <c r="A267" s="24" t="s">
        <v>902</v>
      </c>
      <c r="B267" s="19" t="s">
        <v>903</v>
      </c>
      <c r="C267" s="19" t="s">
        <v>904</v>
      </c>
    </row>
    <row r="268">
      <c r="A268" s="24" t="s">
        <v>905</v>
      </c>
      <c r="B268" s="19" t="s">
        <v>906</v>
      </c>
      <c r="C268" s="19" t="s">
        <v>907</v>
      </c>
    </row>
    <row r="269">
      <c r="A269" s="24" t="s">
        <v>908</v>
      </c>
      <c r="B269" s="19" t="s">
        <v>909</v>
      </c>
      <c r="C269" s="19" t="s">
        <v>910</v>
      </c>
    </row>
    <row r="270">
      <c r="A270" s="24" t="s">
        <v>911</v>
      </c>
      <c r="B270" s="19" t="s">
        <v>912</v>
      </c>
      <c r="C270" s="19" t="s">
        <v>913</v>
      </c>
    </row>
    <row r="271">
      <c r="A271" s="24" t="s">
        <v>914</v>
      </c>
      <c r="B271" s="19" t="s">
        <v>915</v>
      </c>
      <c r="C271" s="19" t="s">
        <v>916</v>
      </c>
    </row>
    <row r="272">
      <c r="A272" s="24" t="s">
        <v>917</v>
      </c>
      <c r="B272" s="19" t="s">
        <v>918</v>
      </c>
      <c r="C272" s="19" t="s">
        <v>919</v>
      </c>
    </row>
    <row r="273">
      <c r="A273" s="24" t="s">
        <v>920</v>
      </c>
      <c r="B273" s="19" t="s">
        <v>921</v>
      </c>
      <c r="C273" s="19" t="s">
        <v>922</v>
      </c>
    </row>
    <row r="274">
      <c r="A274" s="24" t="s">
        <v>923</v>
      </c>
      <c r="B274" s="19" t="s">
        <v>924</v>
      </c>
      <c r="C274" s="19" t="s">
        <v>925</v>
      </c>
      <c r="D274" s="19" t="s">
        <v>926</v>
      </c>
    </row>
    <row r="275">
      <c r="A275" s="24" t="s">
        <v>927</v>
      </c>
      <c r="B275" s="19" t="s">
        <v>928</v>
      </c>
      <c r="C275" s="19" t="s">
        <v>929</v>
      </c>
    </row>
    <row r="276">
      <c r="A276" s="24" t="s">
        <v>930</v>
      </c>
      <c r="B276" s="19" t="s">
        <v>931</v>
      </c>
      <c r="C276" s="19" t="s">
        <v>932</v>
      </c>
      <c r="D276" s="19" t="s">
        <v>933</v>
      </c>
      <c r="E276" s="19" t="s">
        <v>934</v>
      </c>
      <c r="F276" s="19" t="s">
        <v>935</v>
      </c>
      <c r="G276" s="19" t="s">
        <v>936</v>
      </c>
    </row>
    <row r="277">
      <c r="A277" s="24" t="s">
        <v>937</v>
      </c>
      <c r="B277" s="19" t="s">
        <v>938</v>
      </c>
      <c r="C277" s="19" t="s">
        <v>939</v>
      </c>
    </row>
    <row r="278">
      <c r="A278" s="24" t="s">
        <v>940</v>
      </c>
      <c r="B278" s="19" t="s">
        <v>941</v>
      </c>
      <c r="C278" s="19" t="s">
        <v>942</v>
      </c>
    </row>
    <row r="279">
      <c r="A279" s="24" t="s">
        <v>943</v>
      </c>
      <c r="B279" s="19" t="s">
        <v>944</v>
      </c>
      <c r="C279" s="19" t="s">
        <v>945</v>
      </c>
    </row>
    <row r="280">
      <c r="A280" s="24" t="s">
        <v>946</v>
      </c>
      <c r="B280" s="19" t="s">
        <v>947</v>
      </c>
      <c r="C280" s="19" t="s">
        <v>948</v>
      </c>
    </row>
    <row r="281">
      <c r="A281" s="24" t="s">
        <v>949</v>
      </c>
      <c r="B281" s="19" t="s">
        <v>950</v>
      </c>
      <c r="C281" s="19" t="s">
        <v>951</v>
      </c>
    </row>
    <row r="282">
      <c r="A282" s="24" t="s">
        <v>952</v>
      </c>
      <c r="B282" s="19" t="s">
        <v>953</v>
      </c>
      <c r="C282" s="19" t="s">
        <v>954</v>
      </c>
    </row>
    <row r="283">
      <c r="A283" s="24" t="s">
        <v>955</v>
      </c>
      <c r="B283" s="19" t="s">
        <v>956</v>
      </c>
      <c r="C283" s="19" t="s">
        <v>957</v>
      </c>
    </row>
    <row r="284">
      <c r="A284" s="24" t="s">
        <v>958</v>
      </c>
      <c r="B284" s="19" t="s">
        <v>959</v>
      </c>
      <c r="C284" s="19" t="s">
        <v>960</v>
      </c>
    </row>
    <row r="285">
      <c r="A285" s="24" t="s">
        <v>961</v>
      </c>
      <c r="B285" s="19" t="s">
        <v>962</v>
      </c>
      <c r="C285" s="19" t="s">
        <v>963</v>
      </c>
    </row>
    <row r="286">
      <c r="A286" s="24" t="s">
        <v>964</v>
      </c>
      <c r="B286" s="19" t="s">
        <v>965</v>
      </c>
      <c r="C286" s="19" t="s">
        <v>966</v>
      </c>
    </row>
    <row r="287">
      <c r="A287" s="24" t="s">
        <v>967</v>
      </c>
      <c r="B287" s="19" t="s">
        <v>968</v>
      </c>
      <c r="C287" s="19" t="s">
        <v>969</v>
      </c>
    </row>
    <row r="288">
      <c r="A288" s="24" t="s">
        <v>970</v>
      </c>
      <c r="B288" s="19" t="s">
        <v>971</v>
      </c>
      <c r="C288" s="19" t="s">
        <v>972</v>
      </c>
    </row>
    <row r="289">
      <c r="A289" s="24" t="s">
        <v>973</v>
      </c>
      <c r="B289" s="19" t="s">
        <v>974</v>
      </c>
      <c r="C289" s="19" t="s">
        <v>975</v>
      </c>
      <c r="D289" s="19" t="s">
        <v>976</v>
      </c>
    </row>
    <row r="290">
      <c r="A290" s="24" t="s">
        <v>977</v>
      </c>
      <c r="B290" s="19" t="s">
        <v>978</v>
      </c>
      <c r="C290" s="19" t="s">
        <v>979</v>
      </c>
      <c r="D290" s="19" t="s">
        <v>980</v>
      </c>
    </row>
    <row r="291">
      <c r="A291" s="24" t="s">
        <v>981</v>
      </c>
      <c r="B291" s="19" t="s">
        <v>982</v>
      </c>
      <c r="C291" s="19" t="s">
        <v>983</v>
      </c>
    </row>
    <row r="292">
      <c r="A292" s="24" t="s">
        <v>984</v>
      </c>
      <c r="B292" s="19" t="s">
        <v>985</v>
      </c>
      <c r="C292" s="19" t="s">
        <v>986</v>
      </c>
    </row>
    <row r="293">
      <c r="A293" s="24" t="s">
        <v>987</v>
      </c>
      <c r="B293" s="19" t="s">
        <v>988</v>
      </c>
      <c r="C293" s="19" t="s">
        <v>989</v>
      </c>
    </row>
    <row r="294">
      <c r="A294" s="24" t="s">
        <v>990</v>
      </c>
      <c r="B294" s="19" t="s">
        <v>991</v>
      </c>
      <c r="C294" s="19" t="s">
        <v>992</v>
      </c>
    </row>
    <row r="295">
      <c r="A295" s="24" t="s">
        <v>993</v>
      </c>
      <c r="B295" s="19" t="s">
        <v>994</v>
      </c>
      <c r="C295" s="19" t="s">
        <v>995</v>
      </c>
    </row>
    <row r="296">
      <c r="A296" s="24" t="s">
        <v>996</v>
      </c>
      <c r="B296" s="19" t="s">
        <v>997</v>
      </c>
      <c r="C296" s="19" t="s">
        <v>998</v>
      </c>
    </row>
    <row r="297">
      <c r="A297" s="24" t="s">
        <v>999</v>
      </c>
      <c r="B297" s="19" t="s">
        <v>1000</v>
      </c>
      <c r="C297" s="19" t="s">
        <v>1001</v>
      </c>
      <c r="D297" s="19" t="s">
        <v>1002</v>
      </c>
    </row>
    <row r="298">
      <c r="A298" s="24" t="s">
        <v>1003</v>
      </c>
      <c r="B298" s="19" t="s">
        <v>1004</v>
      </c>
      <c r="C298" s="19" t="s">
        <v>1005</v>
      </c>
    </row>
    <row r="299">
      <c r="A299" s="24" t="s">
        <v>1006</v>
      </c>
      <c r="B299" s="19" t="s">
        <v>1007</v>
      </c>
      <c r="C299" s="19" t="s">
        <v>1008</v>
      </c>
    </row>
    <row r="300">
      <c r="A300" s="24" t="s">
        <v>1009</v>
      </c>
      <c r="B300" s="19" t="s">
        <v>1010</v>
      </c>
      <c r="C300" s="19" t="s">
        <v>1011</v>
      </c>
    </row>
    <row r="301">
      <c r="A301" s="24" t="s">
        <v>1012</v>
      </c>
      <c r="B301" s="19" t="s">
        <v>1013</v>
      </c>
      <c r="C301" s="19" t="s">
        <v>1014</v>
      </c>
    </row>
    <row r="302">
      <c r="A302" s="24" t="s">
        <v>1015</v>
      </c>
      <c r="B302" s="19" t="s">
        <v>1016</v>
      </c>
      <c r="C302" s="19" t="s">
        <v>1017</v>
      </c>
      <c r="D302" s="19" t="s">
        <v>1018</v>
      </c>
    </row>
    <row r="303">
      <c r="A303" s="24" t="s">
        <v>1019</v>
      </c>
      <c r="B303" s="19" t="s">
        <v>1020</v>
      </c>
      <c r="C303" s="19" t="s">
        <v>1021</v>
      </c>
    </row>
    <row r="304">
      <c r="A304" s="24" t="s">
        <v>1022</v>
      </c>
      <c r="B304" s="19" t="s">
        <v>1023</v>
      </c>
      <c r="C304" s="19" t="s">
        <v>1024</v>
      </c>
    </row>
    <row r="305">
      <c r="A305" s="24" t="s">
        <v>1025</v>
      </c>
      <c r="B305" s="19" t="s">
        <v>1026</v>
      </c>
      <c r="C305" s="19" t="s">
        <v>1027</v>
      </c>
      <c r="D305" s="19" t="s">
        <v>1028</v>
      </c>
      <c r="E305" s="19" t="s">
        <v>1029</v>
      </c>
    </row>
    <row r="306">
      <c r="A306" s="24" t="s">
        <v>1030</v>
      </c>
      <c r="B306" s="19" t="s">
        <v>1031</v>
      </c>
      <c r="C306" s="19" t="s">
        <v>1032</v>
      </c>
    </row>
    <row r="307">
      <c r="A307" s="24" t="s">
        <v>1033</v>
      </c>
      <c r="B307" s="19" t="s">
        <v>1034</v>
      </c>
      <c r="C307" s="19" t="s">
        <v>1035</v>
      </c>
      <c r="D307" s="19" t="s">
        <v>1036</v>
      </c>
    </row>
    <row r="308">
      <c r="A308" s="24" t="s">
        <v>1037</v>
      </c>
      <c r="B308" s="19" t="s">
        <v>1038</v>
      </c>
      <c r="C308" s="19" t="s">
        <v>1039</v>
      </c>
    </row>
    <row r="309">
      <c r="A309" s="24" t="s">
        <v>1040</v>
      </c>
      <c r="B309" s="19" t="s">
        <v>1041</v>
      </c>
      <c r="C309" s="19" t="s">
        <v>1042</v>
      </c>
    </row>
    <row r="310">
      <c r="A310" s="24" t="s">
        <v>1043</v>
      </c>
      <c r="B310" s="19" t="s">
        <v>1044</v>
      </c>
      <c r="C310" s="19" t="s">
        <v>1045</v>
      </c>
    </row>
    <row r="311">
      <c r="A311" s="24" t="s">
        <v>1046</v>
      </c>
      <c r="B311" s="19" t="s">
        <v>1047</v>
      </c>
      <c r="C311" s="19" t="s">
        <v>1048</v>
      </c>
    </row>
    <row r="312">
      <c r="A312" s="24" t="s">
        <v>1049</v>
      </c>
      <c r="B312" s="19" t="s">
        <v>1050</v>
      </c>
      <c r="C312" s="19" t="s">
        <v>1051</v>
      </c>
    </row>
    <row r="313">
      <c r="A313" s="24" t="s">
        <v>1052</v>
      </c>
      <c r="B313" s="19" t="s">
        <v>1053</v>
      </c>
      <c r="C313" s="19" t="s">
        <v>1054</v>
      </c>
    </row>
    <row r="314">
      <c r="A314" s="24" t="s">
        <v>1055</v>
      </c>
      <c r="B314" s="19" t="s">
        <v>1056</v>
      </c>
      <c r="C314" s="19" t="s">
        <v>1057</v>
      </c>
    </row>
    <row r="315">
      <c r="A315" s="24" t="s">
        <v>1058</v>
      </c>
      <c r="B315" s="19" t="s">
        <v>1059</v>
      </c>
      <c r="C315" s="19" t="s">
        <v>1060</v>
      </c>
    </row>
    <row r="316">
      <c r="A316" s="24" t="s">
        <v>1061</v>
      </c>
      <c r="B316" s="19" t="s">
        <v>1062</v>
      </c>
      <c r="C316" s="19" t="s">
        <v>1063</v>
      </c>
    </row>
    <row r="317">
      <c r="A317" s="24" t="s">
        <v>1064</v>
      </c>
      <c r="B317" s="19" t="s">
        <v>1065</v>
      </c>
      <c r="C317" s="19" t="s">
        <v>1066</v>
      </c>
    </row>
    <row r="318">
      <c r="A318" s="24" t="s">
        <v>1067</v>
      </c>
      <c r="B318" s="19" t="s">
        <v>1068</v>
      </c>
      <c r="C318" s="19" t="s">
        <v>1069</v>
      </c>
    </row>
    <row r="319">
      <c r="A319" s="24" t="s">
        <v>1070</v>
      </c>
      <c r="B319" s="19" t="s">
        <v>1071</v>
      </c>
      <c r="C319" s="19" t="s">
        <v>1072</v>
      </c>
      <c r="D319" s="19" t="s">
        <v>1073</v>
      </c>
    </row>
    <row r="320">
      <c r="A320" s="24" t="s">
        <v>1074</v>
      </c>
      <c r="B320" s="19" t="s">
        <v>1075</v>
      </c>
      <c r="C320" s="19" t="s">
        <v>1076</v>
      </c>
    </row>
    <row r="321">
      <c r="A321" s="24" t="s">
        <v>1077</v>
      </c>
      <c r="B321" s="19" t="s">
        <v>1078</v>
      </c>
      <c r="C321" s="19" t="s">
        <v>1079</v>
      </c>
    </row>
    <row r="322">
      <c r="A322" s="24" t="s">
        <v>1080</v>
      </c>
      <c r="B322" s="19" t="s">
        <v>1081</v>
      </c>
      <c r="C322" s="19" t="s">
        <v>1082</v>
      </c>
    </row>
    <row r="323">
      <c r="A323" s="24" t="s">
        <v>1083</v>
      </c>
      <c r="B323" s="19" t="s">
        <v>1084</v>
      </c>
      <c r="C323" s="19" t="s">
        <v>1085</v>
      </c>
    </row>
    <row r="324">
      <c r="A324" s="24" t="s">
        <v>1086</v>
      </c>
      <c r="B324" s="19" t="s">
        <v>1087</v>
      </c>
      <c r="C324" s="19" t="s">
        <v>1088</v>
      </c>
    </row>
    <row r="325">
      <c r="A325" s="24" t="s">
        <v>1089</v>
      </c>
      <c r="B325" s="19" t="s">
        <v>1090</v>
      </c>
      <c r="C325" s="19" t="s">
        <v>1091</v>
      </c>
    </row>
    <row r="326">
      <c r="A326" s="24" t="s">
        <v>1092</v>
      </c>
      <c r="B326" s="19" t="s">
        <v>1093</v>
      </c>
      <c r="C326" s="19" t="s">
        <v>1094</v>
      </c>
    </row>
    <row r="327">
      <c r="A327" s="24" t="s">
        <v>1095</v>
      </c>
      <c r="B327" s="19" t="s">
        <v>1096</v>
      </c>
      <c r="C327" s="19" t="s">
        <v>1097</v>
      </c>
    </row>
    <row r="328">
      <c r="A328" s="24" t="s">
        <v>1098</v>
      </c>
      <c r="B328" s="19" t="s">
        <v>1099</v>
      </c>
      <c r="C328" s="19" t="s">
        <v>1100</v>
      </c>
    </row>
    <row r="329">
      <c r="A329" s="24" t="s">
        <v>1101</v>
      </c>
      <c r="B329" s="19" t="s">
        <v>1102</v>
      </c>
      <c r="C329" s="19" t="s">
        <v>1103</v>
      </c>
    </row>
    <row r="330">
      <c r="A330" s="24" t="s">
        <v>1104</v>
      </c>
      <c r="B330" s="19" t="s">
        <v>1105</v>
      </c>
      <c r="C330" s="19" t="s">
        <v>1106</v>
      </c>
    </row>
    <row r="331">
      <c r="A331" s="24" t="s">
        <v>1107</v>
      </c>
      <c r="B331" s="19" t="s">
        <v>1108</v>
      </c>
      <c r="C331" s="19" t="s">
        <v>1109</v>
      </c>
    </row>
    <row r="332">
      <c r="A332" s="24" t="s">
        <v>1110</v>
      </c>
      <c r="B332" s="19" t="s">
        <v>1111</v>
      </c>
      <c r="C332" s="19" t="s">
        <v>1112</v>
      </c>
    </row>
    <row r="333">
      <c r="A333" s="24" t="s">
        <v>1113</v>
      </c>
      <c r="B333" s="19" t="s">
        <v>1114</v>
      </c>
      <c r="C333" s="19" t="s">
        <v>1115</v>
      </c>
    </row>
    <row r="334">
      <c r="A334" s="24" t="s">
        <v>1116</v>
      </c>
      <c r="B334" s="19" t="s">
        <v>1117</v>
      </c>
      <c r="C334" s="19" t="s">
        <v>1118</v>
      </c>
    </row>
    <row r="335">
      <c r="A335" s="24" t="s">
        <v>1119</v>
      </c>
      <c r="B335" s="19" t="s">
        <v>1120</v>
      </c>
      <c r="C335" s="19" t="s">
        <v>1121</v>
      </c>
    </row>
    <row r="336">
      <c r="A336" s="24" t="s">
        <v>1122</v>
      </c>
      <c r="B336" s="19" t="s">
        <v>1123</v>
      </c>
      <c r="C336" s="19" t="s">
        <v>1124</v>
      </c>
    </row>
    <row r="337">
      <c r="A337" s="24" t="s">
        <v>1125</v>
      </c>
      <c r="B337" s="19" t="s">
        <v>1126</v>
      </c>
      <c r="C337" s="19" t="s">
        <v>1127</v>
      </c>
    </row>
    <row r="338">
      <c r="A338" s="24" t="s">
        <v>1128</v>
      </c>
      <c r="B338" s="19" t="s">
        <v>1129</v>
      </c>
      <c r="C338" s="19" t="s">
        <v>1130</v>
      </c>
    </row>
    <row r="339">
      <c r="A339" s="24" t="s">
        <v>1131</v>
      </c>
      <c r="B339" s="19" t="s">
        <v>1132</v>
      </c>
      <c r="C339" s="19" t="s">
        <v>1133</v>
      </c>
    </row>
    <row r="340">
      <c r="A340" s="24" t="s">
        <v>1134</v>
      </c>
      <c r="B340" s="19" t="s">
        <v>1135</v>
      </c>
      <c r="C340" s="19" t="s">
        <v>1136</v>
      </c>
      <c r="D340" s="19" t="s">
        <v>1137</v>
      </c>
    </row>
    <row r="341">
      <c r="A341" s="24" t="s">
        <v>1138</v>
      </c>
      <c r="B341" s="19" t="s">
        <v>1139</v>
      </c>
      <c r="C341" s="19" t="s">
        <v>1140</v>
      </c>
      <c r="D341" s="19" t="s">
        <v>1141</v>
      </c>
    </row>
    <row r="342">
      <c r="A342" s="24" t="s">
        <v>1142</v>
      </c>
      <c r="B342" s="19" t="s">
        <v>1143</v>
      </c>
      <c r="C342" s="19" t="s">
        <v>1136</v>
      </c>
      <c r="D342" s="19" t="s">
        <v>1137</v>
      </c>
    </row>
    <row r="343">
      <c r="A343" s="24" t="s">
        <v>1144</v>
      </c>
      <c r="B343" s="19" t="s">
        <v>1145</v>
      </c>
      <c r="C343" s="19" t="s">
        <v>1146</v>
      </c>
    </row>
    <row r="344">
      <c r="A344" s="24" t="s">
        <v>1147</v>
      </c>
      <c r="B344" s="19" t="s">
        <v>1148</v>
      </c>
      <c r="C344" s="19" t="s">
        <v>1149</v>
      </c>
    </row>
    <row r="345">
      <c r="A345" s="24" t="s">
        <v>1150</v>
      </c>
      <c r="B345" s="19" t="s">
        <v>1151</v>
      </c>
      <c r="C345" s="19" t="s">
        <v>1152</v>
      </c>
    </row>
    <row r="346">
      <c r="A346" s="24" t="s">
        <v>1153</v>
      </c>
      <c r="B346" s="19" t="s">
        <v>1154</v>
      </c>
      <c r="C346" s="19" t="s">
        <v>1155</v>
      </c>
    </row>
    <row r="347">
      <c r="A347" s="24" t="s">
        <v>1156</v>
      </c>
      <c r="B347" s="19" t="s">
        <v>1157</v>
      </c>
      <c r="C347" s="19" t="s">
        <v>1158</v>
      </c>
    </row>
    <row r="348">
      <c r="A348" s="24" t="s">
        <v>1159</v>
      </c>
      <c r="B348" s="19" t="s">
        <v>1160</v>
      </c>
      <c r="C348" s="19" t="s">
        <v>1161</v>
      </c>
    </row>
    <row r="349">
      <c r="A349" s="24" t="s">
        <v>1162</v>
      </c>
      <c r="B349" s="19" t="s">
        <v>1163</v>
      </c>
      <c r="C349" s="19" t="s">
        <v>1164</v>
      </c>
    </row>
    <row r="350">
      <c r="A350" s="24" t="s">
        <v>1165</v>
      </c>
      <c r="B350" s="19" t="s">
        <v>1166</v>
      </c>
      <c r="C350" s="19" t="s">
        <v>1167</v>
      </c>
      <c r="D350" s="19" t="s">
        <v>1168</v>
      </c>
      <c r="E350" s="19" t="s">
        <v>1169</v>
      </c>
    </row>
    <row r="351">
      <c r="A351" s="24" t="s">
        <v>1170</v>
      </c>
      <c r="B351" s="19" t="s">
        <v>1171</v>
      </c>
      <c r="C351" s="19" t="s">
        <v>1172</v>
      </c>
    </row>
    <row r="352">
      <c r="A352" s="24" t="s">
        <v>1173</v>
      </c>
      <c r="B352" s="19" t="s">
        <v>1174</v>
      </c>
      <c r="C352" s="19" t="s">
        <v>1175</v>
      </c>
    </row>
    <row r="353">
      <c r="A353" s="24" t="s">
        <v>1176</v>
      </c>
      <c r="B353" s="19" t="s">
        <v>1177</v>
      </c>
      <c r="C353" s="19" t="s">
        <v>1178</v>
      </c>
    </row>
    <row r="354">
      <c r="A354" s="24" t="s">
        <v>1179</v>
      </c>
      <c r="B354" s="19" t="s">
        <v>1180</v>
      </c>
      <c r="C354" s="19" t="s">
        <v>1181</v>
      </c>
    </row>
    <row r="355">
      <c r="A355" s="24" t="s">
        <v>1182</v>
      </c>
      <c r="B355" s="19" t="s">
        <v>1183</v>
      </c>
      <c r="C355" s="19" t="s">
        <v>1184</v>
      </c>
    </row>
    <row r="356">
      <c r="A356" s="24" t="s">
        <v>1185</v>
      </c>
      <c r="B356" s="19" t="s">
        <v>1186</v>
      </c>
      <c r="C356" s="19" t="s">
        <v>1187</v>
      </c>
    </row>
    <row r="357">
      <c r="A357" s="24" t="s">
        <v>1188</v>
      </c>
      <c r="B357" s="19" t="s">
        <v>1189</v>
      </c>
      <c r="C357" s="19" t="s">
        <v>1190</v>
      </c>
    </row>
    <row r="358">
      <c r="A358" s="24" t="s">
        <v>1191</v>
      </c>
      <c r="B358" s="19" t="s">
        <v>1192</v>
      </c>
      <c r="C358" s="19" t="s">
        <v>1011</v>
      </c>
    </row>
    <row r="359">
      <c r="A359" s="24" t="s">
        <v>1193</v>
      </c>
      <c r="B359" s="19" t="s">
        <v>1194</v>
      </c>
      <c r="C359" s="19" t="s">
        <v>1195</v>
      </c>
    </row>
    <row r="360">
      <c r="A360" s="24" t="s">
        <v>1196</v>
      </c>
      <c r="B360" s="19" t="s">
        <v>1197</v>
      </c>
      <c r="C360" s="19" t="s">
        <v>1198</v>
      </c>
    </row>
    <row r="361">
      <c r="A361" s="24" t="s">
        <v>1199</v>
      </c>
      <c r="B361" s="19" t="s">
        <v>1200</v>
      </c>
      <c r="C361" s="19" t="s">
        <v>1201</v>
      </c>
    </row>
    <row r="362">
      <c r="A362" s="24" t="s">
        <v>1202</v>
      </c>
      <c r="B362" s="19" t="s">
        <v>1203</v>
      </c>
      <c r="C362" s="19" t="s">
        <v>1204</v>
      </c>
    </row>
    <row r="363">
      <c r="A363" s="24" t="s">
        <v>1205</v>
      </c>
      <c r="B363" s="19" t="s">
        <v>1206</v>
      </c>
      <c r="C363" s="19" t="s">
        <v>1207</v>
      </c>
    </row>
    <row r="364">
      <c r="A364" s="24" t="s">
        <v>1208</v>
      </c>
      <c r="B364" s="19" t="s">
        <v>1209</v>
      </c>
      <c r="C364" s="19" t="s">
        <v>1210</v>
      </c>
      <c r="D364" s="19" t="s">
        <v>1211</v>
      </c>
      <c r="E364" s="19" t="s">
        <v>1212</v>
      </c>
    </row>
    <row r="365">
      <c r="A365" s="24" t="s">
        <v>1213</v>
      </c>
      <c r="B365" s="19" t="s">
        <v>1214</v>
      </c>
      <c r="C365" s="19" t="s">
        <v>1215</v>
      </c>
    </row>
    <row r="366">
      <c r="A366" s="24" t="s">
        <v>1216</v>
      </c>
      <c r="B366" s="19" t="s">
        <v>1217</v>
      </c>
      <c r="C366" s="19" t="s">
        <v>1218</v>
      </c>
    </row>
    <row r="367">
      <c r="A367" s="24" t="s">
        <v>1219</v>
      </c>
      <c r="B367" s="19" t="s">
        <v>1220</v>
      </c>
      <c r="C367" s="19" t="s">
        <v>1221</v>
      </c>
    </row>
    <row r="368">
      <c r="A368" s="24" t="s">
        <v>1222</v>
      </c>
      <c r="B368" s="19" t="s">
        <v>1223</v>
      </c>
      <c r="C368" s="19" t="s">
        <v>1224</v>
      </c>
    </row>
    <row r="369">
      <c r="A369" s="24" t="s">
        <v>1225</v>
      </c>
      <c r="B369" s="19" t="s">
        <v>1226</v>
      </c>
      <c r="C369" s="19" t="s">
        <v>1227</v>
      </c>
    </row>
    <row r="370">
      <c r="A370" s="24" t="s">
        <v>1228</v>
      </c>
      <c r="B370" s="19" t="s">
        <v>1229</v>
      </c>
      <c r="C370" s="19" t="s">
        <v>1230</v>
      </c>
    </row>
    <row r="371">
      <c r="A371" s="24" t="s">
        <v>1231</v>
      </c>
      <c r="B371" s="19" t="s">
        <v>1232</v>
      </c>
      <c r="C371" s="19" t="s">
        <v>1233</v>
      </c>
    </row>
    <row r="372">
      <c r="A372" s="24" t="s">
        <v>1234</v>
      </c>
      <c r="B372" s="19" t="s">
        <v>1235</v>
      </c>
      <c r="C372" s="19" t="s">
        <v>1236</v>
      </c>
    </row>
    <row r="373">
      <c r="A373" s="24" t="s">
        <v>1237</v>
      </c>
      <c r="B373" s="19" t="s">
        <v>1238</v>
      </c>
      <c r="C373" s="19" t="s">
        <v>1239</v>
      </c>
    </row>
    <row r="374">
      <c r="A374" s="24" t="s">
        <v>1240</v>
      </c>
      <c r="B374" s="19" t="s">
        <v>1241</v>
      </c>
      <c r="C374" s="19" t="s">
        <v>1242</v>
      </c>
    </row>
    <row r="375">
      <c r="A375" s="24" t="s">
        <v>1243</v>
      </c>
      <c r="B375" s="19" t="s">
        <v>1244</v>
      </c>
      <c r="C375" s="19" t="s">
        <v>1245</v>
      </c>
    </row>
    <row r="376">
      <c r="A376" s="24" t="s">
        <v>1246</v>
      </c>
      <c r="B376" s="19" t="s">
        <v>1247</v>
      </c>
      <c r="C376" s="19" t="s">
        <v>1248</v>
      </c>
    </row>
    <row r="377">
      <c r="A377" s="24" t="s">
        <v>1249</v>
      </c>
      <c r="B377" s="19" t="s">
        <v>1250</v>
      </c>
      <c r="C377" s="19" t="s">
        <v>1251</v>
      </c>
    </row>
    <row r="378">
      <c r="A378" s="24" t="s">
        <v>1252</v>
      </c>
      <c r="B378" s="19" t="s">
        <v>1253</v>
      </c>
      <c r="C378" s="19" t="s">
        <v>1254</v>
      </c>
    </row>
    <row r="379">
      <c r="A379" s="24" t="s">
        <v>1255</v>
      </c>
      <c r="B379" s="19" t="s">
        <v>1256</v>
      </c>
      <c r="C379" s="19" t="s">
        <v>1257</v>
      </c>
    </row>
    <row r="380">
      <c r="A380" s="24" t="s">
        <v>1258</v>
      </c>
      <c r="B380" s="19" t="s">
        <v>1259</v>
      </c>
      <c r="C380" s="19" t="s">
        <v>1260</v>
      </c>
    </row>
    <row r="381">
      <c r="A381" s="24" t="s">
        <v>1261</v>
      </c>
      <c r="B381" s="19" t="s">
        <v>1262</v>
      </c>
      <c r="C381" s="19" t="s">
        <v>1263</v>
      </c>
    </row>
    <row r="382">
      <c r="A382" s="24" t="s">
        <v>1264</v>
      </c>
      <c r="B382" s="19" t="s">
        <v>1265</v>
      </c>
      <c r="C382" s="19" t="s">
        <v>1266</v>
      </c>
    </row>
    <row r="383">
      <c r="A383" s="24" t="s">
        <v>1267</v>
      </c>
      <c r="B383" s="19" t="s">
        <v>1268</v>
      </c>
      <c r="C383" s="19" t="s">
        <v>1269</v>
      </c>
      <c r="D383" s="19" t="s">
        <v>1270</v>
      </c>
      <c r="E383" s="19" t="s">
        <v>1271</v>
      </c>
    </row>
    <row r="384">
      <c r="A384" s="24" t="s">
        <v>1272</v>
      </c>
      <c r="B384" s="19" t="s">
        <v>1273</v>
      </c>
      <c r="C384" s="19" t="s">
        <v>1274</v>
      </c>
    </row>
    <row r="385">
      <c r="A385" s="24" t="s">
        <v>1275</v>
      </c>
      <c r="B385" s="19" t="s">
        <v>1276</v>
      </c>
      <c r="C385" s="19" t="s">
        <v>1277</v>
      </c>
    </row>
    <row r="386">
      <c r="A386" s="24" t="s">
        <v>1278</v>
      </c>
      <c r="B386" s="19" t="s">
        <v>1279</v>
      </c>
      <c r="C386" s="19" t="s">
        <v>1280</v>
      </c>
    </row>
    <row r="387">
      <c r="A387" s="24" t="s">
        <v>1281</v>
      </c>
      <c r="B387" s="19" t="s">
        <v>1282</v>
      </c>
      <c r="C387" s="19" t="s">
        <v>1283</v>
      </c>
    </row>
    <row r="388">
      <c r="A388" s="24" t="s">
        <v>1284</v>
      </c>
      <c r="B388" s="19" t="s">
        <v>1285</v>
      </c>
      <c r="C388" s="19" t="s">
        <v>1286</v>
      </c>
    </row>
    <row r="389">
      <c r="A389" s="24" t="s">
        <v>1287</v>
      </c>
      <c r="B389" s="19" t="s">
        <v>1288</v>
      </c>
      <c r="C389" s="19" t="s">
        <v>1289</v>
      </c>
    </row>
    <row r="390">
      <c r="A390" s="24" t="s">
        <v>1290</v>
      </c>
      <c r="B390" s="19" t="s">
        <v>1291</v>
      </c>
      <c r="C390" s="19" t="s">
        <v>1292</v>
      </c>
    </row>
    <row r="391">
      <c r="A391" s="24" t="s">
        <v>1293</v>
      </c>
      <c r="B391" s="19" t="s">
        <v>1294</v>
      </c>
      <c r="C391" s="19" t="s">
        <v>1295</v>
      </c>
    </row>
    <row r="392">
      <c r="A392" s="24" t="s">
        <v>1296</v>
      </c>
      <c r="B392" s="19" t="s">
        <v>1297</v>
      </c>
      <c r="C392" s="19" t="s">
        <v>1298</v>
      </c>
    </row>
    <row r="393">
      <c r="A393" s="24" t="s">
        <v>1299</v>
      </c>
      <c r="B393" s="19" t="s">
        <v>1300</v>
      </c>
      <c r="C393" s="19" t="s">
        <v>1301</v>
      </c>
    </row>
    <row r="394">
      <c r="A394" s="24" t="s">
        <v>1302</v>
      </c>
      <c r="B394" s="19" t="s">
        <v>1303</v>
      </c>
      <c r="C394" s="19" t="s">
        <v>1304</v>
      </c>
    </row>
    <row r="395">
      <c r="A395" s="24" t="s">
        <v>1305</v>
      </c>
      <c r="B395" s="19" t="s">
        <v>1306</v>
      </c>
      <c r="C395" s="19" t="s">
        <v>1307</v>
      </c>
    </row>
    <row r="396">
      <c r="A396" s="24" t="s">
        <v>1308</v>
      </c>
      <c r="B396" s="19" t="s">
        <v>1309</v>
      </c>
      <c r="C396" s="19" t="s">
        <v>1310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s>
  <drawing r:id="rId39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5.75"/>
    <col customWidth="1" min="2" max="2" width="8.63"/>
    <col customWidth="1" min="3" max="3" width="30.0"/>
    <col customWidth="1" min="4" max="4" width="17.75"/>
    <col customWidth="1" min="5" max="5" width="16.38"/>
    <col customWidth="1" min="6" max="6" width="23.5"/>
  </cols>
  <sheetData>
    <row r="1">
      <c r="A1" s="13"/>
      <c r="B1" s="13" t="s">
        <v>1311</v>
      </c>
      <c r="C1" s="13"/>
      <c r="D1" s="19" t="s">
        <v>1312</v>
      </c>
      <c r="E1" s="19" t="s">
        <v>1313</v>
      </c>
      <c r="F1" s="19" t="s">
        <v>1314</v>
      </c>
      <c r="G1" s="19" t="s">
        <v>1315</v>
      </c>
    </row>
    <row r="2">
      <c r="A2" s="24" t="s">
        <v>1089</v>
      </c>
      <c r="B2" s="19" t="s">
        <v>1090</v>
      </c>
      <c r="C2" s="19" t="s">
        <v>1091</v>
      </c>
      <c r="D2" s="19" t="s">
        <v>1316</v>
      </c>
      <c r="E2" s="19" t="s">
        <v>1317</v>
      </c>
      <c r="F2" s="19" t="s">
        <v>1318</v>
      </c>
    </row>
    <row r="3">
      <c r="A3" s="24" t="s">
        <v>1185</v>
      </c>
      <c r="B3" s="19" t="s">
        <v>1186</v>
      </c>
      <c r="C3" s="19" t="s">
        <v>1187</v>
      </c>
      <c r="D3" s="19" t="s">
        <v>1319</v>
      </c>
      <c r="E3" s="19" t="s">
        <v>1317</v>
      </c>
      <c r="F3" s="19" t="s">
        <v>1318</v>
      </c>
    </row>
    <row r="4">
      <c r="A4" s="24" t="s">
        <v>1182</v>
      </c>
      <c r="B4" s="19" t="s">
        <v>1183</v>
      </c>
      <c r="C4" s="19" t="s">
        <v>1184</v>
      </c>
      <c r="D4" s="19" t="s">
        <v>1319</v>
      </c>
      <c r="E4" s="19" t="s">
        <v>1317</v>
      </c>
      <c r="F4" s="19" t="s">
        <v>1318</v>
      </c>
    </row>
    <row r="5">
      <c r="A5" s="21" t="s">
        <v>155</v>
      </c>
      <c r="B5" s="22" t="s">
        <v>156</v>
      </c>
      <c r="C5" s="22" t="s">
        <v>157</v>
      </c>
      <c r="D5" s="19" t="s">
        <v>1319</v>
      </c>
      <c r="E5" s="19" t="s">
        <v>1317</v>
      </c>
      <c r="F5" s="19" t="s">
        <v>1318</v>
      </c>
    </row>
    <row r="6">
      <c r="A6" s="27" t="s">
        <v>137</v>
      </c>
      <c r="B6" s="22" t="s">
        <v>138</v>
      </c>
      <c r="C6" s="22" t="s">
        <v>139</v>
      </c>
      <c r="D6" s="19" t="s">
        <v>1316</v>
      </c>
      <c r="E6" s="19" t="s">
        <v>1317</v>
      </c>
      <c r="F6" s="19" t="s">
        <v>1318</v>
      </c>
    </row>
    <row r="7">
      <c r="A7" s="21" t="s">
        <v>209</v>
      </c>
      <c r="B7" s="22" t="s">
        <v>210</v>
      </c>
      <c r="C7" s="22" t="s">
        <v>211</v>
      </c>
      <c r="D7" s="19" t="s">
        <v>1319</v>
      </c>
      <c r="E7" s="19" t="s">
        <v>1320</v>
      </c>
      <c r="F7" s="28"/>
      <c r="G7" s="19" t="s">
        <v>1321</v>
      </c>
    </row>
    <row r="8">
      <c r="A8" s="21" t="s">
        <v>140</v>
      </c>
      <c r="B8" s="22" t="s">
        <v>141</v>
      </c>
      <c r="C8" s="22" t="s">
        <v>142</v>
      </c>
      <c r="D8" s="19" t="s">
        <v>1322</v>
      </c>
      <c r="E8" s="19" t="s">
        <v>1317</v>
      </c>
      <c r="F8" s="19" t="s">
        <v>1323</v>
      </c>
    </row>
    <row r="9">
      <c r="A9" s="21" t="s">
        <v>32</v>
      </c>
      <c r="B9" s="22" t="s">
        <v>34</v>
      </c>
      <c r="C9" s="22" t="s">
        <v>33</v>
      </c>
      <c r="D9" s="19" t="s">
        <v>1322</v>
      </c>
      <c r="E9" s="19" t="s">
        <v>1320</v>
      </c>
      <c r="F9" s="28"/>
    </row>
    <row r="10">
      <c r="A10" s="21" t="s">
        <v>203</v>
      </c>
      <c r="B10" s="22" t="s">
        <v>204</v>
      </c>
      <c r="C10" s="22" t="s">
        <v>205</v>
      </c>
      <c r="D10" s="19" t="s">
        <v>1322</v>
      </c>
      <c r="E10" s="19" t="s">
        <v>1317</v>
      </c>
      <c r="F10" s="19" t="s">
        <v>1323</v>
      </c>
    </row>
    <row r="11">
      <c r="A11" s="21" t="s">
        <v>167</v>
      </c>
      <c r="B11" s="22" t="s">
        <v>168</v>
      </c>
      <c r="C11" s="22" t="s">
        <v>169</v>
      </c>
      <c r="D11" s="19" t="s">
        <v>1316</v>
      </c>
      <c r="E11" s="19" t="s">
        <v>1317</v>
      </c>
      <c r="F11" s="19" t="s">
        <v>1318</v>
      </c>
    </row>
    <row r="12">
      <c r="A12" s="24" t="s">
        <v>690</v>
      </c>
      <c r="B12" s="19" t="s">
        <v>691</v>
      </c>
      <c r="C12" s="19" t="s">
        <v>692</v>
      </c>
      <c r="D12" s="19" t="s">
        <v>1319</v>
      </c>
      <c r="E12" s="19" t="s">
        <v>1317</v>
      </c>
      <c r="F12" s="19" t="s">
        <v>1323</v>
      </c>
    </row>
    <row r="13">
      <c r="A13" s="21" t="s">
        <v>37</v>
      </c>
      <c r="B13" s="22" t="s">
        <v>39</v>
      </c>
      <c r="C13" s="22" t="s">
        <v>38</v>
      </c>
      <c r="D13" s="19" t="s">
        <v>1322</v>
      </c>
      <c r="E13" s="19" t="s">
        <v>1320</v>
      </c>
      <c r="F13" s="28"/>
    </row>
    <row r="14">
      <c r="A14" s="27" t="s">
        <v>187</v>
      </c>
      <c r="B14" s="22" t="s">
        <v>188</v>
      </c>
      <c r="C14" s="22" t="s">
        <v>189</v>
      </c>
      <c r="D14" s="19" t="s">
        <v>1322</v>
      </c>
      <c r="E14" s="19" t="s">
        <v>1317</v>
      </c>
      <c r="F14" s="19" t="s">
        <v>1323</v>
      </c>
    </row>
    <row r="15">
      <c r="A15" s="24" t="s">
        <v>1086</v>
      </c>
      <c r="B15" s="19" t="s">
        <v>1087</v>
      </c>
      <c r="C15" s="19" t="s">
        <v>1088</v>
      </c>
      <c r="D15" s="19" t="s">
        <v>1319</v>
      </c>
      <c r="E15" s="19" t="s">
        <v>1317</v>
      </c>
      <c r="F15" s="19" t="s">
        <v>1318</v>
      </c>
    </row>
    <row r="16">
      <c r="A16" s="24" t="s">
        <v>958</v>
      </c>
      <c r="B16" s="19" t="s">
        <v>959</v>
      </c>
      <c r="C16" s="19" t="s">
        <v>960</v>
      </c>
      <c r="D16" s="19" t="s">
        <v>1316</v>
      </c>
      <c r="E16" s="19" t="s">
        <v>1317</v>
      </c>
      <c r="F16" s="19" t="s">
        <v>1318</v>
      </c>
    </row>
    <row r="17">
      <c r="A17" s="24" t="s">
        <v>1037</v>
      </c>
      <c r="B17" s="19" t="s">
        <v>1038</v>
      </c>
      <c r="C17" s="19" t="s">
        <v>1039</v>
      </c>
      <c r="D17" s="19" t="s">
        <v>1316</v>
      </c>
      <c r="E17" s="19" t="s">
        <v>1317</v>
      </c>
      <c r="F17" s="19" t="s">
        <v>1318</v>
      </c>
    </row>
    <row r="18">
      <c r="A18" s="24" t="s">
        <v>946</v>
      </c>
      <c r="B18" s="19" t="s">
        <v>947</v>
      </c>
      <c r="C18" s="19" t="s">
        <v>948</v>
      </c>
      <c r="D18" s="19" t="s">
        <v>1322</v>
      </c>
      <c r="E18" s="19" t="s">
        <v>1317</v>
      </c>
      <c r="F18" s="19" t="s">
        <v>1318</v>
      </c>
    </row>
    <row r="19">
      <c r="A19" s="21" t="s">
        <v>182</v>
      </c>
      <c r="B19" s="22" t="s">
        <v>183</v>
      </c>
      <c r="C19" s="22" t="s">
        <v>184</v>
      </c>
      <c r="D19" s="19" t="s">
        <v>1316</v>
      </c>
      <c r="E19" s="19" t="s">
        <v>1317</v>
      </c>
      <c r="F19" s="19" t="s">
        <v>1318</v>
      </c>
    </row>
    <row r="20">
      <c r="A20" s="21" t="s">
        <v>161</v>
      </c>
      <c r="B20" s="22" t="s">
        <v>162</v>
      </c>
      <c r="C20" s="22" t="s">
        <v>163</v>
      </c>
      <c r="D20" s="19" t="s">
        <v>1316</v>
      </c>
      <c r="E20" s="19" t="s">
        <v>1317</v>
      </c>
      <c r="F20" s="19" t="s">
        <v>1323</v>
      </c>
      <c r="G20" s="19"/>
    </row>
    <row r="21">
      <c r="A21" s="21" t="s">
        <v>176</v>
      </c>
      <c r="B21" s="22" t="s">
        <v>177</v>
      </c>
      <c r="C21" s="22" t="s">
        <v>178</v>
      </c>
      <c r="D21" s="19" t="s">
        <v>1319</v>
      </c>
      <c r="E21" s="19" t="s">
        <v>1317</v>
      </c>
      <c r="F21" s="19" t="s">
        <v>1323</v>
      </c>
    </row>
    <row r="22">
      <c r="A22" s="21" t="s">
        <v>143</v>
      </c>
      <c r="B22" s="22" t="s">
        <v>144</v>
      </c>
      <c r="C22" s="23" t="s">
        <v>145</v>
      </c>
      <c r="D22" s="19" t="s">
        <v>1319</v>
      </c>
      <c r="E22" s="19" t="s">
        <v>1317</v>
      </c>
      <c r="F22" s="19" t="s">
        <v>1323</v>
      </c>
    </row>
    <row r="23">
      <c r="A23" s="21" t="s">
        <v>146</v>
      </c>
      <c r="B23" s="22" t="s">
        <v>147</v>
      </c>
      <c r="C23" s="22" t="s">
        <v>148</v>
      </c>
      <c r="D23" s="19" t="s">
        <v>1316</v>
      </c>
      <c r="E23" s="19" t="s">
        <v>1317</v>
      </c>
      <c r="F23" s="19" t="s">
        <v>1323</v>
      </c>
    </row>
    <row r="24">
      <c r="A24" s="21" t="s">
        <v>40</v>
      </c>
      <c r="B24" s="22" t="s">
        <v>42</v>
      </c>
      <c r="C24" s="22" t="s">
        <v>41</v>
      </c>
      <c r="D24" s="19" t="s">
        <v>1316</v>
      </c>
      <c r="E24" s="19" t="s">
        <v>1320</v>
      </c>
      <c r="F24" s="28"/>
    </row>
    <row r="25">
      <c r="A25" s="21" t="s">
        <v>152</v>
      </c>
      <c r="B25" s="22" t="s">
        <v>153</v>
      </c>
      <c r="C25" s="22" t="s">
        <v>154</v>
      </c>
      <c r="D25" s="19" t="s">
        <v>1322</v>
      </c>
      <c r="E25" s="19" t="s">
        <v>1317</v>
      </c>
      <c r="F25" s="19" t="s">
        <v>1323</v>
      </c>
    </row>
    <row r="26">
      <c r="A26" s="21" t="s">
        <v>173</v>
      </c>
      <c r="B26" s="22" t="s">
        <v>174</v>
      </c>
      <c r="C26" s="22" t="s">
        <v>175</v>
      </c>
      <c r="D26" s="19" t="s">
        <v>1322</v>
      </c>
      <c r="E26" s="19" t="s">
        <v>1317</v>
      </c>
      <c r="F26" s="19" t="s">
        <v>1324</v>
      </c>
    </row>
    <row r="27">
      <c r="A27" s="21" t="s">
        <v>158</v>
      </c>
      <c r="B27" s="22" t="s">
        <v>159</v>
      </c>
      <c r="C27" s="22" t="s">
        <v>160</v>
      </c>
      <c r="D27" s="19" t="s">
        <v>1316</v>
      </c>
      <c r="E27" s="19" t="s">
        <v>1317</v>
      </c>
      <c r="F27" s="19" t="s">
        <v>1318</v>
      </c>
    </row>
    <row r="28">
      <c r="A28" s="21" t="s">
        <v>193</v>
      </c>
      <c r="B28" s="22" t="s">
        <v>194</v>
      </c>
      <c r="C28" s="23" t="s">
        <v>195</v>
      </c>
      <c r="D28" s="19" t="s">
        <v>1319</v>
      </c>
      <c r="E28" s="19" t="s">
        <v>1317</v>
      </c>
      <c r="F28" s="19" t="s">
        <v>1323</v>
      </c>
    </row>
    <row r="29">
      <c r="A29" s="21" t="s">
        <v>134</v>
      </c>
      <c r="B29" s="22" t="s">
        <v>135</v>
      </c>
      <c r="C29" s="22" t="s">
        <v>136</v>
      </c>
      <c r="D29" s="19" t="s">
        <v>1316</v>
      </c>
      <c r="E29" s="19" t="s">
        <v>1317</v>
      </c>
      <c r="F29" s="19" t="s">
        <v>1318</v>
      </c>
    </row>
    <row r="30">
      <c r="A30" s="21" t="s">
        <v>131</v>
      </c>
      <c r="B30" s="22" t="s">
        <v>132</v>
      </c>
      <c r="C30" s="22" t="s">
        <v>133</v>
      </c>
      <c r="D30" s="19" t="s">
        <v>1322</v>
      </c>
      <c r="E30" s="19" t="s">
        <v>1317</v>
      </c>
      <c r="F30" s="19" t="s">
        <v>1323</v>
      </c>
    </row>
    <row r="31">
      <c r="A31" s="24" t="s">
        <v>990</v>
      </c>
      <c r="B31" s="19" t="s">
        <v>991</v>
      </c>
      <c r="C31" s="19" t="s">
        <v>992</v>
      </c>
      <c r="D31" s="19" t="s">
        <v>1319</v>
      </c>
      <c r="E31" s="19" t="s">
        <v>1317</v>
      </c>
      <c r="F31" s="19" t="s">
        <v>1318</v>
      </c>
    </row>
    <row r="32">
      <c r="A32" s="21" t="s">
        <v>200</v>
      </c>
      <c r="B32" s="22" t="s">
        <v>201</v>
      </c>
      <c r="C32" s="22" t="s">
        <v>202</v>
      </c>
      <c r="D32" s="19" t="s">
        <v>1319</v>
      </c>
      <c r="E32" s="19" t="s">
        <v>1317</v>
      </c>
      <c r="F32" s="19" t="s">
        <v>1318</v>
      </c>
    </row>
    <row r="33">
      <c r="A33" s="21" t="s">
        <v>164</v>
      </c>
      <c r="B33" s="22" t="s">
        <v>165</v>
      </c>
      <c r="C33" s="22" t="s">
        <v>166</v>
      </c>
      <c r="D33" s="19" t="s">
        <v>1322</v>
      </c>
      <c r="E33" s="19" t="s">
        <v>1317</v>
      </c>
      <c r="F33" s="19" t="s">
        <v>1323</v>
      </c>
    </row>
    <row r="34">
      <c r="A34" s="21" t="s">
        <v>149</v>
      </c>
      <c r="B34" s="22" t="s">
        <v>150</v>
      </c>
      <c r="C34" s="22" t="s">
        <v>151</v>
      </c>
      <c r="D34" s="19" t="s">
        <v>1316</v>
      </c>
      <c r="E34" s="19" t="s">
        <v>1317</v>
      </c>
      <c r="F34" s="19" t="s">
        <v>1323</v>
      </c>
    </row>
    <row r="35">
      <c r="A35" s="21" t="s">
        <v>206</v>
      </c>
      <c r="B35" s="22" t="s">
        <v>207</v>
      </c>
      <c r="C35" s="22" t="s">
        <v>208</v>
      </c>
      <c r="D35" s="19" t="s">
        <v>1322</v>
      </c>
      <c r="E35" s="19" t="s">
        <v>1317</v>
      </c>
      <c r="F35" s="19" t="s">
        <v>1323</v>
      </c>
    </row>
    <row r="36">
      <c r="A36" s="21" t="s">
        <v>128</v>
      </c>
      <c r="B36" s="22" t="s">
        <v>129</v>
      </c>
      <c r="C36" s="22" t="s">
        <v>130</v>
      </c>
      <c r="D36" s="19" t="s">
        <v>1319</v>
      </c>
      <c r="E36" s="19" t="s">
        <v>1317</v>
      </c>
      <c r="F36" s="19" t="s">
        <v>1324</v>
      </c>
    </row>
    <row r="37">
      <c r="A37" s="24" t="s">
        <v>234</v>
      </c>
      <c r="B37" s="19" t="s">
        <v>45</v>
      </c>
      <c r="C37" s="19" t="s">
        <v>44</v>
      </c>
      <c r="D37" s="19" t="s">
        <v>1316</v>
      </c>
      <c r="E37" s="19" t="s">
        <v>1317</v>
      </c>
      <c r="F37" s="19" t="s">
        <v>1323</v>
      </c>
      <c r="G37" s="19"/>
    </row>
    <row r="38">
      <c r="A38" s="21" t="s">
        <v>43</v>
      </c>
      <c r="B38" s="22" t="s">
        <v>45</v>
      </c>
      <c r="C38" s="22" t="s">
        <v>44</v>
      </c>
      <c r="D38" s="19" t="s">
        <v>1319</v>
      </c>
      <c r="E38" s="19" t="s">
        <v>1320</v>
      </c>
      <c r="F38" s="19"/>
    </row>
    <row r="39">
      <c r="A39" s="21" t="s">
        <v>212</v>
      </c>
      <c r="B39" s="22" t="s">
        <v>213</v>
      </c>
      <c r="C39" s="22" t="s">
        <v>214</v>
      </c>
      <c r="D39" s="19" t="s">
        <v>1322</v>
      </c>
      <c r="E39" s="19" t="s">
        <v>1317</v>
      </c>
      <c r="F39" s="19" t="s">
        <v>1323</v>
      </c>
    </row>
    <row r="40">
      <c r="A40" s="21" t="s">
        <v>170</v>
      </c>
      <c r="B40" s="22" t="s">
        <v>171</v>
      </c>
      <c r="C40" s="22" t="s">
        <v>172</v>
      </c>
      <c r="D40" s="19" t="s">
        <v>1319</v>
      </c>
      <c r="E40" s="19" t="s">
        <v>1317</v>
      </c>
      <c r="F40" s="19" t="s">
        <v>1318</v>
      </c>
    </row>
    <row r="41">
      <c r="A41" s="24" t="s">
        <v>952</v>
      </c>
      <c r="B41" s="19" t="s">
        <v>953</v>
      </c>
      <c r="C41" s="19" t="s">
        <v>954</v>
      </c>
      <c r="D41" s="19" t="s">
        <v>1319</v>
      </c>
      <c r="E41" s="19" t="s">
        <v>1317</v>
      </c>
      <c r="F41" s="19" t="s">
        <v>1318</v>
      </c>
    </row>
    <row r="42">
      <c r="A42" s="21" t="s">
        <v>179</v>
      </c>
      <c r="B42" s="22" t="s">
        <v>180</v>
      </c>
      <c r="C42" s="22" t="s">
        <v>181</v>
      </c>
      <c r="D42" s="19" t="s">
        <v>1319</v>
      </c>
      <c r="E42" s="19" t="s">
        <v>1317</v>
      </c>
      <c r="F42" s="19" t="s">
        <v>1323</v>
      </c>
      <c r="G42" s="19" t="s">
        <v>1325</v>
      </c>
    </row>
    <row r="43">
      <c r="A43" s="21" t="s">
        <v>190</v>
      </c>
      <c r="B43" s="22" t="s">
        <v>191</v>
      </c>
      <c r="C43" s="22" t="s">
        <v>192</v>
      </c>
      <c r="D43" s="19" t="s">
        <v>1319</v>
      </c>
      <c r="E43" s="19" t="s">
        <v>1317</v>
      </c>
      <c r="F43" s="19" t="s">
        <v>1323</v>
      </c>
    </row>
    <row r="44">
      <c r="A44" s="24" t="s">
        <v>702</v>
      </c>
      <c r="B44" s="19" t="s">
        <v>703</v>
      </c>
      <c r="C44" s="19" t="s">
        <v>704</v>
      </c>
      <c r="D44" s="19" t="s">
        <v>1319</v>
      </c>
      <c r="E44" s="19" t="s">
        <v>1317</v>
      </c>
      <c r="F44" s="19" t="s">
        <v>1326</v>
      </c>
    </row>
    <row r="45">
      <c r="A45" s="24" t="s">
        <v>1302</v>
      </c>
      <c r="B45" s="19" t="s">
        <v>1303</v>
      </c>
      <c r="C45" s="19" t="s">
        <v>1304</v>
      </c>
      <c r="D45" s="19" t="s">
        <v>1322</v>
      </c>
      <c r="E45" s="19" t="s">
        <v>1317</v>
      </c>
      <c r="F45" s="19" t="s">
        <v>1326</v>
      </c>
    </row>
    <row r="46">
      <c r="A46" s="24" t="s">
        <v>750</v>
      </c>
      <c r="B46" s="19" t="s">
        <v>751</v>
      </c>
      <c r="C46" s="19" t="s">
        <v>752</v>
      </c>
      <c r="D46" s="19" t="s">
        <v>1322</v>
      </c>
      <c r="E46" s="19" t="s">
        <v>1317</v>
      </c>
      <c r="F46" s="19" t="s">
        <v>1318</v>
      </c>
    </row>
    <row r="47">
      <c r="A47" s="24" t="s">
        <v>736</v>
      </c>
      <c r="B47" s="19" t="s">
        <v>737</v>
      </c>
      <c r="C47" s="19" t="s">
        <v>738</v>
      </c>
      <c r="D47" s="19" t="s">
        <v>1319</v>
      </c>
      <c r="E47" s="19" t="s">
        <v>1317</v>
      </c>
      <c r="F47" s="19" t="s">
        <v>1318</v>
      </c>
    </row>
    <row r="48">
      <c r="A48" s="24" t="s">
        <v>725</v>
      </c>
      <c r="B48" s="19" t="s">
        <v>726</v>
      </c>
      <c r="C48" s="19" t="s">
        <v>727</v>
      </c>
      <c r="D48" s="19" t="s">
        <v>1316</v>
      </c>
      <c r="E48" s="19" t="s">
        <v>1317</v>
      </c>
      <c r="F48" s="19" t="s">
        <v>1326</v>
      </c>
      <c r="G48" s="19"/>
    </row>
    <row r="49">
      <c r="A49" s="24" t="s">
        <v>675</v>
      </c>
      <c r="B49" s="19" t="s">
        <v>676</v>
      </c>
      <c r="C49" s="19" t="s">
        <v>677</v>
      </c>
      <c r="D49" s="19" t="s">
        <v>1319</v>
      </c>
      <c r="E49" s="19" t="s">
        <v>1317</v>
      </c>
      <c r="F49" s="19" t="s">
        <v>1318</v>
      </c>
    </row>
    <row r="50">
      <c r="A50" s="24" t="s">
        <v>1281</v>
      </c>
      <c r="B50" s="19" t="s">
        <v>1282</v>
      </c>
      <c r="C50" s="19" t="s">
        <v>1283</v>
      </c>
      <c r="D50" s="19" t="s">
        <v>1316</v>
      </c>
      <c r="E50" s="19" t="s">
        <v>1317</v>
      </c>
      <c r="F50" s="19" t="s">
        <v>1318</v>
      </c>
    </row>
    <row r="51">
      <c r="A51" s="24" t="s">
        <v>1287</v>
      </c>
      <c r="B51" s="19" t="s">
        <v>1288</v>
      </c>
      <c r="C51" s="19" t="s">
        <v>1289</v>
      </c>
      <c r="D51" s="19" t="s">
        <v>1316</v>
      </c>
      <c r="E51" s="19" t="s">
        <v>1317</v>
      </c>
      <c r="F51" s="19" t="s">
        <v>1318</v>
      </c>
      <c r="G51" s="19"/>
    </row>
    <row r="52">
      <c r="A52" s="24" t="s">
        <v>719</v>
      </c>
      <c r="B52" s="19" t="s">
        <v>720</v>
      </c>
      <c r="C52" s="19" t="s">
        <v>721</v>
      </c>
      <c r="D52" s="19" t="s">
        <v>1316</v>
      </c>
      <c r="E52" s="19" t="s">
        <v>1317</v>
      </c>
      <c r="F52" s="19" t="s">
        <v>1318</v>
      </c>
      <c r="G52" s="19"/>
    </row>
    <row r="53">
      <c r="A53" s="24" t="s">
        <v>678</v>
      </c>
      <c r="B53" s="19" t="s">
        <v>679</v>
      </c>
      <c r="C53" s="19" t="s">
        <v>680</v>
      </c>
      <c r="D53" s="19" t="s">
        <v>1319</v>
      </c>
      <c r="E53" s="19" t="s">
        <v>1317</v>
      </c>
      <c r="F53" s="19" t="s">
        <v>1318</v>
      </c>
    </row>
    <row r="54">
      <c r="A54" s="24" t="s">
        <v>1213</v>
      </c>
      <c r="B54" s="19" t="s">
        <v>1214</v>
      </c>
      <c r="C54" s="19" t="s">
        <v>1215</v>
      </c>
      <c r="D54" s="19" t="s">
        <v>1316</v>
      </c>
      <c r="E54" s="19" t="s">
        <v>1317</v>
      </c>
      <c r="F54" s="19" t="s">
        <v>1318</v>
      </c>
    </row>
    <row r="55">
      <c r="A55" s="24" t="s">
        <v>1208</v>
      </c>
      <c r="B55" s="19" t="s">
        <v>1209</v>
      </c>
      <c r="C55" s="19" t="s">
        <v>1210</v>
      </c>
      <c r="D55" s="19" t="s">
        <v>1322</v>
      </c>
      <c r="E55" s="19" t="s">
        <v>1317</v>
      </c>
      <c r="F55" s="19" t="s">
        <v>1326</v>
      </c>
    </row>
    <row r="56">
      <c r="A56" s="24" t="s">
        <v>1030</v>
      </c>
      <c r="B56" s="19" t="s">
        <v>1031</v>
      </c>
      <c r="C56" s="19" t="s">
        <v>1032</v>
      </c>
      <c r="D56" s="19" t="s">
        <v>1316</v>
      </c>
      <c r="E56" s="19" t="s">
        <v>1317</v>
      </c>
      <c r="F56" s="19" t="s">
        <v>1326</v>
      </c>
      <c r="G56" s="19" t="s">
        <v>1327</v>
      </c>
    </row>
    <row r="57">
      <c r="A57" s="24" t="s">
        <v>1064</v>
      </c>
      <c r="B57" s="19" t="s">
        <v>1065</v>
      </c>
      <c r="C57" s="19" t="s">
        <v>1066</v>
      </c>
      <c r="D57" s="19" t="s">
        <v>1322</v>
      </c>
      <c r="E57" s="19" t="s">
        <v>1317</v>
      </c>
      <c r="F57" s="19" t="s">
        <v>1318</v>
      </c>
    </row>
    <row r="58">
      <c r="A58" s="24" t="s">
        <v>1308</v>
      </c>
      <c r="B58" s="19" t="s">
        <v>1309</v>
      </c>
      <c r="C58" s="19" t="s">
        <v>1310</v>
      </c>
      <c r="D58" s="19" t="s">
        <v>1322</v>
      </c>
      <c r="E58" s="19" t="s">
        <v>1317</v>
      </c>
      <c r="F58" s="19" t="s">
        <v>1318</v>
      </c>
    </row>
    <row r="59">
      <c r="A59" s="29" t="s">
        <v>46</v>
      </c>
      <c r="B59" s="19" t="s">
        <v>48</v>
      </c>
      <c r="C59" s="19" t="s">
        <v>47</v>
      </c>
      <c r="D59" s="19" t="s">
        <v>1322</v>
      </c>
      <c r="E59" s="19" t="s">
        <v>1320</v>
      </c>
      <c r="F59" s="19"/>
    </row>
    <row r="60">
      <c r="A60" s="24" t="s">
        <v>1202</v>
      </c>
      <c r="B60" s="19" t="s">
        <v>1203</v>
      </c>
      <c r="C60" s="19" t="s">
        <v>1204</v>
      </c>
      <c r="D60" s="19" t="s">
        <v>1322</v>
      </c>
      <c r="E60" s="19" t="s">
        <v>1317</v>
      </c>
      <c r="F60" s="19" t="s">
        <v>1326</v>
      </c>
    </row>
    <row r="61">
      <c r="A61" s="24" t="s">
        <v>1216</v>
      </c>
      <c r="B61" s="19" t="s">
        <v>1217</v>
      </c>
      <c r="C61" s="19" t="s">
        <v>1218</v>
      </c>
      <c r="D61" s="19" t="s">
        <v>1322</v>
      </c>
      <c r="E61" s="19" t="s">
        <v>1317</v>
      </c>
      <c r="F61" s="19" t="s">
        <v>1318</v>
      </c>
    </row>
    <row r="62">
      <c r="A62" s="24" t="s">
        <v>714</v>
      </c>
      <c r="B62" s="19" t="s">
        <v>715</v>
      </c>
      <c r="C62" s="19" t="s">
        <v>707</v>
      </c>
      <c r="D62" s="19" t="s">
        <v>1316</v>
      </c>
      <c r="E62" s="19" t="s">
        <v>1317</v>
      </c>
      <c r="F62" s="19" t="s">
        <v>1318</v>
      </c>
    </row>
    <row r="63">
      <c r="A63" s="24" t="s">
        <v>1067</v>
      </c>
      <c r="B63" s="19" t="s">
        <v>1068</v>
      </c>
      <c r="C63" s="19" t="s">
        <v>1069</v>
      </c>
      <c r="D63" s="19" t="s">
        <v>1316</v>
      </c>
      <c r="E63" s="19" t="s">
        <v>1317</v>
      </c>
      <c r="F63" s="19" t="s">
        <v>1318</v>
      </c>
    </row>
    <row r="64">
      <c r="A64" s="24" t="s">
        <v>1193</v>
      </c>
      <c r="B64" s="19" t="s">
        <v>1194</v>
      </c>
      <c r="C64" s="19" t="s">
        <v>1195</v>
      </c>
      <c r="D64" s="19" t="s">
        <v>1322</v>
      </c>
      <c r="E64" s="19" t="s">
        <v>1317</v>
      </c>
      <c r="F64" s="19" t="s">
        <v>1326</v>
      </c>
    </row>
    <row r="65">
      <c r="A65" s="24" t="s">
        <v>1147</v>
      </c>
      <c r="B65" s="19" t="s">
        <v>1148</v>
      </c>
      <c r="C65" s="19" t="s">
        <v>1149</v>
      </c>
      <c r="D65" s="19" t="s">
        <v>1322</v>
      </c>
      <c r="E65" s="19" t="s">
        <v>1317</v>
      </c>
      <c r="F65" s="19" t="s">
        <v>1326</v>
      </c>
    </row>
    <row r="66">
      <c r="A66" s="24" t="s">
        <v>745</v>
      </c>
      <c r="B66" s="19" t="s">
        <v>746</v>
      </c>
      <c r="C66" s="19" t="s">
        <v>747</v>
      </c>
      <c r="D66" s="19" t="s">
        <v>1316</v>
      </c>
      <c r="E66" s="19" t="s">
        <v>1317</v>
      </c>
      <c r="F66" s="19" t="s">
        <v>1318</v>
      </c>
      <c r="G66" s="19"/>
    </row>
    <row r="67">
      <c r="A67" s="24" t="s">
        <v>1275</v>
      </c>
      <c r="B67" s="19" t="s">
        <v>1276</v>
      </c>
      <c r="C67" s="19" t="s">
        <v>1277</v>
      </c>
      <c r="D67" s="19" t="s">
        <v>1319</v>
      </c>
      <c r="E67" s="19" t="s">
        <v>1317</v>
      </c>
      <c r="F67" s="19" t="s">
        <v>1326</v>
      </c>
    </row>
    <row r="68">
      <c r="A68" s="24" t="s">
        <v>1144</v>
      </c>
      <c r="B68" s="19" t="s">
        <v>1145</v>
      </c>
      <c r="C68" s="19" t="s">
        <v>1146</v>
      </c>
      <c r="D68" s="19" t="s">
        <v>1322</v>
      </c>
      <c r="E68" s="19" t="s">
        <v>1317</v>
      </c>
      <c r="F68" s="19" t="s">
        <v>1318</v>
      </c>
    </row>
    <row r="69">
      <c r="A69" s="24" t="s">
        <v>711</v>
      </c>
      <c r="B69" s="19" t="s">
        <v>712</v>
      </c>
      <c r="C69" s="19" t="s">
        <v>713</v>
      </c>
      <c r="D69" s="19" t="s">
        <v>1319</v>
      </c>
      <c r="E69" s="19" t="s">
        <v>1317</v>
      </c>
      <c r="F69" s="19" t="s">
        <v>1318</v>
      </c>
    </row>
    <row r="70">
      <c r="A70" s="24" t="s">
        <v>1131</v>
      </c>
      <c r="B70" s="19" t="s">
        <v>1132</v>
      </c>
      <c r="C70" s="19" t="s">
        <v>1133</v>
      </c>
      <c r="D70" s="19" t="s">
        <v>1322</v>
      </c>
      <c r="E70" s="19" t="s">
        <v>1317</v>
      </c>
      <c r="F70" s="19" t="s">
        <v>1318</v>
      </c>
    </row>
    <row r="71">
      <c r="A71" s="24" t="s">
        <v>1188</v>
      </c>
      <c r="B71" s="19" t="s">
        <v>1189</v>
      </c>
      <c r="C71" s="19" t="s">
        <v>1190</v>
      </c>
      <c r="D71" s="19" t="s">
        <v>1319</v>
      </c>
      <c r="E71" s="19" t="s">
        <v>1317</v>
      </c>
      <c r="F71" s="19" t="s">
        <v>1318</v>
      </c>
    </row>
    <row r="72">
      <c r="A72" s="24" t="s">
        <v>1199</v>
      </c>
      <c r="B72" s="19" t="s">
        <v>1200</v>
      </c>
      <c r="C72" s="19" t="s">
        <v>1201</v>
      </c>
      <c r="D72" s="19" t="s">
        <v>1316</v>
      </c>
      <c r="E72" s="19" t="s">
        <v>1317</v>
      </c>
      <c r="F72" s="19" t="s">
        <v>1318</v>
      </c>
    </row>
    <row r="73">
      <c r="A73" s="24" t="s">
        <v>1179</v>
      </c>
      <c r="B73" s="19" t="s">
        <v>1180</v>
      </c>
      <c r="C73" s="19" t="s">
        <v>1181</v>
      </c>
      <c r="D73" s="19" t="s">
        <v>1322</v>
      </c>
      <c r="E73" s="19" t="s">
        <v>1317</v>
      </c>
      <c r="F73" s="19" t="s">
        <v>1326</v>
      </c>
    </row>
    <row r="74">
      <c r="A74" s="24" t="s">
        <v>1173</v>
      </c>
      <c r="B74" s="19" t="s">
        <v>1174</v>
      </c>
      <c r="C74" s="19" t="s">
        <v>1175</v>
      </c>
      <c r="D74" s="19" t="s">
        <v>1322</v>
      </c>
      <c r="E74" s="19" t="s">
        <v>1317</v>
      </c>
      <c r="F74" s="19" t="s">
        <v>1318</v>
      </c>
    </row>
    <row r="75">
      <c r="A75" s="24" t="s">
        <v>1196</v>
      </c>
      <c r="B75" s="19" t="s">
        <v>1197</v>
      </c>
      <c r="C75" s="19" t="s">
        <v>1198</v>
      </c>
      <c r="D75" s="19" t="s">
        <v>1322</v>
      </c>
      <c r="E75" s="19" t="s">
        <v>1317</v>
      </c>
      <c r="F75" s="19" t="s">
        <v>1318</v>
      </c>
    </row>
    <row r="76">
      <c r="A76" s="24" t="s">
        <v>1107</v>
      </c>
      <c r="B76" s="19" t="s">
        <v>1108</v>
      </c>
      <c r="C76" s="19" t="s">
        <v>1109</v>
      </c>
      <c r="D76" s="19" t="s">
        <v>1319</v>
      </c>
      <c r="E76" s="19" t="s">
        <v>1317</v>
      </c>
      <c r="F76" s="19" t="s">
        <v>1318</v>
      </c>
    </row>
    <row r="77">
      <c r="A77" s="24" t="s">
        <v>1122</v>
      </c>
      <c r="B77" s="19" t="s">
        <v>1123</v>
      </c>
      <c r="C77" s="19" t="s">
        <v>1124</v>
      </c>
      <c r="D77" s="19" t="s">
        <v>1319</v>
      </c>
      <c r="E77" s="19" t="s">
        <v>1317</v>
      </c>
      <c r="F77" s="19" t="s">
        <v>1318</v>
      </c>
    </row>
    <row r="78">
      <c r="A78" s="24" t="s">
        <v>1092</v>
      </c>
      <c r="B78" s="19" t="s">
        <v>1093</v>
      </c>
      <c r="C78" s="19" t="s">
        <v>1094</v>
      </c>
      <c r="D78" s="19" t="s">
        <v>1316</v>
      </c>
      <c r="E78" s="19" t="s">
        <v>1317</v>
      </c>
      <c r="F78" s="19" t="s">
        <v>1318</v>
      </c>
    </row>
    <row r="79">
      <c r="A79" s="24" t="s">
        <v>1191</v>
      </c>
      <c r="B79" s="19" t="s">
        <v>1192</v>
      </c>
      <c r="C79" s="19" t="s">
        <v>1011</v>
      </c>
      <c r="D79" s="19" t="s">
        <v>1322</v>
      </c>
      <c r="E79" s="19" t="s">
        <v>1317</v>
      </c>
      <c r="F79" s="19" t="s">
        <v>1318</v>
      </c>
    </row>
    <row r="80">
      <c r="A80" s="24" t="s">
        <v>1070</v>
      </c>
      <c r="B80" s="19" t="s">
        <v>1071</v>
      </c>
      <c r="C80" s="19" t="s">
        <v>1072</v>
      </c>
      <c r="D80" s="19" t="s">
        <v>1322</v>
      </c>
      <c r="E80" s="19" t="s">
        <v>1317</v>
      </c>
      <c r="F80" s="19" t="s">
        <v>1318</v>
      </c>
    </row>
    <row r="81">
      <c r="A81" s="24" t="s">
        <v>1119</v>
      </c>
      <c r="B81" s="19" t="s">
        <v>1120</v>
      </c>
      <c r="C81" s="19" t="s">
        <v>1121</v>
      </c>
      <c r="D81" s="19" t="s">
        <v>1319</v>
      </c>
      <c r="E81" s="19" t="s">
        <v>1317</v>
      </c>
      <c r="F81" s="19" t="s">
        <v>1318</v>
      </c>
    </row>
    <row r="82">
      <c r="A82" s="24" t="s">
        <v>1170</v>
      </c>
      <c r="B82" s="19" t="s">
        <v>1171</v>
      </c>
      <c r="C82" s="19" t="s">
        <v>1172</v>
      </c>
      <c r="D82" s="19" t="s">
        <v>1322</v>
      </c>
      <c r="E82" s="19" t="s">
        <v>1317</v>
      </c>
      <c r="F82" s="19" t="s">
        <v>1318</v>
      </c>
    </row>
    <row r="83">
      <c r="A83" s="24" t="s">
        <v>708</v>
      </c>
      <c r="B83" s="19" t="s">
        <v>709</v>
      </c>
      <c r="C83" s="19" t="s">
        <v>710</v>
      </c>
      <c r="D83" s="19" t="s">
        <v>1322</v>
      </c>
      <c r="E83" s="19" t="s">
        <v>1317</v>
      </c>
      <c r="F83" s="19" t="s">
        <v>1323</v>
      </c>
    </row>
    <row r="84">
      <c r="A84" s="24" t="s">
        <v>716</v>
      </c>
      <c r="B84" s="19" t="s">
        <v>717</v>
      </c>
      <c r="C84" s="19" t="s">
        <v>718</v>
      </c>
      <c r="D84" s="19" t="s">
        <v>1319</v>
      </c>
      <c r="E84" s="19" t="s">
        <v>1317</v>
      </c>
      <c r="F84" s="19" t="s">
        <v>1318</v>
      </c>
    </row>
    <row r="85">
      <c r="A85" s="24" t="s">
        <v>705</v>
      </c>
      <c r="B85" s="19" t="s">
        <v>706</v>
      </c>
      <c r="C85" s="19" t="s">
        <v>707</v>
      </c>
      <c r="D85" s="19" t="s">
        <v>1322</v>
      </c>
      <c r="E85" s="19" t="s">
        <v>1317</v>
      </c>
      <c r="F85" s="19" t="s">
        <v>1318</v>
      </c>
    </row>
    <row r="86">
      <c r="A86" s="24" t="s">
        <v>1243</v>
      </c>
      <c r="B86" s="19" t="s">
        <v>1244</v>
      </c>
      <c r="C86" s="19" t="s">
        <v>1245</v>
      </c>
      <c r="D86" s="19" t="s">
        <v>1319</v>
      </c>
      <c r="E86" s="19" t="s">
        <v>1317</v>
      </c>
      <c r="F86" s="19" t="s">
        <v>1318</v>
      </c>
    </row>
    <row r="87">
      <c r="A87" s="24" t="s">
        <v>699</v>
      </c>
      <c r="B87" s="19" t="s">
        <v>700</v>
      </c>
      <c r="C87" s="19" t="s">
        <v>701</v>
      </c>
      <c r="D87" s="19" t="s">
        <v>1316</v>
      </c>
      <c r="E87" s="19" t="s">
        <v>1317</v>
      </c>
      <c r="F87" s="19" t="s">
        <v>1318</v>
      </c>
    </row>
    <row r="88">
      <c r="A88" s="24" t="s">
        <v>1006</v>
      </c>
      <c r="B88" s="19" t="s">
        <v>1007</v>
      </c>
      <c r="C88" s="19" t="s">
        <v>1008</v>
      </c>
      <c r="D88" s="19" t="s">
        <v>1322</v>
      </c>
      <c r="E88" s="19" t="s">
        <v>1317</v>
      </c>
      <c r="F88" s="19" t="s">
        <v>1318</v>
      </c>
    </row>
    <row r="89">
      <c r="A89" s="24" t="s">
        <v>1176</v>
      </c>
      <c r="B89" s="19" t="s">
        <v>1177</v>
      </c>
      <c r="C89" s="19" t="s">
        <v>1178</v>
      </c>
      <c r="D89" s="19" t="s">
        <v>1322</v>
      </c>
      <c r="E89" s="19" t="s">
        <v>1317</v>
      </c>
      <c r="F89" s="19" t="s">
        <v>1326</v>
      </c>
    </row>
    <row r="90">
      <c r="A90" s="24" t="s">
        <v>1080</v>
      </c>
      <c r="B90" s="19" t="s">
        <v>1081</v>
      </c>
      <c r="C90" s="19" t="s">
        <v>1082</v>
      </c>
      <c r="D90" s="19" t="s">
        <v>1322</v>
      </c>
      <c r="E90" s="19" t="s">
        <v>1317</v>
      </c>
      <c r="F90" s="19" t="s">
        <v>1318</v>
      </c>
    </row>
    <row r="91">
      <c r="A91" s="24" t="s">
        <v>1264</v>
      </c>
      <c r="B91" s="19" t="s">
        <v>1265</v>
      </c>
      <c r="C91" s="19" t="s">
        <v>1266</v>
      </c>
      <c r="D91" s="19" t="s">
        <v>1319</v>
      </c>
      <c r="E91" s="19" t="s">
        <v>1317</v>
      </c>
      <c r="F91" s="19" t="s">
        <v>1318</v>
      </c>
    </row>
    <row r="92">
      <c r="A92" s="24" t="s">
        <v>1095</v>
      </c>
      <c r="B92" s="19" t="s">
        <v>1096</v>
      </c>
      <c r="C92" s="19" t="s">
        <v>1097</v>
      </c>
      <c r="D92" s="19" t="s">
        <v>1316</v>
      </c>
      <c r="E92" s="19" t="s">
        <v>1317</v>
      </c>
      <c r="F92" s="19" t="s">
        <v>1318</v>
      </c>
    </row>
    <row r="93">
      <c r="A93" s="24" t="s">
        <v>1162</v>
      </c>
      <c r="B93" s="19" t="s">
        <v>1163</v>
      </c>
      <c r="C93" s="19" t="s">
        <v>1164</v>
      </c>
      <c r="D93" s="19" t="s">
        <v>1322</v>
      </c>
      <c r="E93" s="19" t="s">
        <v>1317</v>
      </c>
      <c r="F93" s="19" t="s">
        <v>1318</v>
      </c>
    </row>
    <row r="94">
      <c r="A94" s="24" t="s">
        <v>1116</v>
      </c>
      <c r="B94" s="19" t="s">
        <v>1117</v>
      </c>
      <c r="C94" s="19" t="s">
        <v>1118</v>
      </c>
      <c r="D94" s="19" t="s">
        <v>1316</v>
      </c>
      <c r="E94" s="19" t="s">
        <v>1317</v>
      </c>
      <c r="F94" s="19" t="s">
        <v>1318</v>
      </c>
    </row>
    <row r="95">
      <c r="A95" s="24" t="s">
        <v>999</v>
      </c>
      <c r="B95" s="19" t="s">
        <v>1000</v>
      </c>
      <c r="C95" s="19" t="s">
        <v>1001</v>
      </c>
      <c r="D95" s="19" t="s">
        <v>1316</v>
      </c>
      <c r="E95" s="19" t="s">
        <v>1317</v>
      </c>
      <c r="F95" s="19" t="s">
        <v>1318</v>
      </c>
    </row>
    <row r="96">
      <c r="A96" s="24" t="s">
        <v>1033</v>
      </c>
      <c r="B96" s="19" t="s">
        <v>1034</v>
      </c>
      <c r="C96" s="19" t="s">
        <v>1035</v>
      </c>
      <c r="D96" s="19" t="s">
        <v>1316</v>
      </c>
      <c r="E96" s="19" t="s">
        <v>1317</v>
      </c>
      <c r="F96" s="19" t="s">
        <v>1318</v>
      </c>
    </row>
    <row r="97">
      <c r="A97" s="24" t="s">
        <v>1012</v>
      </c>
      <c r="B97" s="19" t="s">
        <v>1013</v>
      </c>
      <c r="C97" s="19" t="s">
        <v>1014</v>
      </c>
      <c r="D97" s="19" t="s">
        <v>1316</v>
      </c>
      <c r="E97" s="19" t="s">
        <v>1317</v>
      </c>
      <c r="F97" s="19" t="s">
        <v>1318</v>
      </c>
    </row>
    <row r="98">
      <c r="A98" s="24" t="s">
        <v>1159</v>
      </c>
      <c r="B98" s="19" t="s">
        <v>1160</v>
      </c>
      <c r="C98" s="19" t="s">
        <v>1161</v>
      </c>
      <c r="D98" s="19" t="s">
        <v>1319</v>
      </c>
      <c r="E98" s="19" t="s">
        <v>1317</v>
      </c>
      <c r="F98" s="19" t="s">
        <v>1318</v>
      </c>
    </row>
    <row r="99">
      <c r="A99" s="24" t="s">
        <v>1156</v>
      </c>
      <c r="B99" s="19" t="s">
        <v>1157</v>
      </c>
      <c r="C99" s="19" t="s">
        <v>1158</v>
      </c>
      <c r="D99" s="19" t="s">
        <v>1322</v>
      </c>
      <c r="E99" s="19" t="s">
        <v>1317</v>
      </c>
      <c r="F99" s="19" t="s">
        <v>1318</v>
      </c>
    </row>
    <row r="100">
      <c r="A100" s="24" t="s">
        <v>696</v>
      </c>
      <c r="B100" s="19" t="s">
        <v>697</v>
      </c>
      <c r="C100" s="19" t="s">
        <v>698</v>
      </c>
      <c r="D100" s="19" t="s">
        <v>1322</v>
      </c>
      <c r="E100" s="19" t="s">
        <v>1317</v>
      </c>
      <c r="F100" s="19" t="s">
        <v>1318</v>
      </c>
    </row>
    <row r="101">
      <c r="A101" s="24" t="s">
        <v>1138</v>
      </c>
      <c r="B101" s="19" t="s">
        <v>1139</v>
      </c>
      <c r="C101" s="19" t="s">
        <v>1140</v>
      </c>
      <c r="D101" s="19" t="s">
        <v>1316</v>
      </c>
      <c r="E101" s="19" t="s">
        <v>1317</v>
      </c>
      <c r="F101" s="19" t="s">
        <v>1318</v>
      </c>
    </row>
    <row r="102">
      <c r="A102" s="24" t="s">
        <v>1074</v>
      </c>
      <c r="B102" s="19" t="s">
        <v>1075</v>
      </c>
      <c r="C102" s="19" t="s">
        <v>1076</v>
      </c>
      <c r="D102" s="19" t="s">
        <v>1322</v>
      </c>
      <c r="E102" s="19" t="s">
        <v>1317</v>
      </c>
      <c r="F102" s="19" t="s">
        <v>1318</v>
      </c>
    </row>
    <row r="103">
      <c r="A103" s="24" t="s">
        <v>1150</v>
      </c>
      <c r="B103" s="19" t="s">
        <v>1151</v>
      </c>
      <c r="C103" s="19" t="s">
        <v>1152</v>
      </c>
      <c r="D103" s="19" t="s">
        <v>1322</v>
      </c>
      <c r="E103" s="19" t="s">
        <v>1317</v>
      </c>
      <c r="F103" s="19" t="s">
        <v>1318</v>
      </c>
    </row>
    <row r="104">
      <c r="A104" s="24" t="s">
        <v>1083</v>
      </c>
      <c r="B104" s="19" t="s">
        <v>1084</v>
      </c>
      <c r="C104" s="19" t="s">
        <v>1085</v>
      </c>
      <c r="D104" s="19" t="s">
        <v>1319</v>
      </c>
      <c r="E104" s="19" t="s">
        <v>1317</v>
      </c>
      <c r="F104" s="19" t="s">
        <v>1318</v>
      </c>
    </row>
    <row r="105">
      <c r="A105" s="24" t="s">
        <v>1261</v>
      </c>
      <c r="B105" s="19" t="s">
        <v>1262</v>
      </c>
      <c r="C105" s="19" t="s">
        <v>1263</v>
      </c>
      <c r="D105" s="19" t="s">
        <v>1322</v>
      </c>
      <c r="E105" s="19" t="s">
        <v>1317</v>
      </c>
      <c r="F105" s="19" t="s">
        <v>1318</v>
      </c>
    </row>
    <row r="106">
      <c r="A106" s="24" t="s">
        <v>1077</v>
      </c>
      <c r="B106" s="19" t="s">
        <v>1078</v>
      </c>
      <c r="C106" s="19" t="s">
        <v>1079</v>
      </c>
      <c r="D106" s="19" t="s">
        <v>1322</v>
      </c>
      <c r="E106" s="19" t="s">
        <v>1317</v>
      </c>
      <c r="F106" s="19" t="s">
        <v>1318</v>
      </c>
    </row>
    <row r="107">
      <c r="A107" s="24" t="s">
        <v>1153</v>
      </c>
      <c r="B107" s="19" t="s">
        <v>1154</v>
      </c>
      <c r="C107" s="19" t="s">
        <v>1155</v>
      </c>
      <c r="D107" s="19" t="s">
        <v>1322</v>
      </c>
      <c r="E107" s="19" t="s">
        <v>1317</v>
      </c>
      <c r="F107" s="19" t="s">
        <v>1318</v>
      </c>
    </row>
    <row r="108">
      <c r="A108" s="24" t="s">
        <v>1128</v>
      </c>
      <c r="B108" s="19" t="s">
        <v>1129</v>
      </c>
      <c r="C108" s="19" t="s">
        <v>1130</v>
      </c>
      <c r="D108" s="19" t="s">
        <v>1316</v>
      </c>
      <c r="E108" s="19" t="s">
        <v>1317</v>
      </c>
      <c r="F108" s="19" t="s">
        <v>1318</v>
      </c>
    </row>
    <row r="109">
      <c r="A109" s="24" t="s">
        <v>1142</v>
      </c>
      <c r="B109" s="19" t="s">
        <v>1143</v>
      </c>
      <c r="C109" s="19" t="s">
        <v>1136</v>
      </c>
      <c r="D109" s="19" t="s">
        <v>1319</v>
      </c>
      <c r="E109" s="19" t="s">
        <v>1317</v>
      </c>
      <c r="F109" s="19" t="s">
        <v>1318</v>
      </c>
    </row>
    <row r="110">
      <c r="A110" s="24" t="s">
        <v>1043</v>
      </c>
      <c r="B110" s="19" t="s">
        <v>1044</v>
      </c>
      <c r="C110" s="19" t="s">
        <v>1045</v>
      </c>
      <c r="D110" s="19" t="s">
        <v>1316</v>
      </c>
      <c r="E110" s="19" t="s">
        <v>1317</v>
      </c>
      <c r="F110" s="19" t="s">
        <v>1318</v>
      </c>
    </row>
    <row r="111">
      <c r="A111" s="24" t="s">
        <v>1134</v>
      </c>
      <c r="B111" s="19" t="s">
        <v>1135</v>
      </c>
      <c r="C111" s="19" t="s">
        <v>1136</v>
      </c>
      <c r="D111" s="19" t="s">
        <v>1322</v>
      </c>
      <c r="E111" s="19" t="s">
        <v>1317</v>
      </c>
      <c r="F111" s="19" t="s">
        <v>1318</v>
      </c>
    </row>
    <row r="112">
      <c r="A112" s="24" t="s">
        <v>1058</v>
      </c>
      <c r="B112" s="19" t="s">
        <v>1059</v>
      </c>
      <c r="C112" s="19" t="s">
        <v>1060</v>
      </c>
      <c r="D112" s="19" t="s">
        <v>1322</v>
      </c>
      <c r="E112" s="19" t="s">
        <v>1317</v>
      </c>
      <c r="F112" s="19" t="s">
        <v>1318</v>
      </c>
    </row>
    <row r="113">
      <c r="A113" s="24" t="s">
        <v>1258</v>
      </c>
      <c r="B113" s="19" t="s">
        <v>1259</v>
      </c>
      <c r="C113" s="19" t="s">
        <v>1260</v>
      </c>
      <c r="D113" s="19" t="s">
        <v>1322</v>
      </c>
      <c r="E113" s="19" t="s">
        <v>1317</v>
      </c>
      <c r="F113" s="19" t="s">
        <v>1326</v>
      </c>
    </row>
    <row r="114">
      <c r="A114" s="24" t="s">
        <v>955</v>
      </c>
      <c r="B114" s="19" t="s">
        <v>956</v>
      </c>
      <c r="C114" s="19" t="s">
        <v>957</v>
      </c>
      <c r="D114" s="19" t="s">
        <v>1319</v>
      </c>
      <c r="E114" s="19" t="s">
        <v>1317</v>
      </c>
      <c r="F114" s="19" t="s">
        <v>1318</v>
      </c>
    </row>
    <row r="115">
      <c r="A115" s="24" t="s">
        <v>949</v>
      </c>
      <c r="B115" s="19" t="s">
        <v>950</v>
      </c>
      <c r="C115" s="19" t="s">
        <v>951</v>
      </c>
      <c r="D115" s="19" t="s">
        <v>1322</v>
      </c>
      <c r="E115" s="19" t="s">
        <v>1317</v>
      </c>
      <c r="F115" s="19" t="s">
        <v>1318</v>
      </c>
    </row>
    <row r="116">
      <c r="A116" s="24" t="s">
        <v>1049</v>
      </c>
      <c r="B116" s="19" t="s">
        <v>1050</v>
      </c>
      <c r="C116" s="19" t="s">
        <v>1051</v>
      </c>
      <c r="D116" s="19" t="s">
        <v>1322</v>
      </c>
      <c r="E116" s="19" t="s">
        <v>1317</v>
      </c>
      <c r="F116" s="19" t="s">
        <v>1318</v>
      </c>
    </row>
    <row r="117">
      <c r="A117" s="24" t="s">
        <v>1040</v>
      </c>
      <c r="B117" s="19" t="s">
        <v>1041</v>
      </c>
      <c r="C117" s="19" t="s">
        <v>1042</v>
      </c>
      <c r="D117" s="19" t="s">
        <v>1322</v>
      </c>
      <c r="E117" s="19" t="s">
        <v>1317</v>
      </c>
      <c r="F117" s="19" t="s">
        <v>1318</v>
      </c>
    </row>
    <row r="118">
      <c r="A118" s="24" t="s">
        <v>1098</v>
      </c>
      <c r="B118" s="19" t="s">
        <v>1099</v>
      </c>
      <c r="C118" s="19" t="s">
        <v>1100</v>
      </c>
      <c r="D118" s="19" t="s">
        <v>1322</v>
      </c>
      <c r="E118" s="19" t="s">
        <v>1317</v>
      </c>
      <c r="F118" s="19" t="s">
        <v>1318</v>
      </c>
    </row>
    <row r="119">
      <c r="A119" s="24" t="s">
        <v>902</v>
      </c>
      <c r="B119" s="19" t="s">
        <v>903</v>
      </c>
      <c r="C119" s="19" t="s">
        <v>904</v>
      </c>
      <c r="D119" s="19" t="s">
        <v>1319</v>
      </c>
      <c r="E119" s="19" t="s">
        <v>1317</v>
      </c>
      <c r="F119" s="19" t="s">
        <v>1318</v>
      </c>
    </row>
    <row r="120">
      <c r="A120" s="24" t="s">
        <v>1125</v>
      </c>
      <c r="B120" s="19" t="s">
        <v>1126</v>
      </c>
      <c r="C120" s="19" t="s">
        <v>1127</v>
      </c>
      <c r="D120" s="19" t="s">
        <v>1319</v>
      </c>
      <c r="E120" s="19" t="s">
        <v>1317</v>
      </c>
      <c r="F120" s="19" t="s">
        <v>1318</v>
      </c>
    </row>
    <row r="121">
      <c r="A121" s="24" t="s">
        <v>1113</v>
      </c>
      <c r="B121" s="19" t="s">
        <v>1114</v>
      </c>
      <c r="C121" s="19" t="s">
        <v>1115</v>
      </c>
      <c r="D121" s="19" t="s">
        <v>1322</v>
      </c>
      <c r="E121" s="19" t="s">
        <v>1317</v>
      </c>
      <c r="F121" s="19" t="s">
        <v>1318</v>
      </c>
    </row>
    <row r="122">
      <c r="A122" s="24" t="s">
        <v>1110</v>
      </c>
      <c r="B122" s="19" t="s">
        <v>1111</v>
      </c>
      <c r="C122" s="19" t="s">
        <v>1112</v>
      </c>
      <c r="D122" s="19" t="s">
        <v>1316</v>
      </c>
      <c r="E122" s="19" t="s">
        <v>1317</v>
      </c>
      <c r="F122" s="19" t="s">
        <v>1318</v>
      </c>
    </row>
    <row r="123">
      <c r="A123" s="24" t="s">
        <v>923</v>
      </c>
      <c r="B123" s="19" t="s">
        <v>924</v>
      </c>
      <c r="C123" s="19" t="s">
        <v>925</v>
      </c>
      <c r="D123" s="19" t="s">
        <v>1316</v>
      </c>
      <c r="E123" s="19" t="s">
        <v>1317</v>
      </c>
      <c r="F123" s="19" t="s">
        <v>1318</v>
      </c>
    </row>
    <row r="124">
      <c r="A124" s="24" t="s">
        <v>937</v>
      </c>
      <c r="B124" s="19" t="s">
        <v>938</v>
      </c>
      <c r="C124" s="19" t="s">
        <v>939</v>
      </c>
      <c r="D124" s="19" t="s">
        <v>1319</v>
      </c>
      <c r="E124" s="19" t="s">
        <v>1317</v>
      </c>
      <c r="F124" s="19" t="s">
        <v>1318</v>
      </c>
    </row>
    <row r="125">
      <c r="A125" s="24" t="s">
        <v>1101</v>
      </c>
      <c r="B125" s="19" t="s">
        <v>1102</v>
      </c>
      <c r="C125" s="19" t="s">
        <v>1103</v>
      </c>
      <c r="D125" s="19" t="s">
        <v>1319</v>
      </c>
      <c r="E125" s="19" t="s">
        <v>1317</v>
      </c>
      <c r="F125" s="19" t="s">
        <v>1318</v>
      </c>
    </row>
    <row r="126">
      <c r="A126" s="24" t="s">
        <v>1234</v>
      </c>
      <c r="B126" s="19" t="s">
        <v>1235</v>
      </c>
      <c r="C126" s="19" t="s">
        <v>1236</v>
      </c>
      <c r="D126" s="19" t="s">
        <v>1319</v>
      </c>
      <c r="E126" s="19" t="s">
        <v>1317</v>
      </c>
      <c r="F126" s="19" t="s">
        <v>1318</v>
      </c>
    </row>
    <row r="127">
      <c r="A127" s="24" t="s">
        <v>993</v>
      </c>
      <c r="B127" s="19" t="s">
        <v>994</v>
      </c>
      <c r="C127" s="19" t="s">
        <v>995</v>
      </c>
      <c r="D127" s="19" t="s">
        <v>1319</v>
      </c>
      <c r="E127" s="19" t="s">
        <v>1317</v>
      </c>
      <c r="F127" s="19" t="s">
        <v>1318</v>
      </c>
    </row>
    <row r="128">
      <c r="A128" s="24" t="s">
        <v>1046</v>
      </c>
      <c r="B128" s="19" t="s">
        <v>1047</v>
      </c>
      <c r="C128" s="19" t="s">
        <v>1048</v>
      </c>
      <c r="D128" s="19" t="s">
        <v>1322</v>
      </c>
      <c r="E128" s="19" t="s">
        <v>1317</v>
      </c>
      <c r="F128" s="19" t="s">
        <v>1318</v>
      </c>
    </row>
    <row r="129">
      <c r="A129" s="24" t="s">
        <v>1252</v>
      </c>
      <c r="B129" s="19" t="s">
        <v>1253</v>
      </c>
      <c r="C129" s="19" t="s">
        <v>1254</v>
      </c>
      <c r="D129" s="19" t="s">
        <v>1322</v>
      </c>
      <c r="E129" s="19" t="s">
        <v>1317</v>
      </c>
      <c r="F129" s="19" t="s">
        <v>1318</v>
      </c>
    </row>
    <row r="130">
      <c r="A130" s="24" t="s">
        <v>970</v>
      </c>
      <c r="B130" s="19" t="s">
        <v>971</v>
      </c>
      <c r="C130" s="19" t="s">
        <v>972</v>
      </c>
      <c r="D130" s="19" t="s">
        <v>1322</v>
      </c>
      <c r="E130" s="19" t="s">
        <v>1317</v>
      </c>
      <c r="F130" s="19" t="s">
        <v>1326</v>
      </c>
    </row>
    <row r="131">
      <c r="A131" s="24" t="s">
        <v>1061</v>
      </c>
      <c r="B131" s="19" t="s">
        <v>1062</v>
      </c>
      <c r="C131" s="19" t="s">
        <v>1063</v>
      </c>
      <c r="D131" s="19" t="s">
        <v>1316</v>
      </c>
      <c r="E131" s="19" t="s">
        <v>1317</v>
      </c>
      <c r="F131" s="19" t="s">
        <v>1318</v>
      </c>
    </row>
    <row r="132">
      <c r="A132" s="24" t="s">
        <v>1025</v>
      </c>
      <c r="B132" s="19" t="s">
        <v>1026</v>
      </c>
      <c r="C132" s="19" t="s">
        <v>1027</v>
      </c>
      <c r="D132" s="19" t="s">
        <v>1316</v>
      </c>
      <c r="E132" s="19" t="s">
        <v>1317</v>
      </c>
      <c r="F132" s="19" t="s">
        <v>1318</v>
      </c>
    </row>
    <row r="133">
      <c r="A133" s="24" t="s">
        <v>1015</v>
      </c>
      <c r="B133" s="19" t="s">
        <v>1016</v>
      </c>
      <c r="C133" s="19" t="s">
        <v>1017</v>
      </c>
      <c r="D133" s="19" t="s">
        <v>1316</v>
      </c>
      <c r="E133" s="19" t="s">
        <v>1317</v>
      </c>
      <c r="F133" s="19" t="s">
        <v>1318</v>
      </c>
    </row>
    <row r="134">
      <c r="A134" s="24" t="s">
        <v>927</v>
      </c>
      <c r="B134" s="19" t="s">
        <v>928</v>
      </c>
      <c r="C134" s="19" t="s">
        <v>929</v>
      </c>
      <c r="D134" s="19" t="s">
        <v>1319</v>
      </c>
      <c r="E134" s="19" t="s">
        <v>1317</v>
      </c>
      <c r="F134" s="19" t="s">
        <v>1318</v>
      </c>
    </row>
    <row r="135">
      <c r="A135" s="24" t="s">
        <v>961</v>
      </c>
      <c r="B135" s="19" t="s">
        <v>962</v>
      </c>
      <c r="C135" s="19" t="s">
        <v>963</v>
      </c>
      <c r="D135" s="19" t="s">
        <v>1322</v>
      </c>
      <c r="E135" s="19" t="s">
        <v>1317</v>
      </c>
      <c r="F135" s="19" t="s">
        <v>1326</v>
      </c>
    </row>
    <row r="136">
      <c r="A136" s="24" t="s">
        <v>739</v>
      </c>
      <c r="B136" s="19" t="s">
        <v>740</v>
      </c>
      <c r="C136" s="19" t="s">
        <v>741</v>
      </c>
      <c r="D136" s="19" t="s">
        <v>1322</v>
      </c>
      <c r="E136" s="19" t="s">
        <v>1317</v>
      </c>
      <c r="F136" s="19" t="s">
        <v>1318</v>
      </c>
    </row>
    <row r="137">
      <c r="A137" s="24" t="s">
        <v>1055</v>
      </c>
      <c r="B137" s="19" t="s">
        <v>1056</v>
      </c>
      <c r="C137" s="19" t="s">
        <v>1057</v>
      </c>
      <c r="D137" s="19" t="s">
        <v>1316</v>
      </c>
      <c r="E137" s="19" t="s">
        <v>1317</v>
      </c>
      <c r="F137" s="19" t="s">
        <v>1318</v>
      </c>
    </row>
    <row r="138">
      <c r="A138" s="24" t="s">
        <v>1052</v>
      </c>
      <c r="B138" s="19" t="s">
        <v>1053</v>
      </c>
      <c r="C138" s="19" t="s">
        <v>1054</v>
      </c>
      <c r="D138" s="19" t="s">
        <v>1322</v>
      </c>
      <c r="E138" s="19" t="s">
        <v>1317</v>
      </c>
      <c r="F138" s="19" t="s">
        <v>1318</v>
      </c>
    </row>
    <row r="139">
      <c r="A139" s="24" t="s">
        <v>1009</v>
      </c>
      <c r="B139" s="19" t="s">
        <v>1010</v>
      </c>
      <c r="C139" s="19" t="s">
        <v>1011</v>
      </c>
      <c r="D139" s="19" t="s">
        <v>1322</v>
      </c>
      <c r="E139" s="19" t="s">
        <v>1317</v>
      </c>
      <c r="F139" s="19" t="s">
        <v>1318</v>
      </c>
    </row>
    <row r="140">
      <c r="A140" s="24" t="s">
        <v>1022</v>
      </c>
      <c r="B140" s="19" t="s">
        <v>1023</v>
      </c>
      <c r="C140" s="19" t="s">
        <v>1024</v>
      </c>
      <c r="D140" s="19" t="s">
        <v>1319</v>
      </c>
      <c r="E140" s="19" t="s">
        <v>1317</v>
      </c>
      <c r="F140" s="19" t="s">
        <v>1318</v>
      </c>
    </row>
    <row r="141">
      <c r="A141" s="24" t="s">
        <v>940</v>
      </c>
      <c r="B141" s="19" t="s">
        <v>941</v>
      </c>
      <c r="C141" s="19" t="s">
        <v>942</v>
      </c>
      <c r="D141" s="19" t="s">
        <v>1322</v>
      </c>
      <c r="E141" s="19" t="s">
        <v>1317</v>
      </c>
      <c r="F141" s="19" t="s">
        <v>1318</v>
      </c>
    </row>
    <row r="142">
      <c r="A142" s="24" t="s">
        <v>1019</v>
      </c>
      <c r="B142" s="19" t="s">
        <v>1020</v>
      </c>
      <c r="C142" s="19" t="s">
        <v>1021</v>
      </c>
      <c r="D142" s="19" t="s">
        <v>1322</v>
      </c>
      <c r="E142" s="19" t="s">
        <v>1317</v>
      </c>
      <c r="F142" s="19" t="s">
        <v>1318</v>
      </c>
    </row>
    <row r="143">
      <c r="A143" s="24" t="s">
        <v>1003</v>
      </c>
      <c r="B143" s="19" t="s">
        <v>1004</v>
      </c>
      <c r="C143" s="19" t="s">
        <v>1005</v>
      </c>
      <c r="D143" s="19" t="s">
        <v>1319</v>
      </c>
      <c r="E143" s="19" t="s">
        <v>1317</v>
      </c>
      <c r="F143" s="19" t="s">
        <v>1318</v>
      </c>
    </row>
    <row r="144">
      <c r="A144" s="24" t="s">
        <v>1296</v>
      </c>
      <c r="B144" s="19" t="s">
        <v>1297</v>
      </c>
      <c r="C144" s="19" t="s">
        <v>1298</v>
      </c>
      <c r="D144" s="19" t="s">
        <v>1319</v>
      </c>
      <c r="E144" s="19" t="s">
        <v>1317</v>
      </c>
      <c r="F144" s="19" t="s">
        <v>1318</v>
      </c>
    </row>
    <row r="145">
      <c r="A145" s="24" t="s">
        <v>981</v>
      </c>
      <c r="B145" s="19" t="s">
        <v>982</v>
      </c>
      <c r="C145" s="19" t="s">
        <v>983</v>
      </c>
      <c r="D145" s="19" t="s">
        <v>1316</v>
      </c>
      <c r="E145" s="19" t="s">
        <v>1317</v>
      </c>
      <c r="F145" s="19" t="s">
        <v>1318</v>
      </c>
    </row>
    <row r="146">
      <c r="A146" s="24" t="s">
        <v>996</v>
      </c>
      <c r="B146" s="19" t="s">
        <v>997</v>
      </c>
      <c r="C146" s="19" t="s">
        <v>998</v>
      </c>
      <c r="D146" s="19" t="s">
        <v>1319</v>
      </c>
      <c r="E146" s="19" t="s">
        <v>1317</v>
      </c>
      <c r="F146" s="19" t="s">
        <v>1318</v>
      </c>
    </row>
    <row r="147">
      <c r="A147" s="24" t="s">
        <v>977</v>
      </c>
      <c r="B147" s="19" t="s">
        <v>978</v>
      </c>
      <c r="C147" s="19" t="s">
        <v>979</v>
      </c>
      <c r="D147" s="19" t="s">
        <v>1322</v>
      </c>
      <c r="E147" s="19" t="s">
        <v>1317</v>
      </c>
      <c r="F147" s="19" t="s">
        <v>1318</v>
      </c>
    </row>
    <row r="148">
      <c r="A148" s="24" t="s">
        <v>1246</v>
      </c>
      <c r="B148" s="19" t="s">
        <v>1247</v>
      </c>
      <c r="C148" s="19" t="s">
        <v>1248</v>
      </c>
      <c r="D148" s="19" t="s">
        <v>1319</v>
      </c>
      <c r="E148" s="19" t="s">
        <v>1317</v>
      </c>
      <c r="F148" s="19" t="s">
        <v>1318</v>
      </c>
    </row>
    <row r="149">
      <c r="A149" s="24" t="s">
        <v>967</v>
      </c>
      <c r="B149" s="19" t="s">
        <v>968</v>
      </c>
      <c r="C149" s="19" t="s">
        <v>969</v>
      </c>
      <c r="D149" s="19" t="s">
        <v>1319</v>
      </c>
      <c r="E149" s="19" t="s">
        <v>1317</v>
      </c>
      <c r="F149" s="19" t="s">
        <v>1318</v>
      </c>
    </row>
    <row r="150">
      <c r="A150" s="24" t="s">
        <v>930</v>
      </c>
      <c r="B150" s="19" t="s">
        <v>931</v>
      </c>
      <c r="C150" s="19" t="s">
        <v>932</v>
      </c>
      <c r="D150" s="19" t="s">
        <v>1322</v>
      </c>
      <c r="E150" s="19" t="s">
        <v>1317</v>
      </c>
      <c r="F150" s="19" t="s">
        <v>1318</v>
      </c>
    </row>
    <row r="151">
      <c r="A151" s="24" t="s">
        <v>987</v>
      </c>
      <c r="B151" s="19" t="s">
        <v>988</v>
      </c>
      <c r="C151" s="19" t="s">
        <v>989</v>
      </c>
      <c r="D151" s="19" t="s">
        <v>1322</v>
      </c>
      <c r="E151" s="19" t="s">
        <v>1317</v>
      </c>
      <c r="F151" s="19" t="s">
        <v>1318</v>
      </c>
    </row>
    <row r="152">
      <c r="A152" s="24" t="s">
        <v>685</v>
      </c>
      <c r="B152" s="19" t="s">
        <v>686</v>
      </c>
      <c r="C152" s="19" t="s">
        <v>687</v>
      </c>
      <c r="D152" s="19" t="s">
        <v>1316</v>
      </c>
      <c r="E152" s="19" t="s">
        <v>1317</v>
      </c>
      <c r="F152" s="19" t="s">
        <v>1318</v>
      </c>
    </row>
    <row r="153">
      <c r="A153" s="24" t="s">
        <v>964</v>
      </c>
      <c r="B153" s="19" t="s">
        <v>965</v>
      </c>
      <c r="C153" s="19" t="s">
        <v>966</v>
      </c>
      <c r="D153" s="19" t="s">
        <v>1319</v>
      </c>
      <c r="E153" s="19" t="s">
        <v>1317</v>
      </c>
      <c r="F153" s="19" t="s">
        <v>1318</v>
      </c>
    </row>
    <row r="154">
      <c r="A154" s="24" t="s">
        <v>905</v>
      </c>
      <c r="B154" s="19" t="s">
        <v>906</v>
      </c>
      <c r="C154" s="19" t="s">
        <v>907</v>
      </c>
      <c r="D154" s="19" t="s">
        <v>1316</v>
      </c>
      <c r="E154" s="19" t="s">
        <v>1317</v>
      </c>
      <c r="F154" s="19" t="s">
        <v>1326</v>
      </c>
      <c r="G154" s="19" t="s">
        <v>1328</v>
      </c>
    </row>
    <row r="155">
      <c r="A155" s="24" t="s">
        <v>973</v>
      </c>
      <c r="B155" s="19" t="s">
        <v>974</v>
      </c>
      <c r="C155" s="19" t="s">
        <v>975</v>
      </c>
      <c r="D155" s="19" t="s">
        <v>1322</v>
      </c>
      <c r="E155" s="19" t="s">
        <v>1317</v>
      </c>
      <c r="F155" s="19" t="s">
        <v>1318</v>
      </c>
    </row>
    <row r="156">
      <c r="A156" s="24" t="s">
        <v>756</v>
      </c>
      <c r="B156" s="19" t="s">
        <v>757</v>
      </c>
      <c r="C156" s="19" t="s">
        <v>758</v>
      </c>
      <c r="D156" s="19" t="s">
        <v>1322</v>
      </c>
      <c r="E156" s="19" t="s">
        <v>1317</v>
      </c>
      <c r="F156" s="19" t="s">
        <v>1326</v>
      </c>
    </row>
    <row r="157">
      <c r="A157" s="24" t="s">
        <v>943</v>
      </c>
      <c r="B157" s="19" t="s">
        <v>944</v>
      </c>
      <c r="C157" s="19" t="s">
        <v>945</v>
      </c>
      <c r="D157" s="19" t="s">
        <v>1319</v>
      </c>
      <c r="E157" s="19" t="s">
        <v>1317</v>
      </c>
      <c r="F157" s="19" t="s">
        <v>1318</v>
      </c>
    </row>
    <row r="158">
      <c r="A158" s="24" t="s">
        <v>1249</v>
      </c>
      <c r="B158" s="19" t="s">
        <v>1250</v>
      </c>
      <c r="C158" s="19" t="s">
        <v>1251</v>
      </c>
      <c r="D158" s="19" t="s">
        <v>1319</v>
      </c>
      <c r="E158" s="19" t="s">
        <v>1317</v>
      </c>
      <c r="F158" s="19" t="s">
        <v>1318</v>
      </c>
    </row>
    <row r="159">
      <c r="A159" s="24" t="s">
        <v>893</v>
      </c>
      <c r="B159" s="19" t="s">
        <v>894</v>
      </c>
      <c r="C159" s="19" t="s">
        <v>895</v>
      </c>
      <c r="D159" s="19" t="s">
        <v>1322</v>
      </c>
      <c r="E159" s="19" t="s">
        <v>1317</v>
      </c>
      <c r="F159" s="19" t="s">
        <v>1318</v>
      </c>
    </row>
    <row r="160">
      <c r="A160" s="24" t="s">
        <v>881</v>
      </c>
      <c r="B160" s="19" t="s">
        <v>882</v>
      </c>
      <c r="C160" s="19" t="s">
        <v>883</v>
      </c>
      <c r="D160" s="19" t="s">
        <v>1319</v>
      </c>
      <c r="E160" s="19" t="s">
        <v>1317</v>
      </c>
      <c r="F160" s="19" t="s">
        <v>1318</v>
      </c>
    </row>
    <row r="161">
      <c r="A161" s="24" t="s">
        <v>908</v>
      </c>
      <c r="B161" s="19" t="s">
        <v>909</v>
      </c>
      <c r="C161" s="19" t="s">
        <v>910</v>
      </c>
      <c r="D161" s="19" t="s">
        <v>1322</v>
      </c>
      <c r="E161" s="19" t="s">
        <v>1317</v>
      </c>
      <c r="F161" s="19" t="s">
        <v>1318</v>
      </c>
    </row>
    <row r="162">
      <c r="A162" s="24" t="s">
        <v>917</v>
      </c>
      <c r="B162" s="19" t="s">
        <v>918</v>
      </c>
      <c r="C162" s="19" t="s">
        <v>919</v>
      </c>
      <c r="D162" s="19" t="s">
        <v>1316</v>
      </c>
      <c r="E162" s="19" t="s">
        <v>1317</v>
      </c>
      <c r="F162" s="19" t="s">
        <v>1318</v>
      </c>
    </row>
    <row r="163">
      <c r="A163" s="24" t="s">
        <v>920</v>
      </c>
      <c r="B163" s="19" t="s">
        <v>921</v>
      </c>
      <c r="C163" s="19" t="s">
        <v>922</v>
      </c>
      <c r="D163" s="19" t="s">
        <v>1322</v>
      </c>
      <c r="E163" s="19" t="s">
        <v>1317</v>
      </c>
      <c r="F163" s="19" t="s">
        <v>1318</v>
      </c>
    </row>
    <row r="164">
      <c r="A164" s="24" t="s">
        <v>911</v>
      </c>
      <c r="B164" s="19" t="s">
        <v>912</v>
      </c>
      <c r="C164" s="19" t="s">
        <v>913</v>
      </c>
      <c r="D164" s="19" t="s">
        <v>1319</v>
      </c>
      <c r="E164" s="19" t="s">
        <v>1317</v>
      </c>
      <c r="F164" s="19" t="s">
        <v>1318</v>
      </c>
    </row>
    <row r="165">
      <c r="A165" s="24" t="s">
        <v>872</v>
      </c>
      <c r="B165" s="19" t="s">
        <v>873</v>
      </c>
      <c r="C165" s="19" t="s">
        <v>874</v>
      </c>
      <c r="D165" s="19" t="s">
        <v>1319</v>
      </c>
      <c r="E165" s="19" t="s">
        <v>1317</v>
      </c>
      <c r="F165" s="19" t="s">
        <v>1323</v>
      </c>
    </row>
    <row r="166">
      <c r="A166" s="24" t="s">
        <v>866</v>
      </c>
      <c r="B166" s="19" t="s">
        <v>867</v>
      </c>
      <c r="C166" s="19" t="s">
        <v>868</v>
      </c>
      <c r="D166" s="19" t="s">
        <v>1322</v>
      </c>
      <c r="E166" s="19" t="s">
        <v>1317</v>
      </c>
      <c r="F166" s="19" t="s">
        <v>1318</v>
      </c>
    </row>
    <row r="167">
      <c r="A167" s="24" t="s">
        <v>899</v>
      </c>
      <c r="B167" s="19" t="s">
        <v>900</v>
      </c>
      <c r="C167" s="19" t="s">
        <v>901</v>
      </c>
      <c r="D167" s="19" t="s">
        <v>1322</v>
      </c>
      <c r="E167" s="19" t="s">
        <v>1317</v>
      </c>
      <c r="F167" s="19" t="s">
        <v>1323</v>
      </c>
    </row>
    <row r="168">
      <c r="A168" s="24" t="s">
        <v>884</v>
      </c>
      <c r="B168" s="19" t="s">
        <v>885</v>
      </c>
      <c r="C168" s="19" t="s">
        <v>886</v>
      </c>
      <c r="D168" s="19" t="s">
        <v>1319</v>
      </c>
      <c r="E168" s="19" t="s">
        <v>1317</v>
      </c>
      <c r="F168" s="19" t="s">
        <v>1318</v>
      </c>
    </row>
    <row r="169">
      <c r="A169" s="24" t="s">
        <v>731</v>
      </c>
      <c r="B169" s="19" t="s">
        <v>732</v>
      </c>
      <c r="C169" s="19" t="s">
        <v>733</v>
      </c>
      <c r="D169" s="19" t="s">
        <v>1319</v>
      </c>
      <c r="E169" s="19" t="s">
        <v>1317</v>
      </c>
      <c r="F169" s="19" t="s">
        <v>1318</v>
      </c>
    </row>
    <row r="170">
      <c r="A170" s="24" t="s">
        <v>896</v>
      </c>
      <c r="B170" s="19" t="s">
        <v>897</v>
      </c>
      <c r="C170" s="19" t="s">
        <v>898</v>
      </c>
      <c r="D170" s="19" t="s">
        <v>1322</v>
      </c>
      <c r="E170" s="19" t="s">
        <v>1317</v>
      </c>
      <c r="F170" s="19" t="s">
        <v>1318</v>
      </c>
    </row>
    <row r="171">
      <c r="A171" s="24" t="s">
        <v>1255</v>
      </c>
      <c r="B171" s="19" t="s">
        <v>1256</v>
      </c>
      <c r="C171" s="19" t="s">
        <v>1257</v>
      </c>
      <c r="D171" s="19" t="s">
        <v>1322</v>
      </c>
      <c r="E171" s="19" t="s">
        <v>1317</v>
      </c>
      <c r="F171" s="19" t="s">
        <v>1326</v>
      </c>
    </row>
    <row r="172">
      <c r="A172" s="24" t="s">
        <v>753</v>
      </c>
      <c r="B172" s="19" t="s">
        <v>754</v>
      </c>
      <c r="C172" s="19" t="s">
        <v>755</v>
      </c>
      <c r="D172" s="19" t="s">
        <v>1322</v>
      </c>
      <c r="E172" s="19" t="s">
        <v>1317</v>
      </c>
      <c r="F172" s="19" t="s">
        <v>1323</v>
      </c>
    </row>
    <row r="173">
      <c r="A173" s="24" t="s">
        <v>890</v>
      </c>
      <c r="B173" s="19" t="s">
        <v>891</v>
      </c>
      <c r="C173" s="19" t="s">
        <v>892</v>
      </c>
      <c r="D173" s="19" t="s">
        <v>1322</v>
      </c>
      <c r="E173" s="19" t="s">
        <v>1317</v>
      </c>
      <c r="F173" s="19" t="s">
        <v>1323</v>
      </c>
    </row>
    <row r="174">
      <c r="A174" s="24" t="s">
        <v>887</v>
      </c>
      <c r="B174" s="19" t="s">
        <v>888</v>
      </c>
      <c r="C174" s="19" t="s">
        <v>889</v>
      </c>
      <c r="D174" s="19" t="s">
        <v>1316</v>
      </c>
      <c r="E174" s="19" t="s">
        <v>1317</v>
      </c>
      <c r="F174" s="19" t="s">
        <v>1318</v>
      </c>
    </row>
    <row r="175">
      <c r="A175" s="24" t="s">
        <v>854</v>
      </c>
      <c r="B175" s="19" t="s">
        <v>855</v>
      </c>
      <c r="C175" s="19" t="s">
        <v>856</v>
      </c>
      <c r="D175" s="19" t="s">
        <v>1322</v>
      </c>
      <c r="E175" s="19" t="s">
        <v>1317</v>
      </c>
      <c r="F175" s="19" t="s">
        <v>1318</v>
      </c>
    </row>
    <row r="176">
      <c r="A176" s="24" t="s">
        <v>875</v>
      </c>
      <c r="B176" s="19" t="s">
        <v>876</v>
      </c>
      <c r="C176" s="19" t="s">
        <v>877</v>
      </c>
      <c r="D176" s="19" t="s">
        <v>1316</v>
      </c>
      <c r="E176" s="19" t="s">
        <v>1317</v>
      </c>
      <c r="F176" s="19" t="s">
        <v>1318</v>
      </c>
    </row>
    <row r="177">
      <c r="A177" s="24" t="s">
        <v>878</v>
      </c>
      <c r="B177" s="19" t="s">
        <v>879</v>
      </c>
      <c r="C177" s="19" t="s">
        <v>880</v>
      </c>
      <c r="D177" s="19" t="s">
        <v>1319</v>
      </c>
      <c r="E177" s="19" t="s">
        <v>1317</v>
      </c>
      <c r="F177" s="19" t="s">
        <v>1318</v>
      </c>
    </row>
    <row r="178">
      <c r="A178" s="24" t="s">
        <v>1219</v>
      </c>
      <c r="B178" s="19" t="s">
        <v>1220</v>
      </c>
      <c r="C178" s="19" t="s">
        <v>1221</v>
      </c>
      <c r="D178" s="19" t="s">
        <v>1316</v>
      </c>
      <c r="E178" s="19" t="s">
        <v>1317</v>
      </c>
      <c r="F178" s="19" t="s">
        <v>1318</v>
      </c>
    </row>
    <row r="179">
      <c r="A179" s="24" t="s">
        <v>863</v>
      </c>
      <c r="B179" s="19" t="s">
        <v>864</v>
      </c>
      <c r="C179" s="19" t="s">
        <v>865</v>
      </c>
      <c r="D179" s="19" t="s">
        <v>1316</v>
      </c>
      <c r="E179" s="19" t="s">
        <v>1317</v>
      </c>
      <c r="F179" s="19" t="s">
        <v>1318</v>
      </c>
    </row>
    <row r="180">
      <c r="A180" s="24" t="s">
        <v>839</v>
      </c>
      <c r="B180" s="19" t="s">
        <v>840</v>
      </c>
      <c r="C180" s="19" t="s">
        <v>841</v>
      </c>
      <c r="D180" s="19" t="s">
        <v>1322</v>
      </c>
      <c r="E180" s="19" t="s">
        <v>1317</v>
      </c>
      <c r="F180" s="19" t="s">
        <v>1326</v>
      </c>
    </row>
    <row r="181">
      <c r="A181" s="24" t="s">
        <v>869</v>
      </c>
      <c r="B181" s="19" t="s">
        <v>870</v>
      </c>
      <c r="C181" s="19" t="s">
        <v>871</v>
      </c>
      <c r="D181" s="19" t="s">
        <v>1322</v>
      </c>
      <c r="E181" s="19" t="s">
        <v>1317</v>
      </c>
      <c r="F181" s="19" t="s">
        <v>1318</v>
      </c>
    </row>
    <row r="182">
      <c r="A182" s="24" t="s">
        <v>816</v>
      </c>
      <c r="B182" s="19" t="s">
        <v>817</v>
      </c>
      <c r="C182" s="19" t="s">
        <v>818</v>
      </c>
      <c r="D182" s="19" t="s">
        <v>1319</v>
      </c>
      <c r="E182" s="19" t="s">
        <v>1317</v>
      </c>
      <c r="F182" s="19" t="s">
        <v>1318</v>
      </c>
    </row>
    <row r="183">
      <c r="A183" s="24" t="s">
        <v>857</v>
      </c>
      <c r="B183" s="19" t="s">
        <v>858</v>
      </c>
      <c r="C183" s="19" t="s">
        <v>859</v>
      </c>
      <c r="D183" s="19" t="s">
        <v>1322</v>
      </c>
      <c r="E183" s="19" t="s">
        <v>1317</v>
      </c>
      <c r="F183" s="19" t="s">
        <v>1318</v>
      </c>
    </row>
    <row r="184">
      <c r="A184" s="24" t="s">
        <v>693</v>
      </c>
      <c r="B184" s="19" t="s">
        <v>694</v>
      </c>
      <c r="C184" s="19" t="s">
        <v>695</v>
      </c>
      <c r="D184" s="19" t="s">
        <v>1316</v>
      </c>
      <c r="E184" s="19" t="s">
        <v>1317</v>
      </c>
      <c r="F184" s="19" t="s">
        <v>1326</v>
      </c>
      <c r="G184" s="19" t="s">
        <v>1329</v>
      </c>
    </row>
    <row r="185">
      <c r="A185" s="24" t="s">
        <v>668</v>
      </c>
      <c r="B185" s="19" t="s">
        <v>669</v>
      </c>
      <c r="C185" s="19" t="s">
        <v>670</v>
      </c>
      <c r="D185" s="19" t="s">
        <v>1319</v>
      </c>
      <c r="E185" s="19" t="s">
        <v>1317</v>
      </c>
      <c r="F185" s="19" t="s">
        <v>1318</v>
      </c>
    </row>
    <row r="186">
      <c r="A186" s="24" t="s">
        <v>845</v>
      </c>
      <c r="B186" s="19" t="s">
        <v>846</v>
      </c>
      <c r="C186" s="19" t="s">
        <v>847</v>
      </c>
      <c r="D186" s="19" t="s">
        <v>1322</v>
      </c>
      <c r="E186" s="19" t="s">
        <v>1317</v>
      </c>
      <c r="F186" s="19" t="s">
        <v>1326</v>
      </c>
    </row>
    <row r="187">
      <c r="A187" s="24" t="s">
        <v>842</v>
      </c>
      <c r="B187" s="19" t="s">
        <v>843</v>
      </c>
      <c r="C187" s="19" t="s">
        <v>844</v>
      </c>
      <c r="D187" s="19" t="s">
        <v>1316</v>
      </c>
      <c r="E187" s="19" t="s">
        <v>1317</v>
      </c>
      <c r="F187" s="19" t="s">
        <v>1326</v>
      </c>
      <c r="G187" s="19" t="s">
        <v>1329</v>
      </c>
      <c r="H187" s="19"/>
    </row>
    <row r="188">
      <c r="A188" s="24" t="s">
        <v>848</v>
      </c>
      <c r="B188" s="19" t="s">
        <v>849</v>
      </c>
      <c r="C188" s="19" t="s">
        <v>850</v>
      </c>
      <c r="D188" s="19" t="s">
        <v>1322</v>
      </c>
      <c r="E188" s="19" t="s">
        <v>1317</v>
      </c>
      <c r="F188" s="19" t="s">
        <v>1323</v>
      </c>
    </row>
    <row r="189">
      <c r="A189" s="24" t="s">
        <v>851</v>
      </c>
      <c r="B189" s="19" t="s">
        <v>852</v>
      </c>
      <c r="C189" s="19" t="s">
        <v>853</v>
      </c>
      <c r="D189" s="19" t="s">
        <v>1319</v>
      </c>
      <c r="E189" s="19" t="s">
        <v>1317</v>
      </c>
      <c r="F189" s="19" t="s">
        <v>1318</v>
      </c>
    </row>
    <row r="190">
      <c r="A190" s="24" t="s">
        <v>807</v>
      </c>
      <c r="B190" s="19" t="s">
        <v>808</v>
      </c>
      <c r="C190" s="19" t="s">
        <v>809</v>
      </c>
      <c r="D190" s="19" t="s">
        <v>1319</v>
      </c>
      <c r="E190" s="19" t="s">
        <v>1317</v>
      </c>
      <c r="F190" s="19" t="s">
        <v>1318</v>
      </c>
    </row>
    <row r="191">
      <c r="A191" s="24" t="s">
        <v>1278</v>
      </c>
      <c r="B191" s="19" t="s">
        <v>1279</v>
      </c>
      <c r="C191" s="19" t="s">
        <v>1280</v>
      </c>
      <c r="D191" s="19" t="s">
        <v>1319</v>
      </c>
      <c r="E191" s="19" t="s">
        <v>1317</v>
      </c>
      <c r="F191" s="19" t="s">
        <v>1326</v>
      </c>
    </row>
    <row r="192">
      <c r="A192" s="24" t="s">
        <v>821</v>
      </c>
      <c r="B192" s="19" t="s">
        <v>822</v>
      </c>
      <c r="C192" s="19" t="s">
        <v>823</v>
      </c>
      <c r="D192" s="19" t="s">
        <v>1316</v>
      </c>
      <c r="E192" s="19" t="s">
        <v>1317</v>
      </c>
      <c r="F192" s="19" t="s">
        <v>1318</v>
      </c>
      <c r="G192" s="19"/>
    </row>
    <row r="193">
      <c r="A193" s="24" t="s">
        <v>802</v>
      </c>
      <c r="B193" s="19" t="s">
        <v>803</v>
      </c>
      <c r="C193" s="19" t="s">
        <v>804</v>
      </c>
      <c r="D193" s="19" t="s">
        <v>1316</v>
      </c>
      <c r="E193" s="19" t="s">
        <v>1317</v>
      </c>
      <c r="F193" s="19" t="s">
        <v>1318</v>
      </c>
    </row>
    <row r="194">
      <c r="A194" s="24" t="s">
        <v>662</v>
      </c>
      <c r="B194" s="19" t="s">
        <v>663</v>
      </c>
      <c r="C194" s="19" t="s">
        <v>664</v>
      </c>
      <c r="D194" s="19" t="s">
        <v>1316</v>
      </c>
      <c r="E194" s="19" t="s">
        <v>1317</v>
      </c>
      <c r="F194" s="19" t="s">
        <v>1323</v>
      </c>
    </row>
    <row r="195">
      <c r="A195" s="24" t="s">
        <v>836</v>
      </c>
      <c r="B195" s="19" t="s">
        <v>837</v>
      </c>
      <c r="C195" s="19" t="s">
        <v>838</v>
      </c>
      <c r="D195" s="19" t="s">
        <v>1319</v>
      </c>
      <c r="E195" s="19" t="s">
        <v>1317</v>
      </c>
      <c r="F195" s="19" t="s">
        <v>1318</v>
      </c>
    </row>
    <row r="196">
      <c r="A196" s="24" t="s">
        <v>653</v>
      </c>
      <c r="B196" s="19" t="s">
        <v>654</v>
      </c>
      <c r="C196" s="19" t="s">
        <v>655</v>
      </c>
      <c r="D196" s="19" t="s">
        <v>1322</v>
      </c>
      <c r="E196" s="19" t="s">
        <v>1317</v>
      </c>
      <c r="F196" s="19" t="s">
        <v>1318</v>
      </c>
    </row>
    <row r="197">
      <c r="A197" s="24" t="s">
        <v>793</v>
      </c>
      <c r="B197" s="19" t="s">
        <v>794</v>
      </c>
      <c r="C197" s="19" t="s">
        <v>795</v>
      </c>
      <c r="D197" s="19" t="s">
        <v>1316</v>
      </c>
      <c r="E197" s="19" t="s">
        <v>1317</v>
      </c>
      <c r="F197" s="19" t="s">
        <v>1318</v>
      </c>
    </row>
    <row r="198">
      <c r="A198" s="24" t="s">
        <v>545</v>
      </c>
      <c r="B198" s="19" t="s">
        <v>546</v>
      </c>
      <c r="C198" s="19" t="s">
        <v>547</v>
      </c>
      <c r="D198" s="19" t="s">
        <v>1322</v>
      </c>
      <c r="E198" s="19" t="s">
        <v>1317</v>
      </c>
      <c r="F198" s="19" t="s">
        <v>1318</v>
      </c>
    </row>
    <row r="199">
      <c r="A199" s="24" t="s">
        <v>332</v>
      </c>
      <c r="B199" s="19" t="s">
        <v>333</v>
      </c>
      <c r="C199" s="19" t="s">
        <v>334</v>
      </c>
      <c r="D199" s="19" t="s">
        <v>1322</v>
      </c>
      <c r="E199" s="19" t="s">
        <v>1317</v>
      </c>
      <c r="F199" s="19" t="s">
        <v>1323</v>
      </c>
    </row>
    <row r="200">
      <c r="A200" s="24" t="s">
        <v>576</v>
      </c>
      <c r="B200" s="19" t="s">
        <v>577</v>
      </c>
      <c r="C200" s="19" t="s">
        <v>578</v>
      </c>
      <c r="D200" s="19" t="s">
        <v>1316</v>
      </c>
      <c r="E200" s="19" t="s">
        <v>1317</v>
      </c>
      <c r="F200" s="19" t="s">
        <v>1326</v>
      </c>
    </row>
    <row r="201">
      <c r="A201" s="24" t="s">
        <v>665</v>
      </c>
      <c r="B201" s="19" t="s">
        <v>666</v>
      </c>
      <c r="C201" s="19" t="s">
        <v>667</v>
      </c>
      <c r="D201" s="19" t="s">
        <v>1319</v>
      </c>
      <c r="E201" s="19" t="s">
        <v>1317</v>
      </c>
      <c r="F201" s="19" t="s">
        <v>1323</v>
      </c>
    </row>
    <row r="202">
      <c r="A202" s="24" t="s">
        <v>825</v>
      </c>
      <c r="B202" s="19" t="s">
        <v>826</v>
      </c>
      <c r="C202" s="19" t="s">
        <v>827</v>
      </c>
      <c r="D202" s="19" t="s">
        <v>1319</v>
      </c>
      <c r="E202" s="19" t="s">
        <v>1317</v>
      </c>
      <c r="F202" s="19" t="s">
        <v>1326</v>
      </c>
    </row>
    <row r="203">
      <c r="A203" s="24" t="s">
        <v>568</v>
      </c>
      <c r="B203" s="19" t="s">
        <v>569</v>
      </c>
      <c r="C203" s="19" t="s">
        <v>570</v>
      </c>
      <c r="D203" s="19" t="s">
        <v>1322</v>
      </c>
      <c r="E203" s="19" t="s">
        <v>1317</v>
      </c>
      <c r="F203" s="19" t="s">
        <v>1323</v>
      </c>
    </row>
    <row r="204">
      <c r="A204" s="24" t="s">
        <v>656</v>
      </c>
      <c r="B204" s="19" t="s">
        <v>657</v>
      </c>
      <c r="C204" s="19" t="s">
        <v>658</v>
      </c>
      <c r="D204" s="19" t="s">
        <v>1319</v>
      </c>
      <c r="E204" s="19" t="s">
        <v>1317</v>
      </c>
      <c r="F204" s="19" t="s">
        <v>1330</v>
      </c>
    </row>
    <row r="205">
      <c r="A205" s="24" t="s">
        <v>341</v>
      </c>
      <c r="B205" s="19" t="s">
        <v>342</v>
      </c>
      <c r="C205" s="19" t="s">
        <v>343</v>
      </c>
      <c r="D205" s="19" t="s">
        <v>1319</v>
      </c>
      <c r="E205" s="19" t="s">
        <v>1317</v>
      </c>
      <c r="F205" s="19" t="s">
        <v>1323</v>
      </c>
    </row>
    <row r="206">
      <c r="A206" s="24" t="s">
        <v>796</v>
      </c>
      <c r="B206" s="19" t="s">
        <v>797</v>
      </c>
      <c r="C206" s="19" t="s">
        <v>798</v>
      </c>
      <c r="D206" s="19" t="s">
        <v>1322</v>
      </c>
      <c r="E206" s="19" t="s">
        <v>1317</v>
      </c>
      <c r="F206" s="19" t="s">
        <v>1318</v>
      </c>
    </row>
    <row r="207">
      <c r="A207" s="24" t="s">
        <v>828</v>
      </c>
      <c r="B207" s="19" t="s">
        <v>829</v>
      </c>
      <c r="C207" s="19" t="s">
        <v>830</v>
      </c>
      <c r="D207" s="19" t="s">
        <v>1316</v>
      </c>
      <c r="E207" s="19" t="s">
        <v>1317</v>
      </c>
      <c r="F207" s="19" t="s">
        <v>1318</v>
      </c>
      <c r="G207" s="19"/>
    </row>
    <row r="208">
      <c r="A208" s="24" t="s">
        <v>526</v>
      </c>
      <c r="B208" s="19" t="s">
        <v>527</v>
      </c>
      <c r="C208" s="19" t="s">
        <v>528</v>
      </c>
      <c r="D208" s="19" t="s">
        <v>1316</v>
      </c>
      <c r="E208" s="19" t="s">
        <v>1317</v>
      </c>
      <c r="F208" s="19" t="s">
        <v>1323</v>
      </c>
    </row>
    <row r="209">
      <c r="A209" s="24" t="s">
        <v>767</v>
      </c>
      <c r="B209" s="19" t="s">
        <v>768</v>
      </c>
      <c r="C209" s="19" t="s">
        <v>769</v>
      </c>
      <c r="D209" s="19" t="s">
        <v>1319</v>
      </c>
      <c r="E209" s="19" t="s">
        <v>1317</v>
      </c>
      <c r="F209" s="19" t="s">
        <v>1318</v>
      </c>
    </row>
    <row r="210">
      <c r="A210" s="24" t="s">
        <v>49</v>
      </c>
      <c r="B210" s="19" t="s">
        <v>51</v>
      </c>
      <c r="C210" s="19" t="s">
        <v>50</v>
      </c>
      <c r="D210" s="19" t="s">
        <v>1322</v>
      </c>
      <c r="E210" s="19" t="s">
        <v>1320</v>
      </c>
      <c r="F210" s="19"/>
    </row>
    <row r="211">
      <c r="A211" s="24" t="s">
        <v>52</v>
      </c>
      <c r="B211" s="19" t="s">
        <v>54</v>
      </c>
      <c r="C211" s="19" t="s">
        <v>53</v>
      </c>
      <c r="D211" s="19" t="s">
        <v>1316</v>
      </c>
      <c r="E211" s="19" t="s">
        <v>1320</v>
      </c>
      <c r="F211" s="19"/>
      <c r="G211" s="19"/>
    </row>
    <row r="212">
      <c r="A212" s="24" t="s">
        <v>451</v>
      </c>
      <c r="B212" s="19" t="s">
        <v>452</v>
      </c>
      <c r="C212" s="19" t="s">
        <v>453</v>
      </c>
      <c r="D212" s="19" t="s">
        <v>1319</v>
      </c>
      <c r="E212" s="19" t="s">
        <v>1317</v>
      </c>
      <c r="F212" s="19" t="s">
        <v>1323</v>
      </c>
    </row>
    <row r="213">
      <c r="A213" s="24" t="s">
        <v>505</v>
      </c>
      <c r="B213" s="19" t="s">
        <v>506</v>
      </c>
      <c r="C213" s="19" t="s">
        <v>507</v>
      </c>
      <c r="D213" s="19" t="s">
        <v>1322</v>
      </c>
      <c r="E213" s="19" t="s">
        <v>1317</v>
      </c>
      <c r="F213" s="19" t="s">
        <v>1323</v>
      </c>
    </row>
    <row r="214">
      <c r="A214" s="24" t="s">
        <v>722</v>
      </c>
      <c r="B214" s="19" t="s">
        <v>723</v>
      </c>
      <c r="C214" s="19" t="s">
        <v>724</v>
      </c>
      <c r="D214" s="19" t="s">
        <v>1319</v>
      </c>
      <c r="E214" s="19" t="s">
        <v>1317</v>
      </c>
      <c r="F214" s="19" t="s">
        <v>1318</v>
      </c>
    </row>
    <row r="215">
      <c r="A215" s="24" t="s">
        <v>813</v>
      </c>
      <c r="B215" s="19" t="s">
        <v>814</v>
      </c>
      <c r="C215" s="19" t="s">
        <v>815</v>
      </c>
      <c r="D215" s="19" t="s">
        <v>1319</v>
      </c>
      <c r="E215" s="19" t="s">
        <v>1317</v>
      </c>
      <c r="F215" s="19" t="s">
        <v>1318</v>
      </c>
    </row>
    <row r="216">
      <c r="A216" s="24" t="s">
        <v>275</v>
      </c>
      <c r="B216" s="19" t="s">
        <v>276</v>
      </c>
      <c r="C216" s="19" t="s">
        <v>277</v>
      </c>
      <c r="D216" s="19" t="s">
        <v>1319</v>
      </c>
      <c r="E216" s="19" t="s">
        <v>1317</v>
      </c>
      <c r="F216" s="19" t="s">
        <v>1323</v>
      </c>
    </row>
    <row r="217">
      <c r="A217" s="24" t="s">
        <v>55</v>
      </c>
      <c r="B217" s="19" t="s">
        <v>57</v>
      </c>
      <c r="C217" s="19" t="s">
        <v>56</v>
      </c>
      <c r="D217" s="19" t="s">
        <v>1322</v>
      </c>
      <c r="E217" s="19" t="s">
        <v>1320</v>
      </c>
      <c r="F217" s="19"/>
    </row>
    <row r="218">
      <c r="A218" s="24" t="s">
        <v>597</v>
      </c>
      <c r="B218" s="19" t="s">
        <v>598</v>
      </c>
      <c r="C218" s="19" t="s">
        <v>599</v>
      </c>
      <c r="D218" s="19" t="s">
        <v>1316</v>
      </c>
      <c r="E218" s="19" t="s">
        <v>1317</v>
      </c>
      <c r="F218" s="19" t="s">
        <v>1326</v>
      </c>
      <c r="G218" s="19" t="s">
        <v>1328</v>
      </c>
    </row>
    <row r="219">
      <c r="A219" s="24" t="s">
        <v>542</v>
      </c>
      <c r="B219" s="19" t="s">
        <v>543</v>
      </c>
      <c r="C219" s="19" t="s">
        <v>544</v>
      </c>
      <c r="D219" s="19" t="s">
        <v>1316</v>
      </c>
      <c r="E219" s="19" t="s">
        <v>1317</v>
      </c>
      <c r="F219" s="19" t="s">
        <v>1326</v>
      </c>
      <c r="G219" s="19" t="s">
        <v>1331</v>
      </c>
    </row>
    <row r="220">
      <c r="A220" s="24" t="s">
        <v>289</v>
      </c>
      <c r="B220" s="19" t="s">
        <v>290</v>
      </c>
      <c r="C220" s="19" t="s">
        <v>291</v>
      </c>
      <c r="D220" s="19" t="s">
        <v>1319</v>
      </c>
      <c r="E220" s="19" t="s">
        <v>1317</v>
      </c>
      <c r="F220" s="19" t="s">
        <v>1323</v>
      </c>
    </row>
    <row r="221">
      <c r="A221" s="24" t="s">
        <v>433</v>
      </c>
      <c r="B221" s="19" t="s">
        <v>434</v>
      </c>
      <c r="C221" s="19" t="s">
        <v>435</v>
      </c>
      <c r="D221" s="19" t="s">
        <v>1322</v>
      </c>
      <c r="E221" s="19" t="s">
        <v>1317</v>
      </c>
      <c r="F221" s="19" t="s">
        <v>1323</v>
      </c>
    </row>
    <row r="222">
      <c r="A222" s="24" t="s">
        <v>470</v>
      </c>
      <c r="B222" s="19" t="s">
        <v>471</v>
      </c>
      <c r="C222" s="19" t="s">
        <v>472</v>
      </c>
      <c r="D222" s="19" t="s">
        <v>1322</v>
      </c>
      <c r="E222" s="19" t="s">
        <v>1317</v>
      </c>
      <c r="F222" s="19" t="s">
        <v>1323</v>
      </c>
    </row>
    <row r="223">
      <c r="A223" s="24" t="s">
        <v>650</v>
      </c>
      <c r="B223" s="19" t="s">
        <v>651</v>
      </c>
      <c r="C223" s="19" t="s">
        <v>652</v>
      </c>
      <c r="D223" s="19" t="s">
        <v>1319</v>
      </c>
      <c r="E223" s="19" t="s">
        <v>1317</v>
      </c>
      <c r="F223" s="19" t="s">
        <v>1323</v>
      </c>
    </row>
    <row r="224">
      <c r="A224" s="24" t="s">
        <v>445</v>
      </c>
      <c r="B224" s="19" t="s">
        <v>446</v>
      </c>
      <c r="C224" s="19" t="s">
        <v>447</v>
      </c>
      <c r="D224" s="19" t="s">
        <v>1316</v>
      </c>
      <c r="E224" s="19" t="s">
        <v>1317</v>
      </c>
      <c r="F224" s="19" t="s">
        <v>1323</v>
      </c>
      <c r="G224" s="19"/>
    </row>
    <row r="225">
      <c r="A225" s="24" t="s">
        <v>58</v>
      </c>
      <c r="B225" s="19" t="s">
        <v>60</v>
      </c>
      <c r="C225" s="19" t="s">
        <v>59</v>
      </c>
      <c r="D225" s="19" t="s">
        <v>1319</v>
      </c>
      <c r="E225" s="19" t="s">
        <v>1320</v>
      </c>
      <c r="F225" s="19"/>
    </row>
    <row r="226">
      <c r="A226" s="24" t="s">
        <v>476</v>
      </c>
      <c r="B226" s="19" t="s">
        <v>477</v>
      </c>
      <c r="C226" s="19" t="s">
        <v>478</v>
      </c>
      <c r="D226" s="19" t="s">
        <v>1316</v>
      </c>
      <c r="E226" s="19" t="s">
        <v>1317</v>
      </c>
      <c r="F226" s="19" t="s">
        <v>1323</v>
      </c>
    </row>
    <row r="227">
      <c r="A227" s="24" t="s">
        <v>278</v>
      </c>
      <c r="B227" s="19" t="s">
        <v>279</v>
      </c>
      <c r="C227" s="19" t="s">
        <v>280</v>
      </c>
      <c r="D227" s="19" t="s">
        <v>1322</v>
      </c>
      <c r="E227" s="19" t="s">
        <v>1317</v>
      </c>
      <c r="F227" s="19" t="s">
        <v>1323</v>
      </c>
    </row>
    <row r="228">
      <c r="A228" s="24" t="s">
        <v>401</v>
      </c>
      <c r="B228" s="19" t="s">
        <v>402</v>
      </c>
      <c r="C228" s="19" t="s">
        <v>403</v>
      </c>
      <c r="D228" s="19" t="s">
        <v>1322</v>
      </c>
      <c r="E228" s="19" t="s">
        <v>1317</v>
      </c>
      <c r="F228" s="19" t="s">
        <v>1326</v>
      </c>
    </row>
    <row r="229">
      <c r="A229" s="24" t="s">
        <v>307</v>
      </c>
      <c r="B229" s="19" t="s">
        <v>308</v>
      </c>
      <c r="C229" s="19" t="s">
        <v>309</v>
      </c>
      <c r="D229" s="19" t="s">
        <v>1319</v>
      </c>
      <c r="E229" s="19" t="s">
        <v>1317</v>
      </c>
      <c r="F229" s="19" t="s">
        <v>1323</v>
      </c>
    </row>
    <row r="230">
      <c r="A230" s="24" t="s">
        <v>235</v>
      </c>
      <c r="B230" s="19" t="s">
        <v>236</v>
      </c>
      <c r="C230" s="19" t="s">
        <v>237</v>
      </c>
      <c r="D230" s="19" t="s">
        <v>1316</v>
      </c>
      <c r="E230" s="19" t="s">
        <v>1317</v>
      </c>
      <c r="F230" s="19" t="s">
        <v>1326</v>
      </c>
      <c r="G230" s="19" t="s">
        <v>1327</v>
      </c>
    </row>
    <row r="231">
      <c r="A231" s="24" t="s">
        <v>310</v>
      </c>
      <c r="B231" s="19" t="s">
        <v>311</v>
      </c>
      <c r="C231" s="19" t="s">
        <v>312</v>
      </c>
      <c r="D231" s="19" t="s">
        <v>1316</v>
      </c>
      <c r="E231" s="19" t="s">
        <v>1317</v>
      </c>
      <c r="F231" s="19" t="s">
        <v>1323</v>
      </c>
      <c r="G231" s="19"/>
    </row>
    <row r="232">
      <c r="A232" s="24" t="s">
        <v>643</v>
      </c>
      <c r="B232" s="19" t="s">
        <v>644</v>
      </c>
      <c r="C232" s="19" t="s">
        <v>645</v>
      </c>
      <c r="D232" s="19" t="s">
        <v>1316</v>
      </c>
      <c r="E232" s="19" t="s">
        <v>1317</v>
      </c>
      <c r="F232" s="19" t="s">
        <v>1323</v>
      </c>
    </row>
    <row r="233">
      <c r="A233" s="24" t="s">
        <v>61</v>
      </c>
      <c r="B233" s="19" t="s">
        <v>63</v>
      </c>
      <c r="C233" s="19" t="s">
        <v>62</v>
      </c>
      <c r="D233" s="19" t="s">
        <v>1316</v>
      </c>
      <c r="E233" s="19" t="s">
        <v>1320</v>
      </c>
      <c r="F233" s="19" t="s">
        <v>1326</v>
      </c>
    </row>
    <row r="234">
      <c r="A234" s="24" t="s">
        <v>585</v>
      </c>
      <c r="B234" s="19" t="s">
        <v>586</v>
      </c>
      <c r="C234" s="19" t="s">
        <v>587</v>
      </c>
      <c r="D234" s="19" t="s">
        <v>1316</v>
      </c>
      <c r="E234" s="19" t="s">
        <v>1317</v>
      </c>
      <c r="F234" s="19" t="s">
        <v>1323</v>
      </c>
    </row>
    <row r="235">
      <c r="A235" s="24" t="s">
        <v>490</v>
      </c>
      <c r="B235" s="19" t="s">
        <v>491</v>
      </c>
      <c r="C235" s="19" t="s">
        <v>492</v>
      </c>
      <c r="D235" s="19" t="s">
        <v>1322</v>
      </c>
      <c r="E235" s="19" t="s">
        <v>1317</v>
      </c>
      <c r="F235" s="19" t="s">
        <v>1323</v>
      </c>
    </row>
    <row r="236">
      <c r="A236" s="24" t="s">
        <v>638</v>
      </c>
      <c r="B236" s="19" t="s">
        <v>639</v>
      </c>
      <c r="C236" s="19" t="s">
        <v>640</v>
      </c>
      <c r="D236" s="19" t="s">
        <v>1322</v>
      </c>
      <c r="E236" s="19" t="s">
        <v>1317</v>
      </c>
      <c r="F236" s="19" t="s">
        <v>1323</v>
      </c>
    </row>
    <row r="237">
      <c r="A237" s="24" t="s">
        <v>773</v>
      </c>
      <c r="B237" s="19" t="s">
        <v>774</v>
      </c>
      <c r="C237" s="19" t="s">
        <v>775</v>
      </c>
      <c r="D237" s="19" t="s">
        <v>1322</v>
      </c>
      <c r="E237" s="19" t="s">
        <v>1317</v>
      </c>
      <c r="F237" s="19" t="s">
        <v>1323</v>
      </c>
    </row>
    <row r="238">
      <c r="A238" s="24" t="s">
        <v>313</v>
      </c>
      <c r="B238" s="19" t="s">
        <v>314</v>
      </c>
      <c r="C238" s="19" t="s">
        <v>315</v>
      </c>
      <c r="D238" s="19" t="s">
        <v>1316</v>
      </c>
      <c r="E238" s="19" t="s">
        <v>1317</v>
      </c>
      <c r="F238" s="19" t="s">
        <v>1326</v>
      </c>
      <c r="G238" s="19" t="s">
        <v>1328</v>
      </c>
    </row>
    <row r="239">
      <c r="A239" s="24" t="s">
        <v>64</v>
      </c>
      <c r="B239" s="19" t="s">
        <v>66</v>
      </c>
      <c r="C239" s="19" t="s">
        <v>65</v>
      </c>
      <c r="D239" s="19" t="s">
        <v>1322</v>
      </c>
      <c r="E239" s="19" t="s">
        <v>1320</v>
      </c>
      <c r="F239" s="28"/>
    </row>
    <row r="240">
      <c r="A240" s="24" t="s">
        <v>532</v>
      </c>
      <c r="B240" s="19" t="s">
        <v>533</v>
      </c>
      <c r="C240" s="19" t="s">
        <v>534</v>
      </c>
      <c r="D240" s="19" t="s">
        <v>1319</v>
      </c>
      <c r="E240" s="19" t="s">
        <v>1317</v>
      </c>
      <c r="F240" s="19" t="s">
        <v>1323</v>
      </c>
    </row>
    <row r="241">
      <c r="A241" s="24" t="s">
        <v>67</v>
      </c>
      <c r="B241" s="19" t="s">
        <v>69</v>
      </c>
      <c r="C241" s="19" t="s">
        <v>68</v>
      </c>
      <c r="D241" s="19" t="s">
        <v>1322</v>
      </c>
      <c r="E241" s="19" t="s">
        <v>1320</v>
      </c>
      <c r="F241" s="28"/>
    </row>
    <row r="242">
      <c r="A242" s="24" t="s">
        <v>361</v>
      </c>
      <c r="B242" s="19" t="s">
        <v>362</v>
      </c>
      <c r="C242" s="19" t="s">
        <v>363</v>
      </c>
      <c r="D242" s="19" t="s">
        <v>1319</v>
      </c>
      <c r="E242" s="19" t="s">
        <v>1317</v>
      </c>
      <c r="F242" s="19" t="s">
        <v>1326</v>
      </c>
    </row>
    <row r="243">
      <c r="A243" s="24" t="s">
        <v>600</v>
      </c>
      <c r="B243" s="19" t="s">
        <v>601</v>
      </c>
      <c r="C243" s="19" t="s">
        <v>602</v>
      </c>
      <c r="D243" s="19" t="s">
        <v>1319</v>
      </c>
      <c r="E243" s="19" t="s">
        <v>1317</v>
      </c>
      <c r="F243" s="19" t="s">
        <v>1323</v>
      </c>
    </row>
    <row r="244">
      <c r="A244" s="24" t="s">
        <v>810</v>
      </c>
      <c r="B244" s="19" t="s">
        <v>811</v>
      </c>
      <c r="C244" s="19" t="s">
        <v>812</v>
      </c>
      <c r="D244" s="19" t="s">
        <v>1319</v>
      </c>
      <c r="E244" s="19" t="s">
        <v>1317</v>
      </c>
      <c r="F244" s="19" t="s">
        <v>1318</v>
      </c>
    </row>
    <row r="245">
      <c r="A245" s="24" t="s">
        <v>781</v>
      </c>
      <c r="B245" s="19" t="s">
        <v>782</v>
      </c>
      <c r="C245" s="19" t="s">
        <v>783</v>
      </c>
      <c r="D245" s="19" t="s">
        <v>1316</v>
      </c>
      <c r="E245" s="19" t="s">
        <v>1317</v>
      </c>
      <c r="F245" s="19" t="s">
        <v>1326</v>
      </c>
      <c r="G245" s="19" t="s">
        <v>1329</v>
      </c>
    </row>
    <row r="246">
      <c r="A246" s="24" t="s">
        <v>759</v>
      </c>
      <c r="B246" s="19" t="s">
        <v>760</v>
      </c>
      <c r="C246" s="19" t="s">
        <v>761</v>
      </c>
      <c r="D246" s="19" t="s">
        <v>1319</v>
      </c>
      <c r="E246" s="19" t="s">
        <v>1317</v>
      </c>
      <c r="F246" s="19" t="s">
        <v>1326</v>
      </c>
    </row>
    <row r="247">
      <c r="A247" s="24" t="s">
        <v>473</v>
      </c>
      <c r="B247" s="19" t="s">
        <v>474</v>
      </c>
      <c r="C247" s="19" t="s">
        <v>475</v>
      </c>
      <c r="D247" s="19" t="s">
        <v>1316</v>
      </c>
      <c r="E247" s="19" t="s">
        <v>1317</v>
      </c>
      <c r="F247" s="19" t="s">
        <v>1323</v>
      </c>
    </row>
    <row r="248">
      <c r="A248" s="24" t="s">
        <v>479</v>
      </c>
      <c r="B248" s="19" t="s">
        <v>480</v>
      </c>
      <c r="C248" s="19" t="s">
        <v>481</v>
      </c>
      <c r="D248" s="19" t="s">
        <v>1319</v>
      </c>
      <c r="E248" s="19" t="s">
        <v>1317</v>
      </c>
      <c r="F248" s="19" t="s">
        <v>1323</v>
      </c>
    </row>
    <row r="249">
      <c r="A249" s="24" t="s">
        <v>248</v>
      </c>
      <c r="B249" s="19" t="s">
        <v>249</v>
      </c>
      <c r="C249" s="19" t="s">
        <v>250</v>
      </c>
      <c r="D249" s="19" t="s">
        <v>1316</v>
      </c>
      <c r="E249" s="19" t="s">
        <v>1317</v>
      </c>
      <c r="F249" s="19" t="s">
        <v>1326</v>
      </c>
    </row>
    <row r="250">
      <c r="A250" s="24" t="s">
        <v>539</v>
      </c>
      <c r="B250" s="19" t="s">
        <v>540</v>
      </c>
      <c r="C250" s="19" t="s">
        <v>541</v>
      </c>
      <c r="D250" s="19" t="s">
        <v>1322</v>
      </c>
      <c r="E250" s="19" t="s">
        <v>1317</v>
      </c>
      <c r="F250" s="19" t="s">
        <v>1323</v>
      </c>
    </row>
    <row r="251">
      <c r="A251" s="24" t="s">
        <v>70</v>
      </c>
      <c r="B251" s="19" t="s">
        <v>72</v>
      </c>
      <c r="C251" s="19" t="s">
        <v>71</v>
      </c>
      <c r="D251" s="19" t="s">
        <v>1316</v>
      </c>
      <c r="E251" s="19" t="s">
        <v>1320</v>
      </c>
      <c r="F251" s="28"/>
      <c r="G251" s="19"/>
    </row>
    <row r="252">
      <c r="A252" s="24" t="s">
        <v>764</v>
      </c>
      <c r="B252" s="19" t="s">
        <v>765</v>
      </c>
      <c r="C252" s="19" t="s">
        <v>766</v>
      </c>
      <c r="D252" s="19" t="s">
        <v>1322</v>
      </c>
      <c r="E252" s="19" t="s">
        <v>1317</v>
      </c>
      <c r="F252" s="19" t="s">
        <v>1323</v>
      </c>
    </row>
    <row r="253">
      <c r="A253" s="24" t="s">
        <v>367</v>
      </c>
      <c r="B253" s="19" t="s">
        <v>368</v>
      </c>
      <c r="C253" s="19" t="s">
        <v>369</v>
      </c>
      <c r="D253" s="19" t="s">
        <v>1319</v>
      </c>
      <c r="E253" s="19" t="s">
        <v>1317</v>
      </c>
      <c r="F253" s="19" t="s">
        <v>1323</v>
      </c>
    </row>
    <row r="254">
      <c r="A254" s="24" t="s">
        <v>556</v>
      </c>
      <c r="B254" s="19" t="s">
        <v>557</v>
      </c>
      <c r="C254" s="19" t="s">
        <v>558</v>
      </c>
      <c r="D254" s="19" t="s">
        <v>1319</v>
      </c>
      <c r="E254" s="19" t="s">
        <v>1317</v>
      </c>
      <c r="F254" s="19" t="s">
        <v>1323</v>
      </c>
    </row>
    <row r="255">
      <c r="A255" s="24" t="s">
        <v>303</v>
      </c>
      <c r="B255" s="19" t="s">
        <v>304</v>
      </c>
      <c r="C255" s="19" t="s">
        <v>305</v>
      </c>
      <c r="D255" s="19" t="s">
        <v>1319</v>
      </c>
      <c r="E255" s="19" t="s">
        <v>1317</v>
      </c>
      <c r="F255" s="19" t="s">
        <v>1323</v>
      </c>
    </row>
    <row r="256">
      <c r="A256" s="24" t="s">
        <v>392</v>
      </c>
      <c r="B256" s="19" t="s">
        <v>393</v>
      </c>
      <c r="C256" s="19" t="s">
        <v>394</v>
      </c>
      <c r="D256" s="19" t="s">
        <v>1319</v>
      </c>
      <c r="E256" s="19" t="s">
        <v>1317</v>
      </c>
      <c r="F256" s="19" t="s">
        <v>1323</v>
      </c>
    </row>
    <row r="257">
      <c r="A257" s="24" t="s">
        <v>73</v>
      </c>
      <c r="B257" s="19" t="s">
        <v>75</v>
      </c>
      <c r="C257" s="19" t="s">
        <v>74</v>
      </c>
      <c r="D257" s="19" t="s">
        <v>1316</v>
      </c>
      <c r="E257" s="19" t="s">
        <v>1320</v>
      </c>
      <c r="F257" s="28"/>
    </row>
    <row r="258">
      <c r="A258" s="24" t="s">
        <v>624</v>
      </c>
      <c r="B258" s="19" t="s">
        <v>625</v>
      </c>
      <c r="C258" s="19" t="s">
        <v>626</v>
      </c>
      <c r="D258" s="19" t="s">
        <v>1316</v>
      </c>
      <c r="E258" s="19" t="s">
        <v>1317</v>
      </c>
      <c r="F258" s="19" t="s">
        <v>1323</v>
      </c>
    </row>
    <row r="259">
      <c r="A259" s="24" t="s">
        <v>76</v>
      </c>
      <c r="B259" s="19" t="s">
        <v>78</v>
      </c>
      <c r="C259" s="19" t="s">
        <v>77</v>
      </c>
      <c r="D259" s="19" t="s">
        <v>1322</v>
      </c>
      <c r="E259" s="19" t="s">
        <v>1320</v>
      </c>
      <c r="F259" s="28"/>
    </row>
    <row r="260">
      <c r="A260" s="24" t="s">
        <v>457</v>
      </c>
      <c r="B260" s="19" t="s">
        <v>458</v>
      </c>
      <c r="C260" s="19" t="s">
        <v>459</v>
      </c>
      <c r="D260" s="19" t="s">
        <v>1316</v>
      </c>
      <c r="E260" s="19" t="s">
        <v>1317</v>
      </c>
      <c r="F260" s="19" t="s">
        <v>1326</v>
      </c>
      <c r="G260" s="19" t="s">
        <v>1329</v>
      </c>
    </row>
    <row r="261">
      <c r="A261" s="24" t="s">
        <v>436</v>
      </c>
      <c r="B261" s="19" t="s">
        <v>437</v>
      </c>
      <c r="C261" s="19" t="s">
        <v>438</v>
      </c>
      <c r="D261" s="19" t="s">
        <v>1322</v>
      </c>
      <c r="E261" s="19" t="s">
        <v>1317</v>
      </c>
      <c r="F261" s="19" t="s">
        <v>1323</v>
      </c>
    </row>
    <row r="262">
      <c r="A262" s="24" t="s">
        <v>260</v>
      </c>
      <c r="B262" s="19" t="s">
        <v>261</v>
      </c>
      <c r="C262" s="19" t="s">
        <v>262</v>
      </c>
      <c r="D262" s="19" t="s">
        <v>1319</v>
      </c>
      <c r="E262" s="19" t="s">
        <v>1317</v>
      </c>
      <c r="F262" s="19" t="s">
        <v>1323</v>
      </c>
    </row>
    <row r="263">
      <c r="A263" s="24" t="s">
        <v>463</v>
      </c>
      <c r="B263" s="19" t="s">
        <v>464</v>
      </c>
      <c r="C263" s="19" t="s">
        <v>465</v>
      </c>
      <c r="D263" s="19" t="s">
        <v>1316</v>
      </c>
      <c r="E263" s="19" t="s">
        <v>1317</v>
      </c>
      <c r="F263" s="19" t="s">
        <v>1326</v>
      </c>
      <c r="G263" s="19" t="s">
        <v>1332</v>
      </c>
    </row>
    <row r="264">
      <c r="A264" s="24" t="s">
        <v>659</v>
      </c>
      <c r="B264" s="19" t="s">
        <v>660</v>
      </c>
      <c r="C264" s="19" t="s">
        <v>661</v>
      </c>
      <c r="D264" s="19" t="s">
        <v>1322</v>
      </c>
      <c r="E264" s="19" t="s">
        <v>1317</v>
      </c>
      <c r="F264" s="19" t="s">
        <v>1318</v>
      </c>
    </row>
    <row r="265">
      <c r="A265" s="24" t="s">
        <v>1237</v>
      </c>
      <c r="B265" s="19" t="s">
        <v>1238</v>
      </c>
      <c r="C265" s="19" t="s">
        <v>1239</v>
      </c>
      <c r="D265" s="19" t="s">
        <v>1322</v>
      </c>
      <c r="E265" s="19" t="s">
        <v>1317</v>
      </c>
      <c r="F265" s="19" t="s">
        <v>1326</v>
      </c>
    </row>
    <row r="266">
      <c r="A266" s="24" t="s">
        <v>493</v>
      </c>
      <c r="B266" s="19" t="s">
        <v>494</v>
      </c>
      <c r="C266" s="19" t="s">
        <v>495</v>
      </c>
      <c r="D266" s="19" t="s">
        <v>1322</v>
      </c>
      <c r="E266" s="19" t="s">
        <v>1317</v>
      </c>
      <c r="F266" s="19" t="s">
        <v>1324</v>
      </c>
    </row>
    <row r="267">
      <c r="A267" s="24" t="s">
        <v>606</v>
      </c>
      <c r="B267" s="19" t="s">
        <v>607</v>
      </c>
      <c r="C267" s="19" t="s">
        <v>608</v>
      </c>
      <c r="D267" s="19" t="s">
        <v>1322</v>
      </c>
      <c r="E267" s="19" t="s">
        <v>1317</v>
      </c>
      <c r="F267" s="19" t="s">
        <v>1323</v>
      </c>
    </row>
    <row r="268">
      <c r="A268" s="24" t="s">
        <v>460</v>
      </c>
      <c r="B268" s="19" t="s">
        <v>461</v>
      </c>
      <c r="C268" s="19" t="s">
        <v>462</v>
      </c>
      <c r="D268" s="19" t="s">
        <v>1316</v>
      </c>
      <c r="E268" s="19" t="s">
        <v>1317</v>
      </c>
      <c r="F268" s="19" t="s">
        <v>1323</v>
      </c>
    </row>
    <row r="269">
      <c r="A269" s="24" t="s">
        <v>621</v>
      </c>
      <c r="B269" s="19" t="s">
        <v>622</v>
      </c>
      <c r="C269" s="19" t="s">
        <v>623</v>
      </c>
      <c r="D269" s="19" t="s">
        <v>1322</v>
      </c>
      <c r="E269" s="19" t="s">
        <v>1317</v>
      </c>
      <c r="F269" s="19" t="s">
        <v>1323</v>
      </c>
    </row>
    <row r="270">
      <c r="A270" s="24" t="s">
        <v>427</v>
      </c>
      <c r="B270" s="19" t="s">
        <v>428</v>
      </c>
      <c r="C270" s="19" t="s">
        <v>429</v>
      </c>
      <c r="D270" s="19" t="s">
        <v>1319</v>
      </c>
      <c r="E270" s="19" t="s">
        <v>1317</v>
      </c>
      <c r="F270" s="19" t="s">
        <v>1323</v>
      </c>
      <c r="G270" s="19" t="s">
        <v>1333</v>
      </c>
    </row>
    <row r="271">
      <c r="A271" s="24" t="s">
        <v>770</v>
      </c>
      <c r="B271" s="19" t="s">
        <v>771</v>
      </c>
      <c r="C271" s="19" t="s">
        <v>772</v>
      </c>
      <c r="D271" s="19" t="s">
        <v>1322</v>
      </c>
      <c r="E271" s="19" t="s">
        <v>1317</v>
      </c>
      <c r="F271" s="19" t="s">
        <v>1318</v>
      </c>
    </row>
    <row r="272">
      <c r="A272" s="24" t="s">
        <v>514</v>
      </c>
      <c r="B272" s="19" t="s">
        <v>515</v>
      </c>
      <c r="C272" s="19" t="s">
        <v>516</v>
      </c>
      <c r="D272" s="19" t="s">
        <v>1316</v>
      </c>
      <c r="E272" s="19" t="s">
        <v>1317</v>
      </c>
      <c r="F272" s="19" t="s">
        <v>1326</v>
      </c>
      <c r="G272" s="19" t="s">
        <v>1334</v>
      </c>
    </row>
    <row r="273">
      <c r="A273" s="24" t="s">
        <v>681</v>
      </c>
      <c r="B273" s="19" t="s">
        <v>682</v>
      </c>
      <c r="C273" s="19" t="s">
        <v>683</v>
      </c>
      <c r="D273" s="19" t="s">
        <v>1316</v>
      </c>
      <c r="E273" s="19" t="s">
        <v>1317</v>
      </c>
      <c r="F273" s="19" t="s">
        <v>1318</v>
      </c>
    </row>
    <row r="274">
      <c r="A274" s="24" t="s">
        <v>352</v>
      </c>
      <c r="B274" s="19" t="s">
        <v>353</v>
      </c>
      <c r="C274" s="19" t="s">
        <v>354</v>
      </c>
      <c r="D274" s="19" t="s">
        <v>1319</v>
      </c>
      <c r="E274" s="19" t="s">
        <v>1317</v>
      </c>
      <c r="F274" s="19" t="s">
        <v>1335</v>
      </c>
      <c r="G274" s="19" t="s">
        <v>1336</v>
      </c>
    </row>
    <row r="275">
      <c r="A275" s="24" t="s">
        <v>355</v>
      </c>
      <c r="B275" s="19" t="s">
        <v>356</v>
      </c>
      <c r="C275" s="19" t="s">
        <v>357</v>
      </c>
      <c r="D275" s="19" t="s">
        <v>1322</v>
      </c>
      <c r="E275" s="19" t="s">
        <v>1317</v>
      </c>
      <c r="F275" s="19" t="s">
        <v>1323</v>
      </c>
    </row>
    <row r="276">
      <c r="A276" s="24" t="s">
        <v>257</v>
      </c>
      <c r="B276" s="19" t="s">
        <v>258</v>
      </c>
      <c r="C276" s="19" t="s">
        <v>259</v>
      </c>
      <c r="D276" s="19" t="s">
        <v>1316</v>
      </c>
      <c r="E276" s="19" t="s">
        <v>1317</v>
      </c>
      <c r="F276" s="19" t="s">
        <v>1326</v>
      </c>
      <c r="G276" s="19" t="s">
        <v>1327</v>
      </c>
    </row>
    <row r="277">
      <c r="A277" s="24" t="s">
        <v>787</v>
      </c>
      <c r="B277" s="19" t="s">
        <v>788</v>
      </c>
      <c r="C277" s="19" t="s">
        <v>789</v>
      </c>
      <c r="D277" s="19" t="s">
        <v>1319</v>
      </c>
      <c r="E277" s="19" t="s">
        <v>1317</v>
      </c>
      <c r="F277" s="19" t="s">
        <v>1318</v>
      </c>
    </row>
    <row r="278">
      <c r="A278" s="24" t="s">
        <v>790</v>
      </c>
      <c r="B278" s="19" t="s">
        <v>791</v>
      </c>
      <c r="C278" s="19" t="s">
        <v>792</v>
      </c>
      <c r="D278" s="19" t="s">
        <v>1319</v>
      </c>
      <c r="E278" s="19" t="s">
        <v>1317</v>
      </c>
      <c r="F278" s="19" t="s">
        <v>1318</v>
      </c>
    </row>
    <row r="279">
      <c r="A279" s="24" t="s">
        <v>517</v>
      </c>
      <c r="B279" s="19" t="s">
        <v>518</v>
      </c>
      <c r="C279" s="19" t="s">
        <v>519</v>
      </c>
      <c r="D279" s="19" t="s">
        <v>1319</v>
      </c>
      <c r="E279" s="19" t="s">
        <v>1317</v>
      </c>
      <c r="F279" s="19" t="s">
        <v>1323</v>
      </c>
    </row>
    <row r="280">
      <c r="A280" s="24" t="s">
        <v>615</v>
      </c>
      <c r="B280" s="19" t="s">
        <v>616</v>
      </c>
      <c r="C280" s="19" t="s">
        <v>617</v>
      </c>
      <c r="D280" s="19" t="s">
        <v>1319</v>
      </c>
      <c r="E280" s="19" t="s">
        <v>1317</v>
      </c>
      <c r="F280" s="19" t="s">
        <v>1323</v>
      </c>
    </row>
    <row r="281">
      <c r="A281" s="24" t="s">
        <v>338</v>
      </c>
      <c r="B281" s="19" t="s">
        <v>339</v>
      </c>
      <c r="C281" s="19" t="s">
        <v>340</v>
      </c>
      <c r="D281" s="19" t="s">
        <v>1316</v>
      </c>
      <c r="E281" s="19" t="s">
        <v>1317</v>
      </c>
      <c r="F281" s="19" t="s">
        <v>1323</v>
      </c>
    </row>
    <row r="282">
      <c r="A282" s="24" t="s">
        <v>508</v>
      </c>
      <c r="B282" s="19" t="s">
        <v>509</v>
      </c>
      <c r="C282" s="19" t="s">
        <v>510</v>
      </c>
      <c r="D282" s="19" t="s">
        <v>1319</v>
      </c>
      <c r="E282" s="19" t="s">
        <v>1317</v>
      </c>
      <c r="F282" s="19" t="s">
        <v>1323</v>
      </c>
      <c r="G282" s="19" t="s">
        <v>1337</v>
      </c>
    </row>
    <row r="283">
      <c r="A283" s="24" t="s">
        <v>612</v>
      </c>
      <c r="B283" s="19" t="s">
        <v>613</v>
      </c>
      <c r="C283" s="19" t="s">
        <v>614</v>
      </c>
      <c r="D283" s="19" t="s">
        <v>1319</v>
      </c>
      <c r="E283" s="19" t="s">
        <v>1317</v>
      </c>
      <c r="F283" s="19" t="s">
        <v>1326</v>
      </c>
    </row>
    <row r="284">
      <c r="A284" s="24" t="s">
        <v>499</v>
      </c>
      <c r="B284" s="19" t="s">
        <v>500</v>
      </c>
      <c r="C284" s="19" t="s">
        <v>501</v>
      </c>
      <c r="D284" s="19" t="s">
        <v>1316</v>
      </c>
      <c r="E284" s="19" t="s">
        <v>1317</v>
      </c>
      <c r="F284" s="19" t="s">
        <v>1323</v>
      </c>
      <c r="G284" s="19"/>
    </row>
    <row r="285">
      <c r="A285" s="24" t="s">
        <v>238</v>
      </c>
      <c r="B285" s="19" t="s">
        <v>239</v>
      </c>
      <c r="C285" s="19" t="s">
        <v>240</v>
      </c>
      <c r="D285" s="19" t="s">
        <v>1316</v>
      </c>
      <c r="E285" s="19" t="s">
        <v>1317</v>
      </c>
      <c r="F285" s="19" t="s">
        <v>1323</v>
      </c>
    </row>
    <row r="286">
      <c r="A286" s="24" t="s">
        <v>487</v>
      </c>
      <c r="B286" s="19" t="s">
        <v>488</v>
      </c>
      <c r="C286" s="19" t="s">
        <v>489</v>
      </c>
      <c r="D286" s="19" t="s">
        <v>1319</v>
      </c>
      <c r="E286" s="19" t="s">
        <v>1317</v>
      </c>
      <c r="F286" s="19" t="s">
        <v>1323</v>
      </c>
    </row>
    <row r="287">
      <c r="A287" s="24" t="s">
        <v>548</v>
      </c>
      <c r="B287" s="19" t="s">
        <v>549</v>
      </c>
      <c r="C287" s="19" t="s">
        <v>550</v>
      </c>
      <c r="D287" s="19" t="s">
        <v>1319</v>
      </c>
      <c r="E287" s="19" t="s">
        <v>1317</v>
      </c>
      <c r="F287" s="19" t="s">
        <v>1323</v>
      </c>
    </row>
    <row r="288">
      <c r="A288" s="24" t="s">
        <v>579</v>
      </c>
      <c r="B288" s="19" t="s">
        <v>580</v>
      </c>
      <c r="C288" s="19" t="s">
        <v>581</v>
      </c>
      <c r="D288" s="19" t="s">
        <v>1322</v>
      </c>
      <c r="E288" s="19" t="s">
        <v>1317</v>
      </c>
      <c r="F288" s="19" t="s">
        <v>1323</v>
      </c>
    </row>
    <row r="289">
      <c r="A289" s="24" t="s">
        <v>316</v>
      </c>
      <c r="B289" s="19" t="s">
        <v>317</v>
      </c>
      <c r="C289" s="19" t="s">
        <v>318</v>
      </c>
      <c r="D289" s="19" t="s">
        <v>1316</v>
      </c>
      <c r="E289" s="19" t="s">
        <v>1317</v>
      </c>
      <c r="F289" s="19" t="s">
        <v>1323</v>
      </c>
      <c r="G289" s="19"/>
    </row>
    <row r="290">
      <c r="A290" s="24" t="s">
        <v>582</v>
      </c>
      <c r="B290" s="19" t="s">
        <v>583</v>
      </c>
      <c r="C290" s="19" t="s">
        <v>584</v>
      </c>
      <c r="D290" s="19" t="s">
        <v>1319</v>
      </c>
      <c r="E290" s="19" t="s">
        <v>1317</v>
      </c>
      <c r="F290" s="19" t="s">
        <v>1323</v>
      </c>
    </row>
    <row r="291">
      <c r="A291" s="24" t="s">
        <v>79</v>
      </c>
      <c r="B291" s="19" t="s">
        <v>81</v>
      </c>
      <c r="C291" s="19" t="s">
        <v>80</v>
      </c>
      <c r="D291" s="19" t="s">
        <v>1319</v>
      </c>
      <c r="E291" s="19" t="s">
        <v>1317</v>
      </c>
      <c r="F291" s="19" t="s">
        <v>1323</v>
      </c>
    </row>
    <row r="292">
      <c r="A292" s="24" t="s">
        <v>430</v>
      </c>
      <c r="B292" s="19" t="s">
        <v>431</v>
      </c>
      <c r="C292" s="19" t="s">
        <v>432</v>
      </c>
      <c r="D292" s="19" t="s">
        <v>1316</v>
      </c>
      <c r="E292" s="19" t="s">
        <v>1317</v>
      </c>
      <c r="F292" s="19" t="s">
        <v>1323</v>
      </c>
    </row>
    <row r="293">
      <c r="A293" s="24" t="s">
        <v>565</v>
      </c>
      <c r="B293" s="19" t="s">
        <v>566</v>
      </c>
      <c r="C293" s="19" t="s">
        <v>567</v>
      </c>
      <c r="D293" s="19" t="s">
        <v>1319</v>
      </c>
      <c r="E293" s="19" t="s">
        <v>1317</v>
      </c>
      <c r="F293" s="19" t="s">
        <v>1323</v>
      </c>
    </row>
    <row r="294">
      <c r="A294" s="24" t="s">
        <v>370</v>
      </c>
      <c r="B294" s="19" t="s">
        <v>371</v>
      </c>
      <c r="C294" s="19" t="s">
        <v>372</v>
      </c>
      <c r="D294" s="19" t="s">
        <v>1316</v>
      </c>
      <c r="E294" s="19" t="s">
        <v>1317</v>
      </c>
      <c r="F294" s="19" t="s">
        <v>1323</v>
      </c>
    </row>
    <row r="295">
      <c r="A295" s="24" t="s">
        <v>588</v>
      </c>
      <c r="B295" s="19" t="s">
        <v>589</v>
      </c>
      <c r="C295" s="19" t="s">
        <v>590</v>
      </c>
      <c r="D295" s="19" t="s">
        <v>1316</v>
      </c>
      <c r="E295" s="19" t="s">
        <v>1317</v>
      </c>
      <c r="F295" s="19" t="s">
        <v>1323</v>
      </c>
    </row>
    <row r="296">
      <c r="A296" s="24" t="s">
        <v>349</v>
      </c>
      <c r="B296" s="19" t="s">
        <v>350</v>
      </c>
      <c r="C296" s="19" t="s">
        <v>351</v>
      </c>
      <c r="D296" s="19" t="s">
        <v>1319</v>
      </c>
      <c r="E296" s="19" t="s">
        <v>1317</v>
      </c>
      <c r="F296" s="19" t="s">
        <v>1323</v>
      </c>
      <c r="G296" s="19" t="s">
        <v>1338</v>
      </c>
    </row>
    <row r="297">
      <c r="A297" s="24" t="s">
        <v>784</v>
      </c>
      <c r="B297" s="19" t="s">
        <v>785</v>
      </c>
      <c r="C297" s="19" t="s">
        <v>786</v>
      </c>
      <c r="D297" s="19" t="s">
        <v>1316</v>
      </c>
      <c r="E297" s="19" t="s">
        <v>1317</v>
      </c>
      <c r="F297" s="19" t="s">
        <v>1318</v>
      </c>
    </row>
    <row r="298">
      <c r="A298" s="24" t="s">
        <v>398</v>
      </c>
      <c r="B298" s="19" t="s">
        <v>399</v>
      </c>
      <c r="C298" s="19" t="s">
        <v>400</v>
      </c>
      <c r="D298" s="19" t="s">
        <v>1322</v>
      </c>
      <c r="E298" s="19" t="s">
        <v>1317</v>
      </c>
      <c r="F298" s="19" t="s">
        <v>1323</v>
      </c>
    </row>
    <row r="299">
      <c r="A299" s="24" t="s">
        <v>229</v>
      </c>
      <c r="B299" s="19" t="s">
        <v>230</v>
      </c>
      <c r="C299" s="19" t="s">
        <v>231</v>
      </c>
      <c r="D299" s="19" t="s">
        <v>1316</v>
      </c>
      <c r="E299" s="19" t="s">
        <v>1317</v>
      </c>
      <c r="F299" s="19" t="s">
        <v>1323</v>
      </c>
    </row>
    <row r="300">
      <c r="A300" s="24" t="s">
        <v>373</v>
      </c>
      <c r="B300" s="19" t="s">
        <v>374</v>
      </c>
      <c r="C300" s="19" t="s">
        <v>375</v>
      </c>
      <c r="D300" s="19" t="s">
        <v>1319</v>
      </c>
      <c r="E300" s="19" t="s">
        <v>1317</v>
      </c>
      <c r="F300" s="19" t="s">
        <v>1323</v>
      </c>
    </row>
    <row r="301">
      <c r="A301" s="24" t="s">
        <v>559</v>
      </c>
      <c r="B301" s="19" t="s">
        <v>560</v>
      </c>
      <c r="C301" s="19" t="s">
        <v>561</v>
      </c>
      <c r="D301" s="19" t="s">
        <v>1316</v>
      </c>
      <c r="E301" s="19" t="s">
        <v>1317</v>
      </c>
      <c r="F301" s="19" t="s">
        <v>1323</v>
      </c>
    </row>
    <row r="302">
      <c r="A302" s="24" t="s">
        <v>387</v>
      </c>
      <c r="B302" s="19" t="s">
        <v>388</v>
      </c>
      <c r="C302" s="19" t="s">
        <v>389</v>
      </c>
      <c r="D302" s="19" t="s">
        <v>1316</v>
      </c>
      <c r="E302" s="19" t="s">
        <v>1317</v>
      </c>
      <c r="F302" s="19" t="s">
        <v>1323</v>
      </c>
    </row>
    <row r="303">
      <c r="A303" s="24" t="s">
        <v>82</v>
      </c>
      <c r="B303" s="19" t="s">
        <v>84</v>
      </c>
      <c r="C303" s="19" t="s">
        <v>83</v>
      </c>
      <c r="D303" s="19" t="s">
        <v>1316</v>
      </c>
      <c r="E303" s="19" t="s">
        <v>1320</v>
      </c>
      <c r="F303" s="28"/>
    </row>
    <row r="304">
      <c r="A304" s="24" t="s">
        <v>778</v>
      </c>
      <c r="B304" s="19" t="s">
        <v>779</v>
      </c>
      <c r="C304" s="19" t="s">
        <v>780</v>
      </c>
      <c r="D304" s="19" t="s">
        <v>1316</v>
      </c>
      <c r="E304" s="19" t="s">
        <v>1317</v>
      </c>
      <c r="F304" s="19" t="s">
        <v>1318</v>
      </c>
    </row>
    <row r="305">
      <c r="A305" s="24" t="s">
        <v>536</v>
      </c>
      <c r="B305" s="19" t="s">
        <v>537</v>
      </c>
      <c r="C305" s="25" t="s">
        <v>538</v>
      </c>
      <c r="D305" s="19" t="s">
        <v>1319</v>
      </c>
      <c r="E305" s="19" t="s">
        <v>1317</v>
      </c>
      <c r="F305" s="19" t="s">
        <v>1323</v>
      </c>
    </row>
    <row r="306">
      <c r="A306" s="24" t="s">
        <v>364</v>
      </c>
      <c r="B306" s="19" t="s">
        <v>365</v>
      </c>
      <c r="C306" s="19" t="s">
        <v>366</v>
      </c>
      <c r="D306" s="19" t="s">
        <v>1319</v>
      </c>
      <c r="E306" s="19" t="s">
        <v>1317</v>
      </c>
      <c r="F306" s="19" t="s">
        <v>1323</v>
      </c>
    </row>
    <row r="307">
      <c r="A307" s="29" t="s">
        <v>85</v>
      </c>
      <c r="B307" s="19" t="s">
        <v>87</v>
      </c>
      <c r="C307" s="19" t="s">
        <v>86</v>
      </c>
      <c r="D307" s="19" t="s">
        <v>1322</v>
      </c>
      <c r="E307" s="19" t="s">
        <v>1320</v>
      </c>
      <c r="F307" s="28"/>
    </row>
    <row r="308">
      <c r="A308" s="24" t="s">
        <v>88</v>
      </c>
      <c r="B308" s="19" t="s">
        <v>90</v>
      </c>
      <c r="C308" s="19" t="s">
        <v>89</v>
      </c>
      <c r="D308" s="19" t="s">
        <v>1316</v>
      </c>
      <c r="E308" s="19" t="s">
        <v>1320</v>
      </c>
      <c r="F308" s="19"/>
      <c r="G308" s="19" t="s">
        <v>1339</v>
      </c>
    </row>
    <row r="309">
      <c r="A309" s="24" t="s">
        <v>91</v>
      </c>
      <c r="B309" s="19" t="s">
        <v>93</v>
      </c>
      <c r="C309" s="19" t="s">
        <v>92</v>
      </c>
      <c r="D309" s="19" t="s">
        <v>1322</v>
      </c>
      <c r="E309" s="19" t="s">
        <v>1320</v>
      </c>
      <c r="F309" s="28"/>
    </row>
    <row r="310">
      <c r="A310" s="24" t="s">
        <v>618</v>
      </c>
      <c r="B310" s="19" t="s">
        <v>619</v>
      </c>
      <c r="C310" s="19" t="s">
        <v>620</v>
      </c>
      <c r="D310" s="19" t="s">
        <v>1322</v>
      </c>
      <c r="E310" s="19" t="s">
        <v>1317</v>
      </c>
      <c r="F310" s="19" t="s">
        <v>1323</v>
      </c>
    </row>
    <row r="311">
      <c r="A311" s="24" t="s">
        <v>94</v>
      </c>
      <c r="B311" s="19" t="s">
        <v>96</v>
      </c>
      <c r="C311" s="19" t="s">
        <v>95</v>
      </c>
      <c r="D311" s="19" t="s">
        <v>1319</v>
      </c>
      <c r="E311" s="19" t="s">
        <v>1320</v>
      </c>
      <c r="F311" s="28"/>
      <c r="G311" s="19" t="s">
        <v>1340</v>
      </c>
    </row>
    <row r="312">
      <c r="A312" s="24" t="s">
        <v>412</v>
      </c>
      <c r="B312" s="19" t="s">
        <v>413</v>
      </c>
      <c r="C312" s="19" t="s">
        <v>414</v>
      </c>
      <c r="D312" s="19" t="s">
        <v>1316</v>
      </c>
      <c r="E312" s="19" t="s">
        <v>1317</v>
      </c>
      <c r="F312" s="19" t="s">
        <v>1323</v>
      </c>
    </row>
    <row r="313">
      <c r="A313" s="24" t="s">
        <v>297</v>
      </c>
      <c r="B313" s="19" t="s">
        <v>298</v>
      </c>
      <c r="C313" s="19" t="s">
        <v>299</v>
      </c>
      <c r="D313" s="19" t="s">
        <v>1316</v>
      </c>
      <c r="E313" s="19" t="s">
        <v>1317</v>
      </c>
      <c r="F313" s="19" t="s">
        <v>1323</v>
      </c>
    </row>
    <row r="314">
      <c r="A314" s="24" t="s">
        <v>97</v>
      </c>
      <c r="B314" s="19" t="s">
        <v>99</v>
      </c>
      <c r="C314" s="19" t="s">
        <v>98</v>
      </c>
      <c r="D314" s="19" t="s">
        <v>1316</v>
      </c>
      <c r="E314" s="19" t="s">
        <v>1320</v>
      </c>
      <c r="F314" s="28"/>
    </row>
    <row r="315">
      <c r="A315" s="24" t="s">
        <v>591</v>
      </c>
      <c r="B315" s="19" t="s">
        <v>592</v>
      </c>
      <c r="C315" s="19" t="s">
        <v>593</v>
      </c>
      <c r="D315" s="19" t="s">
        <v>1319</v>
      </c>
      <c r="E315" s="19" t="s">
        <v>1317</v>
      </c>
      <c r="F315" s="19" t="s">
        <v>1323</v>
      </c>
    </row>
    <row r="316">
      <c r="A316" s="24" t="s">
        <v>484</v>
      </c>
      <c r="B316" s="19" t="s">
        <v>485</v>
      </c>
      <c r="C316" s="19" t="s">
        <v>486</v>
      </c>
      <c r="D316" s="19" t="s">
        <v>1316</v>
      </c>
      <c r="E316" s="19" t="s">
        <v>1317</v>
      </c>
      <c r="F316" s="19" t="s">
        <v>1323</v>
      </c>
    </row>
    <row r="317">
      <c r="A317" s="24" t="s">
        <v>379</v>
      </c>
      <c r="B317" s="19" t="s">
        <v>380</v>
      </c>
      <c r="C317" s="19" t="s">
        <v>381</v>
      </c>
      <c r="D317" s="19" t="s">
        <v>1322</v>
      </c>
      <c r="E317" s="19" t="s">
        <v>1317</v>
      </c>
      <c r="F317" s="19" t="s">
        <v>1323</v>
      </c>
    </row>
    <row r="318">
      <c r="A318" s="24" t="s">
        <v>281</v>
      </c>
      <c r="B318" s="19" t="s">
        <v>282</v>
      </c>
      <c r="C318" s="19" t="s">
        <v>283</v>
      </c>
      <c r="D318" s="19" t="s">
        <v>1322</v>
      </c>
      <c r="E318" s="19" t="s">
        <v>1317</v>
      </c>
      <c r="F318" s="19" t="s">
        <v>1318</v>
      </c>
    </row>
    <row r="319">
      <c r="A319" s="24" t="s">
        <v>529</v>
      </c>
      <c r="B319" s="19" t="s">
        <v>530</v>
      </c>
      <c r="C319" s="19" t="s">
        <v>531</v>
      </c>
      <c r="D319" s="19" t="s">
        <v>1316</v>
      </c>
      <c r="E319" s="19" t="s">
        <v>1317</v>
      </c>
      <c r="F319" s="19" t="s">
        <v>1323</v>
      </c>
    </row>
    <row r="320">
      <c r="A320" s="24" t="s">
        <v>269</v>
      </c>
      <c r="B320" s="19" t="s">
        <v>270</v>
      </c>
      <c r="C320" s="19" t="s">
        <v>271</v>
      </c>
      <c r="D320" s="19" t="s">
        <v>1322</v>
      </c>
      <c r="E320" s="19" t="s">
        <v>1317</v>
      </c>
      <c r="F320" s="19" t="s">
        <v>1323</v>
      </c>
    </row>
    <row r="321">
      <c r="A321" s="24" t="s">
        <v>523</v>
      </c>
      <c r="B321" s="19" t="s">
        <v>524</v>
      </c>
      <c r="C321" s="19" t="s">
        <v>525</v>
      </c>
      <c r="D321" s="19" t="s">
        <v>1322</v>
      </c>
      <c r="E321" s="19" t="s">
        <v>1317</v>
      </c>
      <c r="F321" s="19" t="s">
        <v>1323</v>
      </c>
    </row>
    <row r="322">
      <c r="A322" s="24" t="s">
        <v>551</v>
      </c>
      <c r="B322" s="19" t="s">
        <v>552</v>
      </c>
      <c r="C322" s="19" t="s">
        <v>553</v>
      </c>
      <c r="D322" s="19" t="s">
        <v>1316</v>
      </c>
      <c r="E322" s="19" t="s">
        <v>1317</v>
      </c>
      <c r="F322" s="19" t="s">
        <v>1323</v>
      </c>
    </row>
    <row r="323">
      <c r="A323" s="24" t="s">
        <v>594</v>
      </c>
      <c r="B323" s="19" t="s">
        <v>595</v>
      </c>
      <c r="C323" s="19" t="s">
        <v>596</v>
      </c>
      <c r="D323" s="19" t="s">
        <v>1319</v>
      </c>
      <c r="E323" s="19" t="s">
        <v>1317</v>
      </c>
      <c r="F323" s="19" t="s">
        <v>1323</v>
      </c>
    </row>
    <row r="324">
      <c r="A324" s="24" t="s">
        <v>635</v>
      </c>
      <c r="B324" s="19" t="s">
        <v>636</v>
      </c>
      <c r="C324" s="19" t="s">
        <v>637</v>
      </c>
      <c r="D324" s="19" t="s">
        <v>1322</v>
      </c>
      <c r="E324" s="19" t="s">
        <v>1317</v>
      </c>
      <c r="F324" s="19" t="s">
        <v>1323</v>
      </c>
    </row>
    <row r="325">
      <c r="A325" s="24" t="s">
        <v>406</v>
      </c>
      <c r="B325" s="19" t="s">
        <v>407</v>
      </c>
      <c r="C325" s="19" t="s">
        <v>408</v>
      </c>
      <c r="D325" s="19" t="s">
        <v>1319</v>
      </c>
      <c r="E325" s="19" t="s">
        <v>1317</v>
      </c>
      <c r="F325" s="19" t="s">
        <v>1323</v>
      </c>
    </row>
    <row r="326">
      <c r="A326" s="24" t="s">
        <v>251</v>
      </c>
      <c r="B326" s="19" t="s">
        <v>252</v>
      </c>
      <c r="C326" s="19" t="s">
        <v>253</v>
      </c>
      <c r="D326" s="19" t="s">
        <v>1316</v>
      </c>
      <c r="E326" s="19" t="s">
        <v>1317</v>
      </c>
      <c r="F326" s="19" t="s">
        <v>1323</v>
      </c>
    </row>
    <row r="327">
      <c r="A327" s="24" t="s">
        <v>358</v>
      </c>
      <c r="B327" s="19" t="s">
        <v>359</v>
      </c>
      <c r="C327" s="19" t="s">
        <v>1341</v>
      </c>
      <c r="D327" s="19" t="s">
        <v>1316</v>
      </c>
      <c r="E327" s="19" t="s">
        <v>1317</v>
      </c>
      <c r="F327" s="19" t="s">
        <v>1323</v>
      </c>
    </row>
    <row r="328">
      <c r="A328" s="24" t="s">
        <v>646</v>
      </c>
      <c r="B328" s="19" t="s">
        <v>647</v>
      </c>
      <c r="C328" s="19" t="s">
        <v>648</v>
      </c>
      <c r="D328" s="19" t="s">
        <v>1316</v>
      </c>
      <c r="E328" s="19" t="s">
        <v>1317</v>
      </c>
      <c r="F328" s="19" t="s">
        <v>1323</v>
      </c>
    </row>
    <row r="329">
      <c r="A329" s="24" t="s">
        <v>100</v>
      </c>
      <c r="B329" s="19" t="s">
        <v>102</v>
      </c>
      <c r="C329" s="19" t="s">
        <v>101</v>
      </c>
      <c r="D329" s="19" t="s">
        <v>1316</v>
      </c>
      <c r="E329" s="19" t="s">
        <v>1320</v>
      </c>
      <c r="F329" s="19"/>
      <c r="G329" s="19" t="s">
        <v>1339</v>
      </c>
    </row>
    <row r="330">
      <c r="A330" s="24" t="s">
        <v>562</v>
      </c>
      <c r="B330" s="19" t="s">
        <v>563</v>
      </c>
      <c r="C330" s="19" t="s">
        <v>564</v>
      </c>
      <c r="D330" s="19" t="s">
        <v>1316</v>
      </c>
      <c r="E330" s="19" t="s">
        <v>1317</v>
      </c>
      <c r="F330" s="19" t="s">
        <v>1323</v>
      </c>
    </row>
    <row r="331">
      <c r="A331" s="24" t="s">
        <v>103</v>
      </c>
      <c r="B331" s="19" t="s">
        <v>105</v>
      </c>
      <c r="C331" s="19" t="s">
        <v>104</v>
      </c>
      <c r="D331" s="19" t="s">
        <v>1322</v>
      </c>
      <c r="E331" s="19" t="s">
        <v>1320</v>
      </c>
      <c r="F331" s="28"/>
    </row>
    <row r="332">
      <c r="A332" s="24" t="s">
        <v>609</v>
      </c>
      <c r="B332" s="19" t="s">
        <v>610</v>
      </c>
      <c r="C332" s="19" t="s">
        <v>611</v>
      </c>
      <c r="D332" s="19" t="s">
        <v>1319</v>
      </c>
      <c r="E332" s="19" t="s">
        <v>1317</v>
      </c>
      <c r="F332" s="19" t="s">
        <v>1323</v>
      </c>
    </row>
    <row r="333">
      <c r="A333" s="24" t="s">
        <v>263</v>
      </c>
      <c r="B333" s="19" t="s">
        <v>264</v>
      </c>
      <c r="C333" s="19" t="s">
        <v>265</v>
      </c>
      <c r="D333" s="19" t="s">
        <v>1316</v>
      </c>
      <c r="E333" s="19" t="s">
        <v>1317</v>
      </c>
      <c r="F333" s="19" t="s">
        <v>1326</v>
      </c>
      <c r="G333" s="19"/>
    </row>
    <row r="334">
      <c r="A334" s="24" t="s">
        <v>418</v>
      </c>
      <c r="B334" s="19" t="s">
        <v>419</v>
      </c>
      <c r="C334" s="19" t="s">
        <v>420</v>
      </c>
      <c r="D334" s="19" t="s">
        <v>1319</v>
      </c>
      <c r="E334" s="19" t="s">
        <v>1317</v>
      </c>
      <c r="F334" s="19" t="s">
        <v>1335</v>
      </c>
      <c r="G334" s="19" t="s">
        <v>1336</v>
      </c>
    </row>
    <row r="335">
      <c r="A335" s="24" t="s">
        <v>286</v>
      </c>
      <c r="B335" s="19" t="s">
        <v>287</v>
      </c>
      <c r="C335" s="19" t="s">
        <v>288</v>
      </c>
      <c r="D335" s="19" t="s">
        <v>1316</v>
      </c>
      <c r="E335" s="19" t="s">
        <v>1317</v>
      </c>
      <c r="F335" s="19" t="s">
        <v>1326</v>
      </c>
      <c r="G335" s="19"/>
    </row>
    <row r="336">
      <c r="A336" s="24" t="s">
        <v>421</v>
      </c>
      <c r="B336" s="19" t="s">
        <v>422</v>
      </c>
      <c r="C336" s="19" t="s">
        <v>423</v>
      </c>
      <c r="D336" s="19" t="s">
        <v>1322</v>
      </c>
      <c r="E336" s="19" t="s">
        <v>1317</v>
      </c>
      <c r="F336" s="28"/>
    </row>
    <row r="337">
      <c r="A337" s="24" t="s">
        <v>319</v>
      </c>
      <c r="B337" s="19" t="s">
        <v>320</v>
      </c>
      <c r="C337" s="19" t="s">
        <v>321</v>
      </c>
      <c r="D337" s="19" t="s">
        <v>1316</v>
      </c>
      <c r="E337" s="19" t="s">
        <v>1317</v>
      </c>
      <c r="F337" s="19" t="s">
        <v>1326</v>
      </c>
      <c r="G337" s="19" t="s">
        <v>1329</v>
      </c>
    </row>
    <row r="338">
      <c r="A338" s="24" t="s">
        <v>241</v>
      </c>
      <c r="B338" s="19" t="s">
        <v>242</v>
      </c>
      <c r="C338" s="19" t="s">
        <v>243</v>
      </c>
      <c r="D338" s="19" t="s">
        <v>1319</v>
      </c>
      <c r="E338" s="19" t="s">
        <v>1317</v>
      </c>
      <c r="F338" s="19" t="s">
        <v>1326</v>
      </c>
    </row>
    <row r="339">
      <c r="A339" s="24" t="s">
        <v>467</v>
      </c>
      <c r="B339" s="19" t="s">
        <v>468</v>
      </c>
      <c r="C339" s="19" t="s">
        <v>469</v>
      </c>
      <c r="D339" s="19" t="s">
        <v>1319</v>
      </c>
      <c r="E339" s="19" t="s">
        <v>1317</v>
      </c>
      <c r="F339" s="19" t="s">
        <v>1326</v>
      </c>
    </row>
    <row r="340">
      <c r="A340" s="24" t="s">
        <v>439</v>
      </c>
      <c r="B340" s="19" t="s">
        <v>440</v>
      </c>
      <c r="C340" s="19" t="s">
        <v>441</v>
      </c>
      <c r="D340" s="19" t="s">
        <v>1316</v>
      </c>
      <c r="E340" s="19" t="s">
        <v>1317</v>
      </c>
      <c r="F340" s="19" t="s">
        <v>1326</v>
      </c>
      <c r="G340" s="19" t="s">
        <v>1329</v>
      </c>
    </row>
    <row r="341">
      <c r="A341" s="24" t="s">
        <v>219</v>
      </c>
      <c r="B341" s="19" t="s">
        <v>220</v>
      </c>
      <c r="C341" s="19" t="s">
        <v>221</v>
      </c>
      <c r="D341" s="19" t="s">
        <v>1316</v>
      </c>
      <c r="E341" s="19" t="s">
        <v>1317</v>
      </c>
      <c r="F341" s="19" t="s">
        <v>1326</v>
      </c>
      <c r="G341" s="19" t="s">
        <v>1329</v>
      </c>
    </row>
    <row r="342">
      <c r="A342" s="29" t="s">
        <v>216</v>
      </c>
      <c r="B342" s="19" t="s">
        <v>217</v>
      </c>
      <c r="C342" s="19" t="s">
        <v>218</v>
      </c>
      <c r="D342" s="19" t="s">
        <v>1316</v>
      </c>
      <c r="E342" s="19" t="s">
        <v>1317</v>
      </c>
      <c r="F342" s="19" t="s">
        <v>1326</v>
      </c>
      <c r="G342" s="19" t="s">
        <v>1329</v>
      </c>
    </row>
    <row r="343">
      <c r="A343" s="24" t="s">
        <v>346</v>
      </c>
      <c r="B343" s="19" t="s">
        <v>347</v>
      </c>
      <c r="C343" s="19" t="s">
        <v>348</v>
      </c>
      <c r="D343" s="19" t="s">
        <v>1316</v>
      </c>
      <c r="E343" s="19" t="s">
        <v>1317</v>
      </c>
      <c r="F343" s="19" t="s">
        <v>1326</v>
      </c>
      <c r="G343" s="19" t="s">
        <v>1329</v>
      </c>
    </row>
    <row r="344">
      <c r="A344" s="24" t="s">
        <v>106</v>
      </c>
      <c r="B344" s="19" t="s">
        <v>108</v>
      </c>
      <c r="C344" s="19" t="s">
        <v>107</v>
      </c>
      <c r="D344" s="19" t="s">
        <v>1322</v>
      </c>
      <c r="E344" s="19" t="s">
        <v>1320</v>
      </c>
      <c r="F344" s="28"/>
    </row>
    <row r="345">
      <c r="A345" s="24" t="s">
        <v>329</v>
      </c>
      <c r="B345" s="19" t="s">
        <v>330</v>
      </c>
      <c r="C345" s="19" t="s">
        <v>331</v>
      </c>
      <c r="D345" s="19" t="s">
        <v>1319</v>
      </c>
      <c r="E345" s="19" t="s">
        <v>1317</v>
      </c>
      <c r="F345" s="19" t="s">
        <v>1326</v>
      </c>
    </row>
    <row r="346">
      <c r="A346" s="24" t="s">
        <v>424</v>
      </c>
      <c r="B346" s="19" t="s">
        <v>425</v>
      </c>
      <c r="C346" s="19" t="s">
        <v>426</v>
      </c>
      <c r="D346" s="19" t="s">
        <v>1322</v>
      </c>
      <c r="E346" s="19" t="s">
        <v>1317</v>
      </c>
      <c r="F346" s="19" t="s">
        <v>1326</v>
      </c>
    </row>
    <row r="347">
      <c r="A347" s="24" t="s">
        <v>222</v>
      </c>
      <c r="B347" s="19" t="s">
        <v>223</v>
      </c>
      <c r="C347" s="19" t="s">
        <v>224</v>
      </c>
      <c r="D347" s="19" t="s">
        <v>1319</v>
      </c>
      <c r="E347" s="19" t="s">
        <v>1317</v>
      </c>
      <c r="F347" s="19" t="s">
        <v>1326</v>
      </c>
    </row>
    <row r="348">
      <c r="A348" s="24" t="s">
        <v>335</v>
      </c>
      <c r="B348" s="19" t="s">
        <v>336</v>
      </c>
      <c r="C348" s="19" t="s">
        <v>337</v>
      </c>
      <c r="D348" s="19" t="s">
        <v>1319</v>
      </c>
      <c r="E348" s="19" t="s">
        <v>1317</v>
      </c>
      <c r="F348" s="19" t="s">
        <v>1326</v>
      </c>
    </row>
    <row r="349">
      <c r="A349" s="24" t="s">
        <v>226</v>
      </c>
      <c r="B349" s="19" t="s">
        <v>227</v>
      </c>
      <c r="C349" s="19" t="s">
        <v>228</v>
      </c>
      <c r="D349" s="19" t="s">
        <v>1319</v>
      </c>
      <c r="E349" s="19" t="s">
        <v>1317</v>
      </c>
      <c r="F349" s="19" t="s">
        <v>1326</v>
      </c>
    </row>
    <row r="350">
      <c r="A350" s="24" t="s">
        <v>109</v>
      </c>
      <c r="B350" s="19" t="s">
        <v>111</v>
      </c>
      <c r="C350" s="19" t="s">
        <v>110</v>
      </c>
      <c r="D350" s="19" t="s">
        <v>1322</v>
      </c>
      <c r="E350" s="19" t="s">
        <v>1320</v>
      </c>
      <c r="F350" s="28"/>
    </row>
    <row r="351">
      <c r="A351" s="24" t="s">
        <v>112</v>
      </c>
      <c r="B351" s="19" t="s">
        <v>114</v>
      </c>
      <c r="C351" s="19" t="s">
        <v>113</v>
      </c>
      <c r="D351" s="19" t="s">
        <v>1322</v>
      </c>
      <c r="E351" s="19" t="s">
        <v>1317</v>
      </c>
      <c r="F351" s="28"/>
    </row>
    <row r="352">
      <c r="A352" s="24" t="s">
        <v>502</v>
      </c>
      <c r="B352" s="19" t="s">
        <v>503</v>
      </c>
      <c r="C352" s="19" t="s">
        <v>504</v>
      </c>
      <c r="D352" s="19" t="s">
        <v>1322</v>
      </c>
      <c r="E352" s="19" t="s">
        <v>1317</v>
      </c>
      <c r="F352" s="19" t="s">
        <v>1335</v>
      </c>
      <c r="G352" s="19" t="s">
        <v>1342</v>
      </c>
    </row>
    <row r="353">
      <c r="A353" s="24" t="s">
        <v>266</v>
      </c>
      <c r="B353" s="19" t="s">
        <v>267</v>
      </c>
      <c r="C353" s="19" t="s">
        <v>268</v>
      </c>
      <c r="D353" s="19" t="s">
        <v>1316</v>
      </c>
      <c r="E353" s="19" t="s">
        <v>1317</v>
      </c>
      <c r="F353" s="19" t="s">
        <v>1323</v>
      </c>
    </row>
    <row r="354">
      <c r="A354" s="24" t="s">
        <v>115</v>
      </c>
      <c r="B354" s="19" t="s">
        <v>117</v>
      </c>
      <c r="C354" s="19" t="s">
        <v>116</v>
      </c>
      <c r="D354" s="19" t="s">
        <v>1322</v>
      </c>
      <c r="E354" s="19" t="s">
        <v>1320</v>
      </c>
      <c r="F354" s="28"/>
    </row>
    <row r="355">
      <c r="A355" s="24" t="s">
        <v>603</v>
      </c>
      <c r="B355" s="19" t="s">
        <v>604</v>
      </c>
      <c r="C355" s="19" t="s">
        <v>605</v>
      </c>
      <c r="D355" s="19" t="s">
        <v>1322</v>
      </c>
      <c r="E355" s="19" t="s">
        <v>1317</v>
      </c>
      <c r="F355" s="19" t="s">
        <v>1323</v>
      </c>
    </row>
    <row r="356">
      <c r="A356" s="24" t="s">
        <v>627</v>
      </c>
      <c r="B356" s="19" t="s">
        <v>628</v>
      </c>
      <c r="C356" s="19" t="s">
        <v>629</v>
      </c>
      <c r="D356" s="19" t="s">
        <v>1316</v>
      </c>
      <c r="E356" s="19" t="s">
        <v>1317</v>
      </c>
      <c r="F356" s="19" t="s">
        <v>1323</v>
      </c>
    </row>
    <row r="357">
      <c r="A357" s="24" t="s">
        <v>325</v>
      </c>
      <c r="B357" s="19" t="s">
        <v>326</v>
      </c>
      <c r="C357" s="19" t="s">
        <v>327</v>
      </c>
      <c r="D357" s="19" t="s">
        <v>1316</v>
      </c>
      <c r="E357" s="19" t="s">
        <v>1317</v>
      </c>
      <c r="F357" s="19" t="s">
        <v>1323</v>
      </c>
      <c r="H357" s="19"/>
    </row>
    <row r="358">
      <c r="A358" s="24" t="s">
        <v>409</v>
      </c>
      <c r="B358" s="19" t="s">
        <v>410</v>
      </c>
      <c r="C358" s="19" t="s">
        <v>411</v>
      </c>
      <c r="D358" s="19" t="s">
        <v>1322</v>
      </c>
      <c r="E358" s="19" t="s">
        <v>1317</v>
      </c>
      <c r="F358" s="19" t="s">
        <v>1323</v>
      </c>
    </row>
    <row r="359">
      <c r="A359" s="24" t="s">
        <v>118</v>
      </c>
      <c r="B359" s="19" t="s">
        <v>120</v>
      </c>
      <c r="C359" s="19" t="s">
        <v>119</v>
      </c>
      <c r="D359" s="19" t="s">
        <v>1316</v>
      </c>
      <c r="E359" s="19" t="s">
        <v>1320</v>
      </c>
      <c r="F359" s="19"/>
    </row>
    <row r="360">
      <c r="A360" s="24" t="s">
        <v>415</v>
      </c>
      <c r="B360" s="19" t="s">
        <v>416</v>
      </c>
      <c r="C360" s="19" t="s">
        <v>417</v>
      </c>
      <c r="D360" s="19" t="s">
        <v>1316</v>
      </c>
      <c r="E360" s="19" t="s">
        <v>1317</v>
      </c>
      <c r="F360" s="19" t="s">
        <v>1323</v>
      </c>
    </row>
    <row r="361">
      <c r="A361" s="24" t="s">
        <v>121</v>
      </c>
      <c r="B361" s="19" t="s">
        <v>123</v>
      </c>
      <c r="C361" s="19" t="s">
        <v>122</v>
      </c>
      <c r="D361" s="19" t="s">
        <v>1316</v>
      </c>
      <c r="E361" s="19" t="s">
        <v>1320</v>
      </c>
      <c r="F361" s="19"/>
      <c r="G361" s="19"/>
    </row>
    <row r="362">
      <c r="A362" s="24" t="s">
        <v>124</v>
      </c>
      <c r="B362" s="19" t="s">
        <v>126</v>
      </c>
      <c r="C362" s="19" t="s">
        <v>125</v>
      </c>
      <c r="D362" s="19" t="s">
        <v>1319</v>
      </c>
      <c r="E362" s="19" t="s">
        <v>1320</v>
      </c>
      <c r="F362" s="19"/>
    </row>
    <row r="363">
      <c r="A363" s="24" t="s">
        <v>442</v>
      </c>
      <c r="B363" s="19" t="s">
        <v>443</v>
      </c>
      <c r="C363" s="19" t="s">
        <v>444</v>
      </c>
      <c r="D363" s="19" t="s">
        <v>1316</v>
      </c>
      <c r="E363" s="19" t="s">
        <v>1317</v>
      </c>
      <c r="F363" s="19" t="s">
        <v>1323</v>
      </c>
    </row>
    <row r="364">
      <c r="A364" s="24" t="s">
        <v>292</v>
      </c>
      <c r="B364" s="19" t="s">
        <v>293</v>
      </c>
      <c r="C364" s="19" t="s">
        <v>294</v>
      </c>
      <c r="D364" s="19" t="s">
        <v>1316</v>
      </c>
      <c r="E364" s="19" t="s">
        <v>1317</v>
      </c>
      <c r="F364" s="19" t="s">
        <v>1323</v>
      </c>
    </row>
    <row r="365">
      <c r="A365" s="24" t="s">
        <v>395</v>
      </c>
      <c r="B365" s="19" t="s">
        <v>396</v>
      </c>
      <c r="C365" s="19" t="s">
        <v>397</v>
      </c>
      <c r="D365" s="19" t="s">
        <v>1319</v>
      </c>
      <c r="E365" s="19" t="s">
        <v>1317</v>
      </c>
      <c r="F365" s="19" t="s">
        <v>1323</v>
      </c>
    </row>
    <row r="366">
      <c r="A366" s="24" t="s">
        <v>448</v>
      </c>
      <c r="B366" s="19" t="s">
        <v>449</v>
      </c>
      <c r="C366" s="19" t="s">
        <v>450</v>
      </c>
      <c r="D366" s="19" t="s">
        <v>1319</v>
      </c>
      <c r="E366" s="19" t="s">
        <v>1317</v>
      </c>
      <c r="F366" s="19" t="s">
        <v>1323</v>
      </c>
    </row>
    <row r="367">
      <c r="A367" s="24" t="s">
        <v>454</v>
      </c>
      <c r="B367" s="19" t="s">
        <v>455</v>
      </c>
      <c r="C367" s="19" t="s">
        <v>456</v>
      </c>
      <c r="D367" s="19" t="s">
        <v>1319</v>
      </c>
      <c r="E367" s="19" t="s">
        <v>1317</v>
      </c>
      <c r="F367" s="19" t="s">
        <v>1326</v>
      </c>
    </row>
    <row r="368">
      <c r="A368" s="24" t="s">
        <v>300</v>
      </c>
      <c r="B368" s="19" t="s">
        <v>301</v>
      </c>
      <c r="C368" s="19" t="s">
        <v>302</v>
      </c>
      <c r="D368" s="19" t="s">
        <v>1322</v>
      </c>
      <c r="E368" s="19" t="s">
        <v>1317</v>
      </c>
      <c r="F368" s="19" t="s">
        <v>1326</v>
      </c>
    </row>
    <row r="369">
      <c r="A369" s="24" t="s">
        <v>322</v>
      </c>
      <c r="B369" s="19" t="s">
        <v>323</v>
      </c>
      <c r="C369" s="19" t="s">
        <v>324</v>
      </c>
      <c r="D369" s="19" t="s">
        <v>1316</v>
      </c>
      <c r="E369" s="19" t="s">
        <v>1317</v>
      </c>
      <c r="F369" s="19" t="s">
        <v>1326</v>
      </c>
      <c r="G369" s="19" t="s">
        <v>1343</v>
      </c>
    </row>
    <row r="370">
      <c r="A370" s="24" t="s">
        <v>496</v>
      </c>
      <c r="B370" s="19" t="s">
        <v>497</v>
      </c>
      <c r="C370" s="19" t="s">
        <v>498</v>
      </c>
      <c r="D370" s="19" t="s">
        <v>1316</v>
      </c>
      <c r="E370" s="19" t="s">
        <v>1317</v>
      </c>
      <c r="F370" s="19" t="s">
        <v>1323</v>
      </c>
    </row>
    <row r="371">
      <c r="A371" s="24" t="s">
        <v>382</v>
      </c>
      <c r="B371" s="19" t="s">
        <v>383</v>
      </c>
      <c r="C371" s="19" t="s">
        <v>384</v>
      </c>
      <c r="D371" s="19" t="s">
        <v>1319</v>
      </c>
      <c r="E371" s="19" t="s">
        <v>1317</v>
      </c>
      <c r="F371" s="19" t="s">
        <v>1326</v>
      </c>
    </row>
    <row r="372">
      <c r="A372" s="24" t="s">
        <v>1272</v>
      </c>
      <c r="B372" s="19" t="s">
        <v>1273</v>
      </c>
      <c r="C372" s="19" t="s">
        <v>1274</v>
      </c>
      <c r="D372" s="19" t="s">
        <v>1316</v>
      </c>
      <c r="E372" s="19" t="s">
        <v>1317</v>
      </c>
      <c r="F372" s="19" t="s">
        <v>1326</v>
      </c>
    </row>
    <row r="373">
      <c r="A373" s="24" t="s">
        <v>1205</v>
      </c>
      <c r="B373" s="19" t="s">
        <v>1206</v>
      </c>
      <c r="C373" s="19" t="s">
        <v>1207</v>
      </c>
      <c r="D373" s="19" t="s">
        <v>1316</v>
      </c>
      <c r="E373" s="19" t="s">
        <v>1317</v>
      </c>
      <c r="F373" s="19" t="s">
        <v>1318</v>
      </c>
    </row>
    <row r="374">
      <c r="A374" s="24" t="s">
        <v>1228</v>
      </c>
      <c r="B374" s="19" t="s">
        <v>1229</v>
      </c>
      <c r="C374" s="19" t="s">
        <v>1230</v>
      </c>
      <c r="D374" s="19" t="s">
        <v>1316</v>
      </c>
      <c r="E374" s="19" t="s">
        <v>1317</v>
      </c>
      <c r="F374" s="19" t="s">
        <v>1318</v>
      </c>
    </row>
    <row r="375">
      <c r="A375" s="24" t="s">
        <v>1290</v>
      </c>
      <c r="B375" s="19" t="s">
        <v>1291</v>
      </c>
      <c r="C375" s="19" t="s">
        <v>1292</v>
      </c>
      <c r="D375" s="19" t="s">
        <v>1319</v>
      </c>
      <c r="E375" s="19" t="s">
        <v>1317</v>
      </c>
      <c r="F375" s="19" t="s">
        <v>1318</v>
      </c>
    </row>
    <row r="376">
      <c r="A376" s="24" t="s">
        <v>1299</v>
      </c>
      <c r="B376" s="19" t="s">
        <v>1300</v>
      </c>
      <c r="C376" s="19" t="s">
        <v>1301</v>
      </c>
      <c r="D376" s="19" t="s">
        <v>1319</v>
      </c>
      <c r="E376" s="19" t="s">
        <v>1317</v>
      </c>
      <c r="F376" s="19" t="s">
        <v>1318</v>
      </c>
    </row>
    <row r="377">
      <c r="A377" s="24" t="s">
        <v>1231</v>
      </c>
      <c r="B377" s="19" t="s">
        <v>1232</v>
      </c>
      <c r="C377" s="19" t="s">
        <v>1233</v>
      </c>
      <c r="D377" s="19" t="s">
        <v>1319</v>
      </c>
      <c r="E377" s="19" t="s">
        <v>1317</v>
      </c>
      <c r="F377" s="19" t="s">
        <v>1318</v>
      </c>
    </row>
    <row r="378">
      <c r="A378" s="24" t="s">
        <v>728</v>
      </c>
      <c r="B378" s="19" t="s">
        <v>729</v>
      </c>
      <c r="C378" s="19" t="s">
        <v>730</v>
      </c>
      <c r="D378" s="19" t="s">
        <v>1319</v>
      </c>
      <c r="E378" s="19" t="s">
        <v>1317</v>
      </c>
      <c r="F378" s="19" t="s">
        <v>1318</v>
      </c>
    </row>
    <row r="379">
      <c r="A379" s="24" t="s">
        <v>573</v>
      </c>
      <c r="B379" s="19" t="s">
        <v>574</v>
      </c>
      <c r="C379" s="19" t="s">
        <v>575</v>
      </c>
      <c r="D379" s="19" t="s">
        <v>1319</v>
      </c>
      <c r="E379" s="19" t="s">
        <v>1317</v>
      </c>
      <c r="F379" s="19" t="s">
        <v>1323</v>
      </c>
    </row>
    <row r="380">
      <c r="A380" s="24" t="s">
        <v>1104</v>
      </c>
      <c r="B380" s="19" t="s">
        <v>1105</v>
      </c>
      <c r="C380" s="19" t="s">
        <v>1106</v>
      </c>
      <c r="D380" s="19" t="s">
        <v>1316</v>
      </c>
      <c r="E380" s="19" t="s">
        <v>1317</v>
      </c>
      <c r="F380" s="19" t="s">
        <v>1318</v>
      </c>
      <c r="G380" s="19"/>
    </row>
    <row r="381">
      <c r="A381" s="24" t="s">
        <v>1165</v>
      </c>
      <c r="B381" s="19" t="s">
        <v>1166</v>
      </c>
      <c r="C381" s="19" t="s">
        <v>1167</v>
      </c>
      <c r="D381" s="19" t="s">
        <v>1316</v>
      </c>
      <c r="E381" s="19" t="s">
        <v>1317</v>
      </c>
      <c r="F381" s="19" t="s">
        <v>1318</v>
      </c>
    </row>
    <row r="382">
      <c r="A382" s="24" t="s">
        <v>914</v>
      </c>
      <c r="B382" s="19" t="s">
        <v>915</v>
      </c>
      <c r="C382" s="19" t="s">
        <v>916</v>
      </c>
      <c r="D382" s="19" t="s">
        <v>1319</v>
      </c>
      <c r="E382" s="19" t="s">
        <v>1317</v>
      </c>
      <c r="F382" s="19" t="s">
        <v>1318</v>
      </c>
    </row>
    <row r="383">
      <c r="A383" s="24" t="s">
        <v>984</v>
      </c>
      <c r="B383" s="19" t="s">
        <v>985</v>
      </c>
      <c r="C383" s="19" t="s">
        <v>986</v>
      </c>
      <c r="D383" s="19" t="s">
        <v>1319</v>
      </c>
      <c r="E383" s="19" t="s">
        <v>1317</v>
      </c>
      <c r="F383" s="19" t="s">
        <v>1318</v>
      </c>
    </row>
    <row r="384">
      <c r="A384" s="24" t="s">
        <v>860</v>
      </c>
      <c r="B384" s="19" t="s">
        <v>861</v>
      </c>
      <c r="C384" s="19" t="s">
        <v>862</v>
      </c>
      <c r="D384" s="19" t="s">
        <v>1316</v>
      </c>
      <c r="E384" s="19" t="s">
        <v>1317</v>
      </c>
      <c r="F384" s="19" t="s">
        <v>1318</v>
      </c>
    </row>
    <row r="385">
      <c r="A385" s="24" t="s">
        <v>511</v>
      </c>
      <c r="B385" s="19" t="s">
        <v>512</v>
      </c>
      <c r="C385" s="19" t="s">
        <v>513</v>
      </c>
      <c r="D385" s="19" t="s">
        <v>1316</v>
      </c>
      <c r="E385" s="19" t="s">
        <v>1317</v>
      </c>
      <c r="F385" s="19" t="s">
        <v>1323</v>
      </c>
    </row>
    <row r="386">
      <c r="A386" s="24" t="s">
        <v>1225</v>
      </c>
      <c r="B386" s="19" t="s">
        <v>1226</v>
      </c>
      <c r="C386" s="19" t="s">
        <v>1227</v>
      </c>
      <c r="D386" s="19" t="s">
        <v>1319</v>
      </c>
      <c r="E386" s="19" t="s">
        <v>1317</v>
      </c>
      <c r="F386" s="19" t="s">
        <v>1318</v>
      </c>
    </row>
    <row r="387">
      <c r="A387" s="24" t="s">
        <v>1222</v>
      </c>
      <c r="B387" s="19" t="s">
        <v>1223</v>
      </c>
      <c r="C387" s="19" t="s">
        <v>1224</v>
      </c>
      <c r="D387" s="19" t="s">
        <v>1322</v>
      </c>
      <c r="E387" s="19" t="s">
        <v>1317</v>
      </c>
      <c r="F387" s="19" t="s">
        <v>1326</v>
      </c>
    </row>
    <row r="388">
      <c r="A388" s="24" t="s">
        <v>1284</v>
      </c>
      <c r="B388" s="19" t="s">
        <v>1285</v>
      </c>
      <c r="C388" s="19" t="s">
        <v>1286</v>
      </c>
      <c r="D388" s="19" t="s">
        <v>1319</v>
      </c>
      <c r="E388" s="19" t="s">
        <v>1317</v>
      </c>
      <c r="F388" s="19" t="s">
        <v>1326</v>
      </c>
    </row>
    <row r="389">
      <c r="A389" s="24" t="s">
        <v>1293</v>
      </c>
      <c r="B389" s="19" t="s">
        <v>1294</v>
      </c>
      <c r="C389" s="19" t="s">
        <v>1295</v>
      </c>
      <c r="D389" s="19" t="s">
        <v>1319</v>
      </c>
      <c r="E389" s="19" t="s">
        <v>1317</v>
      </c>
      <c r="F389" s="19" t="s">
        <v>1318</v>
      </c>
    </row>
    <row r="390">
      <c r="A390" s="24" t="s">
        <v>1305</v>
      </c>
      <c r="B390" s="19" t="s">
        <v>1306</v>
      </c>
      <c r="C390" s="19" t="s">
        <v>1307</v>
      </c>
      <c r="D390" s="19" t="s">
        <v>1316</v>
      </c>
      <c r="E390" s="19" t="s">
        <v>1317</v>
      </c>
      <c r="F390" s="19" t="s">
        <v>1318</v>
      </c>
    </row>
    <row r="391">
      <c r="A391" s="24" t="s">
        <v>1240</v>
      </c>
      <c r="B391" s="19" t="s">
        <v>1241</v>
      </c>
      <c r="C391" s="19" t="s">
        <v>1242</v>
      </c>
      <c r="D391" s="19" t="s">
        <v>1316</v>
      </c>
      <c r="E391" s="19" t="s">
        <v>1317</v>
      </c>
      <c r="F391" s="19" t="s">
        <v>1318</v>
      </c>
      <c r="G391" s="19"/>
    </row>
    <row r="392">
      <c r="A392" s="24" t="s">
        <v>742</v>
      </c>
      <c r="B392" s="19" t="s">
        <v>743</v>
      </c>
      <c r="C392" s="19" t="s">
        <v>744</v>
      </c>
      <c r="D392" s="19" t="s">
        <v>1319</v>
      </c>
      <c r="E392" s="19" t="s">
        <v>1317</v>
      </c>
      <c r="F392" s="19" t="s">
        <v>1318</v>
      </c>
    </row>
    <row r="393">
      <c r="A393" s="24" t="s">
        <v>1267</v>
      </c>
      <c r="B393" s="19" t="s">
        <v>1268</v>
      </c>
      <c r="C393" s="19" t="s">
        <v>1269</v>
      </c>
      <c r="D393" s="19" t="s">
        <v>1319</v>
      </c>
      <c r="E393" s="19" t="s">
        <v>1317</v>
      </c>
      <c r="F393" s="19" t="s">
        <v>1318</v>
      </c>
    </row>
    <row r="394">
      <c r="A394" s="21" t="s">
        <v>196</v>
      </c>
      <c r="B394" s="23" t="s">
        <v>36</v>
      </c>
      <c r="C394" s="22" t="s">
        <v>197</v>
      </c>
      <c r="D394" s="19" t="s">
        <v>1316</v>
      </c>
      <c r="E394" s="19" t="s">
        <v>1317</v>
      </c>
      <c r="F394" s="19" t="s">
        <v>1326</v>
      </c>
    </row>
    <row r="395">
      <c r="A395" s="21" t="s">
        <v>185</v>
      </c>
      <c r="B395" s="23" t="s">
        <v>36</v>
      </c>
      <c r="C395" s="22" t="s">
        <v>186</v>
      </c>
      <c r="D395" s="19" t="s">
        <v>1322</v>
      </c>
      <c r="E395" s="19" t="s">
        <v>1317</v>
      </c>
      <c r="F395" s="19" t="s">
        <v>1318</v>
      </c>
    </row>
    <row r="396">
      <c r="A396" s="21" t="s">
        <v>198</v>
      </c>
      <c r="B396" s="23" t="s">
        <v>36</v>
      </c>
      <c r="C396" s="22" t="s">
        <v>199</v>
      </c>
      <c r="D396" s="19" t="s">
        <v>1322</v>
      </c>
      <c r="E396" s="19" t="s">
        <v>1317</v>
      </c>
      <c r="F396" s="19" t="s">
        <v>1326</v>
      </c>
    </row>
    <row r="397">
      <c r="E397" s="28"/>
      <c r="F397" s="28"/>
    </row>
    <row r="398">
      <c r="E398" s="28"/>
      <c r="F398" s="28"/>
    </row>
    <row r="399">
      <c r="E399" s="28"/>
      <c r="F399" s="28"/>
    </row>
    <row r="400">
      <c r="E400" s="28"/>
      <c r="F400" s="28"/>
    </row>
    <row r="401">
      <c r="E401" s="28"/>
      <c r="F401" s="28"/>
    </row>
    <row r="402">
      <c r="E402" s="28"/>
      <c r="F402" s="28"/>
    </row>
    <row r="403">
      <c r="E403" s="28"/>
      <c r="F403" s="28"/>
    </row>
    <row r="404">
      <c r="E404" s="28"/>
      <c r="F404" s="28"/>
    </row>
    <row r="405">
      <c r="E405" s="28"/>
      <c r="F405" s="28"/>
    </row>
    <row r="406">
      <c r="E406" s="28"/>
      <c r="F406" s="28"/>
    </row>
    <row r="407">
      <c r="E407" s="28"/>
      <c r="F407" s="28"/>
    </row>
    <row r="408">
      <c r="E408" s="28"/>
      <c r="F408" s="28"/>
    </row>
    <row r="409">
      <c r="E409" s="28"/>
      <c r="F409" s="28"/>
    </row>
    <row r="410">
      <c r="E410" s="28"/>
      <c r="F410" s="28"/>
    </row>
    <row r="411">
      <c r="E411" s="28"/>
      <c r="F411" s="28"/>
    </row>
    <row r="412">
      <c r="E412" s="28"/>
      <c r="F412" s="28"/>
    </row>
    <row r="413">
      <c r="E413" s="28"/>
      <c r="F413" s="28"/>
    </row>
    <row r="414">
      <c r="E414" s="28"/>
      <c r="F414" s="28"/>
    </row>
    <row r="415">
      <c r="E415" s="28"/>
      <c r="F415" s="28"/>
    </row>
    <row r="416">
      <c r="E416" s="28"/>
      <c r="F416" s="28"/>
    </row>
    <row r="417">
      <c r="E417" s="28"/>
      <c r="F417" s="28"/>
    </row>
    <row r="418">
      <c r="E418" s="28"/>
      <c r="F418" s="28"/>
    </row>
    <row r="419">
      <c r="E419" s="28"/>
      <c r="F419" s="28"/>
    </row>
    <row r="420">
      <c r="E420" s="28"/>
      <c r="F420" s="28"/>
    </row>
    <row r="421">
      <c r="E421" s="28"/>
      <c r="F421" s="28"/>
    </row>
    <row r="422">
      <c r="E422" s="28"/>
      <c r="F422" s="28"/>
    </row>
    <row r="423">
      <c r="E423" s="28"/>
      <c r="F423" s="28"/>
    </row>
    <row r="424">
      <c r="E424" s="28"/>
      <c r="F424" s="28"/>
    </row>
    <row r="425">
      <c r="E425" s="28"/>
      <c r="F425" s="28"/>
    </row>
    <row r="426">
      <c r="E426" s="28"/>
      <c r="F426" s="28"/>
    </row>
    <row r="427">
      <c r="E427" s="28"/>
      <c r="F427" s="28"/>
    </row>
    <row r="428">
      <c r="E428" s="28"/>
      <c r="F428" s="28"/>
    </row>
    <row r="429">
      <c r="E429" s="28"/>
      <c r="F429" s="28"/>
    </row>
    <row r="430">
      <c r="E430" s="28"/>
      <c r="F430" s="28"/>
    </row>
    <row r="431">
      <c r="E431" s="28"/>
      <c r="F431" s="28"/>
    </row>
    <row r="432">
      <c r="E432" s="28"/>
      <c r="F432" s="28"/>
    </row>
    <row r="433">
      <c r="E433" s="28"/>
      <c r="F433" s="28"/>
    </row>
    <row r="434">
      <c r="E434" s="28"/>
      <c r="F434" s="28"/>
    </row>
    <row r="435">
      <c r="E435" s="28"/>
      <c r="F435" s="28"/>
    </row>
    <row r="436">
      <c r="E436" s="28"/>
      <c r="F436" s="28"/>
    </row>
    <row r="437">
      <c r="E437" s="28"/>
      <c r="F437" s="28"/>
    </row>
    <row r="438">
      <c r="E438" s="28"/>
      <c r="F438" s="28"/>
    </row>
    <row r="439">
      <c r="E439" s="28"/>
      <c r="F439" s="28"/>
    </row>
    <row r="440">
      <c r="E440" s="28"/>
      <c r="F440" s="28"/>
    </row>
    <row r="441">
      <c r="E441" s="28"/>
      <c r="F441" s="28"/>
    </row>
    <row r="442">
      <c r="E442" s="28"/>
      <c r="F442" s="28"/>
    </row>
    <row r="443">
      <c r="E443" s="28"/>
      <c r="F443" s="28"/>
    </row>
    <row r="444">
      <c r="E444" s="28"/>
      <c r="F444" s="28"/>
    </row>
    <row r="445">
      <c r="E445" s="28"/>
      <c r="F445" s="28"/>
    </row>
    <row r="446">
      <c r="E446" s="28"/>
      <c r="F446" s="28"/>
    </row>
    <row r="447">
      <c r="E447" s="28"/>
      <c r="F447" s="28"/>
    </row>
    <row r="448">
      <c r="E448" s="28"/>
      <c r="F448" s="28"/>
    </row>
    <row r="449">
      <c r="E449" s="28"/>
      <c r="F449" s="28"/>
    </row>
    <row r="450">
      <c r="E450" s="28"/>
      <c r="F450" s="28"/>
    </row>
    <row r="451">
      <c r="E451" s="28"/>
      <c r="F451" s="28"/>
    </row>
    <row r="452">
      <c r="E452" s="28"/>
      <c r="F452" s="28"/>
    </row>
    <row r="453">
      <c r="E453" s="28"/>
      <c r="F453" s="28"/>
    </row>
    <row r="454">
      <c r="E454" s="28"/>
      <c r="F454" s="28"/>
    </row>
    <row r="455">
      <c r="E455" s="28"/>
      <c r="F455" s="28"/>
    </row>
    <row r="456">
      <c r="E456" s="28"/>
      <c r="F456" s="28"/>
    </row>
    <row r="457">
      <c r="E457" s="28"/>
      <c r="F457" s="28"/>
    </row>
    <row r="458">
      <c r="E458" s="28"/>
      <c r="F458" s="28"/>
    </row>
    <row r="459">
      <c r="E459" s="28"/>
      <c r="F459" s="28"/>
    </row>
    <row r="460">
      <c r="E460" s="28"/>
      <c r="F460" s="28"/>
    </row>
    <row r="461">
      <c r="E461" s="28"/>
      <c r="F461" s="28"/>
    </row>
    <row r="462">
      <c r="E462" s="28"/>
      <c r="F462" s="28"/>
    </row>
    <row r="463">
      <c r="E463" s="28"/>
      <c r="F463" s="28"/>
    </row>
    <row r="464">
      <c r="E464" s="28"/>
      <c r="F464" s="28"/>
    </row>
    <row r="465">
      <c r="E465" s="28"/>
      <c r="F465" s="28"/>
    </row>
    <row r="466">
      <c r="E466" s="28"/>
      <c r="F466" s="28"/>
    </row>
    <row r="467">
      <c r="E467" s="28"/>
      <c r="F467" s="28"/>
    </row>
    <row r="468">
      <c r="E468" s="28"/>
      <c r="F468" s="28"/>
    </row>
    <row r="469">
      <c r="E469" s="28"/>
      <c r="F469" s="28"/>
    </row>
    <row r="470">
      <c r="E470" s="28"/>
      <c r="F470" s="28"/>
    </row>
    <row r="471">
      <c r="E471" s="28"/>
      <c r="F471" s="28"/>
    </row>
    <row r="472">
      <c r="E472" s="28"/>
      <c r="F472" s="28"/>
    </row>
    <row r="473">
      <c r="E473" s="28"/>
      <c r="F473" s="28"/>
    </row>
    <row r="474">
      <c r="E474" s="28"/>
      <c r="F474" s="28"/>
    </row>
    <row r="475">
      <c r="E475" s="28"/>
      <c r="F475" s="28"/>
    </row>
    <row r="476">
      <c r="E476" s="28"/>
      <c r="F476" s="28"/>
    </row>
    <row r="477">
      <c r="E477" s="28"/>
      <c r="F477" s="28"/>
    </row>
    <row r="478">
      <c r="E478" s="28"/>
      <c r="F478" s="28"/>
    </row>
    <row r="479">
      <c r="E479" s="28"/>
      <c r="F479" s="28"/>
    </row>
    <row r="480">
      <c r="E480" s="28"/>
      <c r="F480" s="28"/>
    </row>
    <row r="481">
      <c r="E481" s="28"/>
      <c r="F481" s="28"/>
    </row>
    <row r="482">
      <c r="E482" s="28"/>
      <c r="F482" s="28"/>
    </row>
    <row r="483">
      <c r="E483" s="28"/>
      <c r="F483" s="28"/>
    </row>
    <row r="484">
      <c r="E484" s="28"/>
      <c r="F484" s="28"/>
    </row>
    <row r="485">
      <c r="E485" s="28"/>
      <c r="F485" s="28"/>
    </row>
    <row r="486">
      <c r="E486" s="28"/>
      <c r="F486" s="28"/>
    </row>
    <row r="487">
      <c r="E487" s="28"/>
      <c r="F487" s="28"/>
    </row>
    <row r="488">
      <c r="E488" s="28"/>
      <c r="F488" s="28"/>
    </row>
    <row r="489">
      <c r="E489" s="28"/>
      <c r="F489" s="28"/>
    </row>
    <row r="490">
      <c r="E490" s="28"/>
      <c r="F490" s="28"/>
    </row>
    <row r="491">
      <c r="E491" s="28"/>
      <c r="F491" s="28"/>
    </row>
    <row r="492">
      <c r="E492" s="28"/>
      <c r="F492" s="28"/>
    </row>
    <row r="493">
      <c r="E493" s="28"/>
      <c r="F493" s="28"/>
    </row>
    <row r="494">
      <c r="E494" s="28"/>
      <c r="F494" s="28"/>
    </row>
    <row r="495">
      <c r="E495" s="28"/>
      <c r="F495" s="28"/>
    </row>
    <row r="496">
      <c r="E496" s="28"/>
      <c r="F496" s="28"/>
    </row>
    <row r="497">
      <c r="E497" s="28"/>
      <c r="F497" s="28"/>
    </row>
    <row r="498">
      <c r="E498" s="28"/>
      <c r="F498" s="28"/>
    </row>
    <row r="499">
      <c r="E499" s="28"/>
      <c r="F499" s="28"/>
    </row>
    <row r="500">
      <c r="E500" s="28"/>
      <c r="F500" s="28"/>
    </row>
    <row r="501">
      <c r="E501" s="28"/>
      <c r="F501" s="28"/>
    </row>
    <row r="502">
      <c r="E502" s="28"/>
      <c r="F502" s="28"/>
    </row>
    <row r="503">
      <c r="E503" s="28"/>
      <c r="F503" s="28"/>
    </row>
    <row r="504">
      <c r="E504" s="28"/>
      <c r="F504" s="28"/>
    </row>
    <row r="505">
      <c r="E505" s="28"/>
      <c r="F505" s="28"/>
    </row>
    <row r="506">
      <c r="E506" s="28"/>
      <c r="F506" s="28"/>
    </row>
    <row r="507">
      <c r="E507" s="28"/>
      <c r="F507" s="28"/>
    </row>
    <row r="508">
      <c r="E508" s="28"/>
      <c r="F508" s="28"/>
    </row>
    <row r="509">
      <c r="E509" s="28"/>
      <c r="F509" s="28"/>
    </row>
    <row r="510">
      <c r="E510" s="28"/>
      <c r="F510" s="28"/>
    </row>
    <row r="511">
      <c r="E511" s="28"/>
      <c r="F511" s="28"/>
    </row>
    <row r="512">
      <c r="E512" s="28"/>
      <c r="F512" s="28"/>
    </row>
    <row r="513">
      <c r="E513" s="28"/>
      <c r="F513" s="28"/>
    </row>
    <row r="514">
      <c r="E514" s="28"/>
      <c r="F514" s="28"/>
    </row>
    <row r="515">
      <c r="E515" s="28"/>
      <c r="F515" s="28"/>
    </row>
    <row r="516">
      <c r="E516" s="28"/>
      <c r="F516" s="28"/>
    </row>
    <row r="517">
      <c r="E517" s="28"/>
      <c r="F517" s="28"/>
    </row>
    <row r="518">
      <c r="E518" s="28"/>
      <c r="F518" s="28"/>
    </row>
    <row r="519">
      <c r="E519" s="28"/>
      <c r="F519" s="28"/>
    </row>
    <row r="520">
      <c r="E520" s="28"/>
      <c r="F520" s="28"/>
    </row>
    <row r="521">
      <c r="E521" s="28"/>
      <c r="F521" s="28"/>
    </row>
    <row r="522">
      <c r="E522" s="28"/>
      <c r="F522" s="28"/>
    </row>
    <row r="523">
      <c r="E523" s="28"/>
      <c r="F523" s="28"/>
    </row>
    <row r="524">
      <c r="E524" s="28"/>
      <c r="F524" s="28"/>
    </row>
    <row r="525">
      <c r="E525" s="28"/>
      <c r="F525" s="28"/>
    </row>
    <row r="526">
      <c r="E526" s="28"/>
      <c r="F526" s="28"/>
    </row>
    <row r="527">
      <c r="E527" s="28"/>
      <c r="F527" s="28"/>
    </row>
    <row r="528">
      <c r="E528" s="28"/>
      <c r="F528" s="28"/>
    </row>
    <row r="529">
      <c r="E529" s="28"/>
      <c r="F529" s="28"/>
    </row>
    <row r="530">
      <c r="E530" s="28"/>
      <c r="F530" s="28"/>
    </row>
    <row r="531">
      <c r="E531" s="28"/>
      <c r="F531" s="28"/>
    </row>
    <row r="532">
      <c r="E532" s="28"/>
      <c r="F532" s="28"/>
    </row>
    <row r="533">
      <c r="E533" s="28"/>
      <c r="F533" s="28"/>
    </row>
    <row r="534">
      <c r="E534" s="28"/>
      <c r="F534" s="28"/>
    </row>
    <row r="535">
      <c r="E535" s="28"/>
      <c r="F535" s="28"/>
    </row>
    <row r="536">
      <c r="E536" s="28"/>
      <c r="F536" s="28"/>
    </row>
    <row r="537">
      <c r="E537" s="28"/>
      <c r="F537" s="28"/>
    </row>
    <row r="538">
      <c r="E538" s="28"/>
      <c r="F538" s="28"/>
    </row>
    <row r="539">
      <c r="E539" s="28"/>
      <c r="F539" s="28"/>
    </row>
    <row r="540">
      <c r="E540" s="28"/>
      <c r="F540" s="28"/>
    </row>
    <row r="541">
      <c r="E541" s="28"/>
      <c r="F541" s="28"/>
    </row>
    <row r="542">
      <c r="E542" s="28"/>
      <c r="F542" s="28"/>
    </row>
    <row r="543">
      <c r="E543" s="28"/>
      <c r="F543" s="28"/>
    </row>
    <row r="544">
      <c r="E544" s="28"/>
      <c r="F544" s="28"/>
    </row>
    <row r="545">
      <c r="E545" s="28"/>
      <c r="F545" s="28"/>
    </row>
    <row r="546">
      <c r="E546" s="28"/>
      <c r="F546" s="28"/>
    </row>
    <row r="547">
      <c r="E547" s="28"/>
      <c r="F547" s="28"/>
    </row>
    <row r="548">
      <c r="E548" s="28"/>
      <c r="F548" s="28"/>
    </row>
    <row r="549">
      <c r="E549" s="28"/>
      <c r="F549" s="28"/>
    </row>
    <row r="550">
      <c r="E550" s="28"/>
      <c r="F550" s="28"/>
    </row>
    <row r="551">
      <c r="E551" s="28"/>
      <c r="F551" s="28"/>
    </row>
    <row r="552">
      <c r="E552" s="28"/>
      <c r="F552" s="28"/>
    </row>
    <row r="553">
      <c r="E553" s="28"/>
      <c r="F553" s="28"/>
    </row>
    <row r="554">
      <c r="E554" s="28"/>
      <c r="F554" s="28"/>
    </row>
    <row r="555">
      <c r="E555" s="28"/>
      <c r="F555" s="28"/>
    </row>
    <row r="556">
      <c r="E556" s="28"/>
      <c r="F556" s="28"/>
    </row>
    <row r="557">
      <c r="E557" s="28"/>
      <c r="F557" s="28"/>
    </row>
    <row r="558">
      <c r="E558" s="28"/>
      <c r="F558" s="28"/>
    </row>
    <row r="559">
      <c r="E559" s="28"/>
      <c r="F559" s="28"/>
    </row>
    <row r="560">
      <c r="E560" s="28"/>
      <c r="F560" s="28"/>
    </row>
    <row r="561">
      <c r="E561" s="28"/>
      <c r="F561" s="28"/>
    </row>
    <row r="562">
      <c r="E562" s="28"/>
      <c r="F562" s="28"/>
    </row>
    <row r="563">
      <c r="E563" s="28"/>
      <c r="F563" s="28"/>
    </row>
    <row r="564">
      <c r="E564" s="28"/>
      <c r="F564" s="28"/>
    </row>
    <row r="565">
      <c r="E565" s="28"/>
      <c r="F565" s="28"/>
    </row>
    <row r="566">
      <c r="E566" s="28"/>
      <c r="F566" s="28"/>
    </row>
    <row r="567">
      <c r="E567" s="28"/>
      <c r="F567" s="28"/>
    </row>
    <row r="568">
      <c r="E568" s="28"/>
      <c r="F568" s="28"/>
    </row>
    <row r="569">
      <c r="E569" s="28"/>
      <c r="F569" s="28"/>
    </row>
    <row r="570">
      <c r="E570" s="28"/>
      <c r="F570" s="28"/>
    </row>
    <row r="571">
      <c r="E571" s="28"/>
      <c r="F571" s="28"/>
    </row>
    <row r="572">
      <c r="E572" s="28"/>
      <c r="F572" s="28"/>
    </row>
    <row r="573">
      <c r="E573" s="28"/>
      <c r="F573" s="28"/>
    </row>
    <row r="574">
      <c r="E574" s="28"/>
      <c r="F574" s="28"/>
    </row>
    <row r="575">
      <c r="E575" s="28"/>
      <c r="F575" s="28"/>
    </row>
    <row r="576">
      <c r="E576" s="28"/>
      <c r="F576" s="28"/>
    </row>
    <row r="577">
      <c r="E577" s="28"/>
      <c r="F577" s="28"/>
    </row>
    <row r="578">
      <c r="E578" s="28"/>
      <c r="F578" s="28"/>
    </row>
    <row r="579">
      <c r="E579" s="28"/>
      <c r="F579" s="28"/>
    </row>
    <row r="580">
      <c r="E580" s="28"/>
      <c r="F580" s="28"/>
    </row>
    <row r="581">
      <c r="E581" s="28"/>
      <c r="F581" s="28"/>
    </row>
    <row r="582">
      <c r="E582" s="28"/>
      <c r="F582" s="28"/>
    </row>
    <row r="583">
      <c r="E583" s="28"/>
      <c r="F583" s="28"/>
    </row>
    <row r="584">
      <c r="E584" s="28"/>
      <c r="F584" s="28"/>
    </row>
    <row r="585">
      <c r="E585" s="28"/>
      <c r="F585" s="28"/>
    </row>
    <row r="586">
      <c r="E586" s="28"/>
      <c r="F586" s="28"/>
    </row>
    <row r="587">
      <c r="E587" s="28"/>
      <c r="F587" s="28"/>
    </row>
    <row r="588">
      <c r="E588" s="28"/>
      <c r="F588" s="28"/>
    </row>
    <row r="589">
      <c r="E589" s="28"/>
      <c r="F589" s="28"/>
    </row>
    <row r="590">
      <c r="E590" s="28"/>
      <c r="F590" s="28"/>
    </row>
  </sheetData>
  <dataValidations>
    <dataValidation type="list" allowBlank="1" showErrorMessage="1" sqref="F2:F590">
      <formula1>"Not a research paper,Not in peer reviewed journal,Not about LLMs,Not about Sycophancy,Not about either LLMs or Sycophancy,Other (Explanation -&gt;)"</formula1>
    </dataValidation>
    <dataValidation type="list" allowBlank="1" showErrorMessage="1" sqref="E2:E590">
      <formula1>"Include,Exclude"</formula1>
    </dataValidation>
  </dataValidations>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 r:id="rId55" ref="A53"/>
    <hyperlink r:id="rId56" ref="A54"/>
    <hyperlink r:id="rId57" ref="A55"/>
    <hyperlink r:id="rId58" ref="A56"/>
    <hyperlink r:id="rId59" ref="A57"/>
    <hyperlink r:id="rId60" ref="A58"/>
    <hyperlink r:id="rId61" ref="A59"/>
    <hyperlink r:id="rId62" ref="A60"/>
    <hyperlink r:id="rId63" ref="A61"/>
    <hyperlink r:id="rId64" ref="A62"/>
    <hyperlink r:id="rId65" ref="A63"/>
    <hyperlink r:id="rId66" ref="A64"/>
    <hyperlink r:id="rId67" ref="A65"/>
    <hyperlink r:id="rId68" ref="A66"/>
    <hyperlink r:id="rId69" ref="A67"/>
    <hyperlink r:id="rId70" ref="A68"/>
    <hyperlink r:id="rId71" ref="A69"/>
    <hyperlink r:id="rId72" ref="A70"/>
    <hyperlink r:id="rId73" ref="A71"/>
    <hyperlink r:id="rId74" ref="A72"/>
    <hyperlink r:id="rId75" ref="A73"/>
    <hyperlink r:id="rId76" ref="A74"/>
    <hyperlink r:id="rId77" ref="A75"/>
    <hyperlink r:id="rId78" ref="A76"/>
    <hyperlink r:id="rId79" ref="A77"/>
    <hyperlink r:id="rId80" ref="A78"/>
    <hyperlink r:id="rId81" ref="A79"/>
    <hyperlink r:id="rId82" ref="A80"/>
    <hyperlink r:id="rId83" ref="A81"/>
    <hyperlink r:id="rId84" ref="A82"/>
    <hyperlink r:id="rId85" ref="A83"/>
    <hyperlink r:id="rId86" ref="A84"/>
    <hyperlink r:id="rId87" ref="A85"/>
    <hyperlink r:id="rId88" ref="A86"/>
    <hyperlink r:id="rId89" ref="A87"/>
    <hyperlink r:id="rId90" ref="A88"/>
    <hyperlink r:id="rId91" ref="A89"/>
    <hyperlink r:id="rId92" ref="A90"/>
    <hyperlink r:id="rId93" ref="A91"/>
    <hyperlink r:id="rId94" ref="A92"/>
    <hyperlink r:id="rId95" ref="A93"/>
    <hyperlink r:id="rId96" ref="A94"/>
    <hyperlink r:id="rId97" ref="A95"/>
    <hyperlink r:id="rId98" ref="A96"/>
    <hyperlink r:id="rId99" ref="A97"/>
    <hyperlink r:id="rId100" ref="A98"/>
    <hyperlink r:id="rId101" ref="A99"/>
    <hyperlink r:id="rId102" ref="A100"/>
    <hyperlink r:id="rId103" ref="A101"/>
    <hyperlink r:id="rId104" ref="A102"/>
    <hyperlink r:id="rId105" ref="A103"/>
    <hyperlink r:id="rId106" ref="A104"/>
    <hyperlink r:id="rId107" ref="A105"/>
    <hyperlink r:id="rId108" ref="A106"/>
    <hyperlink r:id="rId109" ref="A107"/>
    <hyperlink r:id="rId110" ref="A108"/>
    <hyperlink r:id="rId111" ref="A109"/>
    <hyperlink r:id="rId112" ref="A110"/>
    <hyperlink r:id="rId113" ref="A111"/>
    <hyperlink r:id="rId114" ref="A112"/>
    <hyperlink r:id="rId115" ref="A113"/>
    <hyperlink r:id="rId116" ref="A114"/>
    <hyperlink r:id="rId117" ref="A115"/>
    <hyperlink r:id="rId118" ref="A116"/>
    <hyperlink r:id="rId119" ref="A117"/>
    <hyperlink r:id="rId120" ref="A118"/>
    <hyperlink r:id="rId121" ref="A119"/>
    <hyperlink r:id="rId122" ref="A120"/>
    <hyperlink r:id="rId123" ref="A121"/>
    <hyperlink r:id="rId124" ref="A122"/>
    <hyperlink r:id="rId125" ref="A123"/>
    <hyperlink r:id="rId126" ref="A124"/>
    <hyperlink r:id="rId127" ref="A125"/>
    <hyperlink r:id="rId128" ref="A126"/>
    <hyperlink r:id="rId129" ref="A127"/>
    <hyperlink r:id="rId130" ref="A128"/>
    <hyperlink r:id="rId131" ref="A129"/>
    <hyperlink r:id="rId132" ref="A130"/>
    <hyperlink r:id="rId133" ref="A131"/>
    <hyperlink r:id="rId134" ref="A132"/>
    <hyperlink r:id="rId135" ref="A133"/>
    <hyperlink r:id="rId136" ref="A134"/>
    <hyperlink r:id="rId137" ref="A135"/>
    <hyperlink r:id="rId138" ref="A136"/>
    <hyperlink r:id="rId139" ref="A137"/>
    <hyperlink r:id="rId140" ref="A138"/>
    <hyperlink r:id="rId141" ref="A139"/>
    <hyperlink r:id="rId142" ref="A140"/>
    <hyperlink r:id="rId143" ref="A141"/>
    <hyperlink r:id="rId144" ref="A142"/>
    <hyperlink r:id="rId145" ref="A143"/>
    <hyperlink r:id="rId146" ref="A144"/>
    <hyperlink r:id="rId147" ref="A145"/>
    <hyperlink r:id="rId148" ref="A146"/>
    <hyperlink r:id="rId149" ref="A147"/>
    <hyperlink r:id="rId150" ref="A148"/>
    <hyperlink r:id="rId151" ref="A149"/>
    <hyperlink r:id="rId152" ref="A150"/>
    <hyperlink r:id="rId153" ref="A151"/>
    <hyperlink r:id="rId154" ref="A152"/>
    <hyperlink r:id="rId155" ref="A153"/>
    <hyperlink r:id="rId156" ref="A154"/>
    <hyperlink r:id="rId157" ref="A155"/>
    <hyperlink r:id="rId158" ref="A156"/>
    <hyperlink r:id="rId159" ref="A157"/>
    <hyperlink r:id="rId160" ref="A158"/>
    <hyperlink r:id="rId161" ref="A159"/>
    <hyperlink r:id="rId162" ref="A160"/>
    <hyperlink r:id="rId163" ref="A161"/>
    <hyperlink r:id="rId164" ref="A162"/>
    <hyperlink r:id="rId165" ref="A163"/>
    <hyperlink r:id="rId166" ref="A164"/>
    <hyperlink r:id="rId167" ref="A165"/>
    <hyperlink r:id="rId168" ref="A166"/>
    <hyperlink r:id="rId169" ref="A167"/>
    <hyperlink r:id="rId170" ref="A168"/>
    <hyperlink r:id="rId171" ref="A169"/>
    <hyperlink r:id="rId172" ref="A170"/>
    <hyperlink r:id="rId173" ref="A171"/>
    <hyperlink r:id="rId174" ref="A172"/>
    <hyperlink r:id="rId175" ref="A173"/>
    <hyperlink r:id="rId176" ref="A174"/>
    <hyperlink r:id="rId177" ref="A175"/>
    <hyperlink r:id="rId178" ref="A176"/>
    <hyperlink r:id="rId179" ref="A177"/>
    <hyperlink r:id="rId180" ref="A178"/>
    <hyperlink r:id="rId181" ref="A179"/>
    <hyperlink r:id="rId182" ref="A180"/>
    <hyperlink r:id="rId183" ref="A181"/>
    <hyperlink r:id="rId184" ref="A182"/>
    <hyperlink r:id="rId185" ref="A183"/>
    <hyperlink r:id="rId186" ref="A184"/>
    <hyperlink r:id="rId187" ref="A185"/>
    <hyperlink r:id="rId188" ref="A186"/>
    <hyperlink r:id="rId189" ref="A187"/>
    <hyperlink r:id="rId190" ref="A188"/>
    <hyperlink r:id="rId191" ref="A189"/>
    <hyperlink r:id="rId192" ref="A190"/>
    <hyperlink r:id="rId193" ref="A191"/>
    <hyperlink r:id="rId194" ref="A192"/>
    <hyperlink r:id="rId195" ref="A193"/>
    <hyperlink r:id="rId196" ref="A194"/>
    <hyperlink r:id="rId197" ref="A195"/>
    <hyperlink r:id="rId198" ref="A196"/>
    <hyperlink r:id="rId199" ref="A197"/>
    <hyperlink r:id="rId200" ref="A198"/>
    <hyperlink r:id="rId201" ref="A199"/>
    <hyperlink r:id="rId202" ref="A200"/>
    <hyperlink r:id="rId203" ref="A201"/>
    <hyperlink r:id="rId204" ref="A202"/>
    <hyperlink r:id="rId205" ref="A203"/>
    <hyperlink r:id="rId206" ref="A204"/>
    <hyperlink r:id="rId207" ref="A205"/>
    <hyperlink r:id="rId208" ref="A206"/>
    <hyperlink r:id="rId209" ref="A207"/>
    <hyperlink r:id="rId210" ref="A208"/>
    <hyperlink r:id="rId211" ref="A209"/>
    <hyperlink r:id="rId212" ref="A210"/>
    <hyperlink r:id="rId213" ref="A211"/>
    <hyperlink r:id="rId214" ref="A212"/>
    <hyperlink r:id="rId215" ref="A213"/>
    <hyperlink r:id="rId216" ref="A214"/>
    <hyperlink r:id="rId217" ref="A215"/>
    <hyperlink r:id="rId218" ref="A216"/>
    <hyperlink r:id="rId219" ref="A217"/>
    <hyperlink r:id="rId220" ref="A218"/>
    <hyperlink r:id="rId221" ref="A219"/>
    <hyperlink r:id="rId222" ref="A220"/>
    <hyperlink r:id="rId223" ref="A221"/>
    <hyperlink r:id="rId224" ref="A222"/>
    <hyperlink r:id="rId225" ref="A223"/>
    <hyperlink r:id="rId226" ref="A224"/>
    <hyperlink r:id="rId227" ref="A225"/>
    <hyperlink r:id="rId228" ref="A226"/>
    <hyperlink r:id="rId229" ref="A227"/>
    <hyperlink r:id="rId230" ref="A228"/>
    <hyperlink r:id="rId231" ref="A229"/>
    <hyperlink r:id="rId232" ref="A230"/>
    <hyperlink r:id="rId233" ref="A231"/>
    <hyperlink r:id="rId234" ref="A232"/>
    <hyperlink r:id="rId235" ref="A233"/>
    <hyperlink r:id="rId236" ref="A234"/>
    <hyperlink r:id="rId237" ref="A235"/>
    <hyperlink r:id="rId238" ref="A236"/>
    <hyperlink r:id="rId239" ref="A237"/>
    <hyperlink r:id="rId240" ref="A238"/>
    <hyperlink r:id="rId241" ref="A239"/>
    <hyperlink r:id="rId242" ref="A240"/>
    <hyperlink r:id="rId243" ref="A241"/>
    <hyperlink r:id="rId244" ref="A242"/>
    <hyperlink r:id="rId245" ref="A243"/>
    <hyperlink r:id="rId246" ref="A244"/>
    <hyperlink r:id="rId247" ref="A245"/>
    <hyperlink r:id="rId248" ref="A246"/>
    <hyperlink r:id="rId249" ref="A247"/>
    <hyperlink r:id="rId250" ref="A248"/>
    <hyperlink r:id="rId251" ref="A249"/>
    <hyperlink r:id="rId252" ref="A250"/>
    <hyperlink r:id="rId253" ref="A251"/>
    <hyperlink r:id="rId254" ref="A252"/>
    <hyperlink r:id="rId255" ref="A253"/>
    <hyperlink r:id="rId256" ref="A254"/>
    <hyperlink r:id="rId257" ref="A255"/>
    <hyperlink r:id="rId258" ref="A256"/>
    <hyperlink r:id="rId259" ref="A257"/>
    <hyperlink r:id="rId260" ref="A258"/>
    <hyperlink r:id="rId261" ref="A259"/>
    <hyperlink r:id="rId262" ref="A260"/>
    <hyperlink r:id="rId263" ref="A261"/>
    <hyperlink r:id="rId264" ref="A262"/>
    <hyperlink r:id="rId265" ref="A263"/>
    <hyperlink r:id="rId266" ref="A264"/>
    <hyperlink r:id="rId267" ref="A265"/>
    <hyperlink r:id="rId268" ref="A266"/>
    <hyperlink r:id="rId269" ref="A267"/>
    <hyperlink r:id="rId270" ref="A268"/>
    <hyperlink r:id="rId271" ref="A269"/>
    <hyperlink r:id="rId272" ref="A270"/>
    <hyperlink r:id="rId273" ref="A271"/>
    <hyperlink r:id="rId274" ref="A272"/>
    <hyperlink r:id="rId275" ref="A273"/>
    <hyperlink r:id="rId276" ref="A274"/>
    <hyperlink r:id="rId277" ref="A275"/>
    <hyperlink r:id="rId278" ref="A276"/>
    <hyperlink r:id="rId279" ref="A277"/>
    <hyperlink r:id="rId280" ref="A278"/>
    <hyperlink r:id="rId281" ref="A279"/>
    <hyperlink r:id="rId282" ref="A280"/>
    <hyperlink r:id="rId283" ref="A281"/>
    <hyperlink r:id="rId284" ref="A282"/>
    <hyperlink r:id="rId285" ref="A283"/>
    <hyperlink r:id="rId286" ref="A284"/>
    <hyperlink r:id="rId287" ref="A285"/>
    <hyperlink r:id="rId288" ref="A286"/>
    <hyperlink r:id="rId289" ref="A287"/>
    <hyperlink r:id="rId290" ref="A288"/>
    <hyperlink r:id="rId291" ref="A289"/>
    <hyperlink r:id="rId292" ref="A290"/>
    <hyperlink r:id="rId293" ref="A291"/>
    <hyperlink r:id="rId294" ref="A292"/>
    <hyperlink r:id="rId295" ref="A293"/>
    <hyperlink r:id="rId296" ref="A294"/>
    <hyperlink r:id="rId297" ref="A295"/>
    <hyperlink r:id="rId298" ref="A296"/>
    <hyperlink r:id="rId299" ref="A297"/>
    <hyperlink r:id="rId300" ref="A298"/>
    <hyperlink r:id="rId301" ref="A299"/>
    <hyperlink r:id="rId302" ref="A300"/>
    <hyperlink r:id="rId303" ref="A301"/>
    <hyperlink r:id="rId304" ref="A302"/>
    <hyperlink r:id="rId305" ref="A303"/>
    <hyperlink r:id="rId306" ref="A304"/>
    <hyperlink r:id="rId307" ref="A305"/>
    <hyperlink r:id="rId308" ref="A306"/>
    <hyperlink r:id="rId309" ref="A307"/>
    <hyperlink r:id="rId310" ref="A308"/>
    <hyperlink r:id="rId311" ref="A309"/>
    <hyperlink r:id="rId312" ref="A310"/>
    <hyperlink r:id="rId313" ref="A311"/>
    <hyperlink r:id="rId314" ref="A312"/>
    <hyperlink r:id="rId315" ref="A313"/>
    <hyperlink r:id="rId316" ref="A314"/>
    <hyperlink r:id="rId317" ref="A315"/>
    <hyperlink r:id="rId318" ref="A316"/>
    <hyperlink r:id="rId319" ref="A317"/>
    <hyperlink r:id="rId320" ref="A318"/>
    <hyperlink r:id="rId321" ref="A319"/>
    <hyperlink r:id="rId322" ref="A320"/>
    <hyperlink r:id="rId323" ref="A321"/>
    <hyperlink r:id="rId324" ref="A322"/>
    <hyperlink r:id="rId325" ref="A323"/>
    <hyperlink r:id="rId326" ref="A324"/>
    <hyperlink r:id="rId327" ref="A325"/>
    <hyperlink r:id="rId328" ref="A326"/>
    <hyperlink r:id="rId329" ref="A327"/>
    <hyperlink r:id="rId330" ref="A328"/>
    <hyperlink r:id="rId331" ref="A329"/>
    <hyperlink r:id="rId332" ref="A330"/>
    <hyperlink r:id="rId333" ref="A331"/>
    <hyperlink r:id="rId334" ref="A332"/>
    <hyperlink r:id="rId335" ref="A333"/>
    <hyperlink r:id="rId336" ref="A334"/>
    <hyperlink r:id="rId337" ref="A335"/>
    <hyperlink r:id="rId338" ref="A336"/>
    <hyperlink r:id="rId339" ref="A337"/>
    <hyperlink r:id="rId340" ref="A338"/>
    <hyperlink r:id="rId341" ref="A339"/>
    <hyperlink r:id="rId342" ref="A340"/>
    <hyperlink r:id="rId343" ref="A341"/>
    <hyperlink r:id="rId344" ref="A342"/>
    <hyperlink r:id="rId345" ref="A343"/>
    <hyperlink r:id="rId346" ref="A344"/>
    <hyperlink r:id="rId347" ref="A345"/>
    <hyperlink r:id="rId348" ref="A346"/>
    <hyperlink r:id="rId349" ref="A347"/>
    <hyperlink r:id="rId350" ref="A348"/>
    <hyperlink r:id="rId351" ref="A349"/>
    <hyperlink r:id="rId352" ref="A350"/>
    <hyperlink r:id="rId353" ref="A351"/>
    <hyperlink r:id="rId354" ref="A352"/>
    <hyperlink r:id="rId355" ref="A353"/>
    <hyperlink r:id="rId356" ref="A354"/>
    <hyperlink r:id="rId357" ref="A355"/>
    <hyperlink r:id="rId358" ref="A356"/>
    <hyperlink r:id="rId359" ref="A357"/>
    <hyperlink r:id="rId360" ref="A358"/>
    <hyperlink r:id="rId361" ref="A359"/>
    <hyperlink r:id="rId362" ref="A360"/>
    <hyperlink r:id="rId363" ref="A361"/>
    <hyperlink r:id="rId364" ref="A362"/>
    <hyperlink r:id="rId365" ref="A363"/>
    <hyperlink r:id="rId366" ref="A364"/>
    <hyperlink r:id="rId367" ref="A365"/>
    <hyperlink r:id="rId368" ref="A366"/>
    <hyperlink r:id="rId369" ref="A367"/>
    <hyperlink r:id="rId370" ref="A368"/>
    <hyperlink r:id="rId371" ref="A369"/>
    <hyperlink r:id="rId372" ref="A370"/>
    <hyperlink r:id="rId373" ref="A371"/>
    <hyperlink r:id="rId374" ref="A372"/>
    <hyperlink r:id="rId375" ref="A373"/>
    <hyperlink r:id="rId376" ref="A374"/>
    <hyperlink r:id="rId377" ref="A375"/>
    <hyperlink r:id="rId378" ref="A376"/>
    <hyperlink r:id="rId379" ref="A377"/>
    <hyperlink r:id="rId380" ref="A378"/>
    <hyperlink r:id="rId381" ref="A379"/>
    <hyperlink r:id="rId382" ref="A380"/>
    <hyperlink r:id="rId383" ref="A381"/>
    <hyperlink r:id="rId384" ref="A382"/>
    <hyperlink r:id="rId385" ref="A383"/>
    <hyperlink r:id="rId386" ref="A384"/>
    <hyperlink r:id="rId387" ref="A385"/>
    <hyperlink r:id="rId388" ref="A386"/>
    <hyperlink r:id="rId389" ref="A387"/>
    <hyperlink r:id="rId390" ref="A388"/>
    <hyperlink r:id="rId391" ref="A389"/>
    <hyperlink r:id="rId392" ref="A390"/>
    <hyperlink r:id="rId393" ref="A391"/>
    <hyperlink r:id="rId394" ref="A392"/>
    <hyperlink r:id="rId395" ref="A393"/>
    <hyperlink r:id="rId396" ref="A394"/>
    <hyperlink r:id="rId397" ref="A395"/>
    <hyperlink r:id="rId398" ref="A396"/>
  </hyperlinks>
  <drawing r:id="rId399"/>
  <legacyDrawing r:id="rId40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5.75"/>
    <col customWidth="1" min="2" max="2" width="13.88"/>
    <col customWidth="1" min="3" max="3" width="30.0"/>
    <col customWidth="1" min="4" max="4" width="17.75"/>
    <col customWidth="1" min="5" max="5" width="16.38"/>
    <col customWidth="1" min="6" max="6" width="23.5"/>
  </cols>
  <sheetData>
    <row r="1">
      <c r="A1" s="13" t="s">
        <v>0</v>
      </c>
      <c r="B1" s="13" t="s">
        <v>1311</v>
      </c>
      <c r="C1" s="13"/>
      <c r="D1" s="19" t="s">
        <v>1312</v>
      </c>
      <c r="E1" s="19" t="s">
        <v>1313</v>
      </c>
      <c r="F1" s="19" t="s">
        <v>1314</v>
      </c>
      <c r="G1" s="19" t="s">
        <v>1315</v>
      </c>
    </row>
    <row r="2">
      <c r="A2" s="24" t="s">
        <v>1089</v>
      </c>
      <c r="B2" s="19" t="s">
        <v>1090</v>
      </c>
      <c r="C2" s="19" t="s">
        <v>1091</v>
      </c>
      <c r="D2" s="19" t="s">
        <v>1344</v>
      </c>
      <c r="E2" s="19" t="s">
        <v>1317</v>
      </c>
      <c r="F2" s="19" t="s">
        <v>1318</v>
      </c>
    </row>
    <row r="3">
      <c r="A3" s="24" t="s">
        <v>1185</v>
      </c>
      <c r="B3" s="19" t="s">
        <v>1186</v>
      </c>
      <c r="C3" s="19" t="s">
        <v>1187</v>
      </c>
      <c r="D3" s="19" t="s">
        <v>1344</v>
      </c>
      <c r="E3" s="19" t="s">
        <v>1317</v>
      </c>
      <c r="F3" s="19" t="s">
        <v>1318</v>
      </c>
    </row>
    <row r="4">
      <c r="A4" s="24" t="s">
        <v>1182</v>
      </c>
      <c r="B4" s="19" t="s">
        <v>1183</v>
      </c>
      <c r="C4" s="19" t="s">
        <v>1184</v>
      </c>
      <c r="D4" s="19" t="s">
        <v>1344</v>
      </c>
      <c r="E4" s="19" t="s">
        <v>1317</v>
      </c>
      <c r="F4" s="19" t="s">
        <v>1318</v>
      </c>
    </row>
    <row r="5">
      <c r="A5" s="21" t="s">
        <v>155</v>
      </c>
      <c r="B5" s="22" t="s">
        <v>156</v>
      </c>
      <c r="C5" s="22" t="s">
        <v>157</v>
      </c>
      <c r="D5" s="19" t="s">
        <v>1345</v>
      </c>
      <c r="E5" s="19" t="s">
        <v>1317</v>
      </c>
      <c r="F5" s="19" t="s">
        <v>1318</v>
      </c>
    </row>
    <row r="6">
      <c r="A6" s="21" t="s">
        <v>137</v>
      </c>
      <c r="B6" s="22" t="s">
        <v>138</v>
      </c>
      <c r="C6" s="22" t="s">
        <v>139</v>
      </c>
      <c r="D6" s="19" t="s">
        <v>1346</v>
      </c>
      <c r="E6" s="19" t="s">
        <v>1317</v>
      </c>
      <c r="F6" s="19" t="s">
        <v>1318</v>
      </c>
    </row>
    <row r="7">
      <c r="A7" s="21" t="s">
        <v>209</v>
      </c>
      <c r="B7" s="22" t="s">
        <v>210</v>
      </c>
      <c r="C7" s="22" t="s">
        <v>211</v>
      </c>
      <c r="D7" s="19" t="s">
        <v>1346</v>
      </c>
      <c r="E7" s="19" t="s">
        <v>1320</v>
      </c>
      <c r="F7" s="28"/>
    </row>
    <row r="8">
      <c r="A8" s="21" t="s">
        <v>140</v>
      </c>
      <c r="B8" s="22" t="s">
        <v>141</v>
      </c>
      <c r="C8" s="22" t="s">
        <v>142</v>
      </c>
      <c r="D8" s="19" t="s">
        <v>1345</v>
      </c>
      <c r="E8" s="19" t="s">
        <v>1317</v>
      </c>
      <c r="F8" s="19" t="s">
        <v>1323</v>
      </c>
    </row>
    <row r="9">
      <c r="A9" s="21" t="s">
        <v>32</v>
      </c>
      <c r="B9" s="22" t="s">
        <v>34</v>
      </c>
      <c r="C9" s="22" t="s">
        <v>33</v>
      </c>
      <c r="D9" s="19" t="s">
        <v>1344</v>
      </c>
      <c r="E9" s="19" t="s">
        <v>1320</v>
      </c>
      <c r="F9" s="28"/>
    </row>
    <row r="10">
      <c r="A10" s="21" t="s">
        <v>203</v>
      </c>
      <c r="B10" s="22" t="s">
        <v>204</v>
      </c>
      <c r="C10" s="22" t="s">
        <v>205</v>
      </c>
      <c r="D10" s="19" t="s">
        <v>1344</v>
      </c>
      <c r="E10" s="19" t="s">
        <v>1317</v>
      </c>
      <c r="F10" s="28"/>
      <c r="G10" s="19" t="s">
        <v>1347</v>
      </c>
    </row>
    <row r="11">
      <c r="A11" s="24" t="s">
        <v>690</v>
      </c>
      <c r="B11" s="19" t="s">
        <v>691</v>
      </c>
      <c r="C11" s="19" t="s">
        <v>692</v>
      </c>
      <c r="D11" s="19" t="s">
        <v>1345</v>
      </c>
      <c r="E11" s="19" t="s">
        <v>1317</v>
      </c>
      <c r="F11" s="19" t="s">
        <v>1318</v>
      </c>
    </row>
    <row r="12">
      <c r="A12" s="21" t="s">
        <v>167</v>
      </c>
      <c r="B12" s="22" t="s">
        <v>168</v>
      </c>
      <c r="C12" s="22" t="s">
        <v>169</v>
      </c>
      <c r="D12" s="19" t="s">
        <v>1344</v>
      </c>
      <c r="E12" s="19" t="s">
        <v>1317</v>
      </c>
      <c r="F12" s="19" t="s">
        <v>1318</v>
      </c>
    </row>
    <row r="13">
      <c r="A13" s="21" t="s">
        <v>37</v>
      </c>
      <c r="B13" s="22" t="s">
        <v>39</v>
      </c>
      <c r="C13" s="22" t="s">
        <v>38</v>
      </c>
      <c r="D13" s="19" t="s">
        <v>1344</v>
      </c>
      <c r="E13" s="19" t="s">
        <v>1320</v>
      </c>
      <c r="F13" s="28"/>
    </row>
    <row r="14">
      <c r="A14" s="21" t="s">
        <v>187</v>
      </c>
      <c r="B14" s="22" t="s">
        <v>188</v>
      </c>
      <c r="C14" s="22" t="s">
        <v>189</v>
      </c>
      <c r="D14" s="19" t="s">
        <v>1346</v>
      </c>
      <c r="E14" s="19" t="s">
        <v>1317</v>
      </c>
      <c r="F14" s="19" t="s">
        <v>1323</v>
      </c>
    </row>
    <row r="15">
      <c r="A15" s="24" t="s">
        <v>1086</v>
      </c>
      <c r="B15" s="19" t="s">
        <v>1087</v>
      </c>
      <c r="C15" s="19" t="s">
        <v>1088</v>
      </c>
      <c r="D15" s="19" t="s">
        <v>1346</v>
      </c>
      <c r="E15" s="19" t="s">
        <v>1317</v>
      </c>
      <c r="F15" s="19" t="s">
        <v>1318</v>
      </c>
    </row>
    <row r="16">
      <c r="A16" s="24" t="s">
        <v>958</v>
      </c>
      <c r="B16" s="19" t="s">
        <v>959</v>
      </c>
      <c r="C16" s="19" t="s">
        <v>960</v>
      </c>
      <c r="D16" s="19" t="s">
        <v>1344</v>
      </c>
      <c r="E16" s="19" t="s">
        <v>1317</v>
      </c>
      <c r="F16" s="19" t="s">
        <v>1318</v>
      </c>
    </row>
    <row r="17">
      <c r="A17" s="24" t="s">
        <v>1037</v>
      </c>
      <c r="B17" s="19" t="s">
        <v>1038</v>
      </c>
      <c r="C17" s="19" t="s">
        <v>1039</v>
      </c>
      <c r="D17" s="19" t="s">
        <v>1345</v>
      </c>
      <c r="E17" s="19" t="s">
        <v>1317</v>
      </c>
      <c r="F17" s="19" t="s">
        <v>1318</v>
      </c>
    </row>
    <row r="18">
      <c r="A18" s="24" t="s">
        <v>946</v>
      </c>
      <c r="B18" s="19" t="s">
        <v>947</v>
      </c>
      <c r="C18" s="19" t="s">
        <v>948</v>
      </c>
      <c r="D18" s="19" t="s">
        <v>1344</v>
      </c>
      <c r="E18" s="19" t="s">
        <v>1317</v>
      </c>
      <c r="F18" s="19" t="s">
        <v>1318</v>
      </c>
    </row>
    <row r="19">
      <c r="A19" s="21" t="s">
        <v>182</v>
      </c>
      <c r="B19" s="22" t="s">
        <v>183</v>
      </c>
      <c r="C19" s="22" t="s">
        <v>184</v>
      </c>
      <c r="D19" s="19" t="s">
        <v>1344</v>
      </c>
      <c r="E19" s="19" t="s">
        <v>1317</v>
      </c>
      <c r="F19" s="19" t="s">
        <v>1318</v>
      </c>
    </row>
    <row r="20">
      <c r="A20" s="21" t="s">
        <v>161</v>
      </c>
      <c r="B20" s="22" t="s">
        <v>162</v>
      </c>
      <c r="C20" s="22" t="s">
        <v>163</v>
      </c>
      <c r="D20" s="19" t="s">
        <v>1346</v>
      </c>
      <c r="E20" s="19" t="s">
        <v>1317</v>
      </c>
      <c r="F20" s="19" t="s">
        <v>1323</v>
      </c>
    </row>
    <row r="21">
      <c r="A21" s="21" t="s">
        <v>176</v>
      </c>
      <c r="B21" s="22" t="s">
        <v>177</v>
      </c>
      <c r="C21" s="22" t="s">
        <v>178</v>
      </c>
      <c r="D21" s="19" t="s">
        <v>1344</v>
      </c>
      <c r="E21" s="19" t="s">
        <v>1317</v>
      </c>
      <c r="F21" s="19" t="s">
        <v>1323</v>
      </c>
    </row>
    <row r="22">
      <c r="A22" s="21" t="s">
        <v>143</v>
      </c>
      <c r="B22" s="22" t="s">
        <v>144</v>
      </c>
      <c r="C22" s="22" t="s">
        <v>145</v>
      </c>
      <c r="D22" s="19" t="s">
        <v>1346</v>
      </c>
      <c r="E22" s="19" t="s">
        <v>1317</v>
      </c>
      <c r="F22" s="19" t="s">
        <v>1323</v>
      </c>
    </row>
    <row r="23">
      <c r="A23" s="21" t="s">
        <v>146</v>
      </c>
      <c r="B23" s="22" t="s">
        <v>147</v>
      </c>
      <c r="C23" s="22" t="s">
        <v>148</v>
      </c>
      <c r="D23" s="19" t="s">
        <v>1344</v>
      </c>
      <c r="E23" s="19" t="s">
        <v>1317</v>
      </c>
      <c r="F23" s="19" t="s">
        <v>1323</v>
      </c>
    </row>
    <row r="24">
      <c r="A24" s="21" t="s">
        <v>40</v>
      </c>
      <c r="B24" s="22" t="s">
        <v>42</v>
      </c>
      <c r="C24" s="22" t="s">
        <v>41</v>
      </c>
      <c r="D24" s="19" t="s">
        <v>1345</v>
      </c>
      <c r="E24" s="19" t="s">
        <v>1320</v>
      </c>
      <c r="F24" s="28"/>
    </row>
    <row r="25">
      <c r="A25" s="21" t="s">
        <v>152</v>
      </c>
      <c r="B25" s="22" t="s">
        <v>153</v>
      </c>
      <c r="C25" s="22" t="s">
        <v>154</v>
      </c>
      <c r="D25" s="19" t="s">
        <v>1346</v>
      </c>
      <c r="E25" s="19" t="s">
        <v>1317</v>
      </c>
      <c r="F25" s="19" t="s">
        <v>1323</v>
      </c>
    </row>
    <row r="26">
      <c r="A26" s="21" t="s">
        <v>173</v>
      </c>
      <c r="B26" s="22" t="s">
        <v>174</v>
      </c>
      <c r="C26" s="22" t="s">
        <v>175</v>
      </c>
      <c r="D26" s="19" t="s">
        <v>1345</v>
      </c>
      <c r="E26" s="19" t="s">
        <v>1317</v>
      </c>
      <c r="F26" s="19" t="s">
        <v>1318</v>
      </c>
    </row>
    <row r="27">
      <c r="A27" s="21" t="s">
        <v>158</v>
      </c>
      <c r="B27" s="22" t="s">
        <v>159</v>
      </c>
      <c r="C27" s="22" t="s">
        <v>160</v>
      </c>
      <c r="D27" s="19" t="s">
        <v>1345</v>
      </c>
      <c r="E27" s="19" t="s">
        <v>1317</v>
      </c>
      <c r="F27" s="19" t="s">
        <v>1318</v>
      </c>
    </row>
    <row r="28">
      <c r="A28" s="21" t="s">
        <v>193</v>
      </c>
      <c r="B28" s="22" t="s">
        <v>194</v>
      </c>
      <c r="C28" s="22" t="s">
        <v>195</v>
      </c>
      <c r="D28" s="19" t="s">
        <v>1345</v>
      </c>
      <c r="E28" s="19" t="s">
        <v>1317</v>
      </c>
      <c r="F28" s="19" t="s">
        <v>1323</v>
      </c>
    </row>
    <row r="29">
      <c r="A29" s="21" t="s">
        <v>134</v>
      </c>
      <c r="B29" s="22" t="s">
        <v>135</v>
      </c>
      <c r="C29" s="22" t="s">
        <v>136</v>
      </c>
      <c r="D29" s="19" t="s">
        <v>1345</v>
      </c>
      <c r="E29" s="19" t="s">
        <v>1317</v>
      </c>
      <c r="F29" s="19" t="s">
        <v>1318</v>
      </c>
    </row>
    <row r="30">
      <c r="A30" s="21" t="s">
        <v>131</v>
      </c>
      <c r="B30" s="22" t="s">
        <v>132</v>
      </c>
      <c r="C30" s="22" t="s">
        <v>133</v>
      </c>
      <c r="D30" s="19" t="s">
        <v>1345</v>
      </c>
      <c r="E30" s="19" t="s">
        <v>1317</v>
      </c>
      <c r="F30" s="19" t="s">
        <v>1335</v>
      </c>
      <c r="G30" s="19" t="s">
        <v>1348</v>
      </c>
    </row>
    <row r="31">
      <c r="A31" s="24" t="s">
        <v>990</v>
      </c>
      <c r="B31" s="19" t="s">
        <v>991</v>
      </c>
      <c r="C31" s="19" t="s">
        <v>992</v>
      </c>
      <c r="D31" s="19" t="s">
        <v>1345</v>
      </c>
      <c r="E31" s="19" t="s">
        <v>1317</v>
      </c>
      <c r="F31" s="19" t="s">
        <v>1318</v>
      </c>
    </row>
    <row r="32">
      <c r="A32" s="21" t="s">
        <v>200</v>
      </c>
      <c r="B32" s="22" t="s">
        <v>201</v>
      </c>
      <c r="C32" s="22" t="s">
        <v>202</v>
      </c>
      <c r="D32" s="19" t="s">
        <v>1345</v>
      </c>
      <c r="E32" s="19" t="s">
        <v>1317</v>
      </c>
      <c r="F32" s="19" t="s">
        <v>1323</v>
      </c>
    </row>
    <row r="33">
      <c r="A33" s="21" t="s">
        <v>164</v>
      </c>
      <c r="B33" s="22" t="s">
        <v>165</v>
      </c>
      <c r="C33" s="22" t="s">
        <v>166</v>
      </c>
      <c r="D33" s="19" t="s">
        <v>1345</v>
      </c>
      <c r="E33" s="19" t="s">
        <v>1317</v>
      </c>
      <c r="F33" s="19" t="s">
        <v>1318</v>
      </c>
    </row>
    <row r="34">
      <c r="A34" s="21" t="s">
        <v>149</v>
      </c>
      <c r="B34" s="22" t="s">
        <v>150</v>
      </c>
      <c r="C34" s="22" t="s">
        <v>151</v>
      </c>
      <c r="D34" s="19" t="s">
        <v>1345</v>
      </c>
      <c r="E34" s="19" t="s">
        <v>1317</v>
      </c>
      <c r="F34" s="19" t="s">
        <v>1323</v>
      </c>
    </row>
    <row r="35">
      <c r="A35" s="21" t="s">
        <v>206</v>
      </c>
      <c r="B35" s="22" t="s">
        <v>207</v>
      </c>
      <c r="C35" s="22" t="s">
        <v>208</v>
      </c>
      <c r="D35" s="19" t="s">
        <v>1346</v>
      </c>
      <c r="E35" s="19" t="s">
        <v>1317</v>
      </c>
      <c r="F35" s="19" t="s">
        <v>1323</v>
      </c>
    </row>
    <row r="36">
      <c r="A36" s="21" t="s">
        <v>128</v>
      </c>
      <c r="B36" s="22" t="s">
        <v>129</v>
      </c>
      <c r="C36" s="22" t="s">
        <v>130</v>
      </c>
      <c r="D36" s="19" t="s">
        <v>1344</v>
      </c>
      <c r="E36" s="19" t="s">
        <v>1320</v>
      </c>
      <c r="F36" s="28"/>
    </row>
    <row r="37">
      <c r="A37" s="24" t="s">
        <v>234</v>
      </c>
      <c r="B37" s="19" t="s">
        <v>45</v>
      </c>
      <c r="C37" s="19" t="s">
        <v>44</v>
      </c>
      <c r="D37" s="19" t="s">
        <v>1345</v>
      </c>
      <c r="E37" s="19" t="s">
        <v>1317</v>
      </c>
      <c r="F37" s="19" t="s">
        <v>1323</v>
      </c>
    </row>
    <row r="38">
      <c r="A38" s="21" t="s">
        <v>43</v>
      </c>
      <c r="B38" s="22" t="s">
        <v>45</v>
      </c>
      <c r="C38" s="22" t="s">
        <v>44</v>
      </c>
      <c r="D38" s="19" t="s">
        <v>1346</v>
      </c>
      <c r="E38" s="19" t="s">
        <v>1320</v>
      </c>
      <c r="F38" s="28"/>
    </row>
    <row r="39">
      <c r="A39" s="21" t="s">
        <v>212</v>
      </c>
      <c r="B39" s="22" t="s">
        <v>213</v>
      </c>
      <c r="C39" s="22" t="s">
        <v>214</v>
      </c>
      <c r="D39" s="19" t="s">
        <v>1346</v>
      </c>
      <c r="E39" s="19" t="s">
        <v>1317</v>
      </c>
      <c r="F39" s="19" t="s">
        <v>1323</v>
      </c>
    </row>
    <row r="40">
      <c r="A40" s="21" t="s">
        <v>170</v>
      </c>
      <c r="B40" s="22" t="s">
        <v>171</v>
      </c>
      <c r="C40" s="22" t="s">
        <v>172</v>
      </c>
      <c r="D40" s="19" t="s">
        <v>1346</v>
      </c>
      <c r="E40" s="19" t="s">
        <v>1317</v>
      </c>
      <c r="F40" s="19" t="s">
        <v>1318</v>
      </c>
    </row>
    <row r="41">
      <c r="A41" s="24" t="s">
        <v>952</v>
      </c>
      <c r="B41" s="19" t="s">
        <v>953</v>
      </c>
      <c r="C41" s="19" t="s">
        <v>954</v>
      </c>
      <c r="D41" s="19" t="s">
        <v>1346</v>
      </c>
      <c r="E41" s="19" t="s">
        <v>1317</v>
      </c>
      <c r="F41" s="19" t="s">
        <v>1318</v>
      </c>
    </row>
    <row r="42">
      <c r="A42" s="21" t="s">
        <v>179</v>
      </c>
      <c r="B42" s="22" t="s">
        <v>180</v>
      </c>
      <c r="C42" s="22" t="s">
        <v>181</v>
      </c>
      <c r="D42" s="19" t="s">
        <v>1346</v>
      </c>
      <c r="E42" s="19" t="s">
        <v>1317</v>
      </c>
      <c r="F42" s="19" t="s">
        <v>1318</v>
      </c>
    </row>
    <row r="43">
      <c r="A43" s="21" t="s">
        <v>190</v>
      </c>
      <c r="B43" s="22" t="s">
        <v>191</v>
      </c>
      <c r="C43" s="22" t="s">
        <v>192</v>
      </c>
      <c r="D43" s="19" t="s">
        <v>1345</v>
      </c>
      <c r="E43" s="19" t="s">
        <v>1317</v>
      </c>
      <c r="F43" s="19" t="s">
        <v>1323</v>
      </c>
    </row>
    <row r="44">
      <c r="A44" s="24" t="s">
        <v>702</v>
      </c>
      <c r="B44" s="19" t="s">
        <v>703</v>
      </c>
      <c r="C44" s="19" t="s">
        <v>704</v>
      </c>
      <c r="D44" s="19" t="s">
        <v>1346</v>
      </c>
      <c r="E44" s="19" t="s">
        <v>1317</v>
      </c>
      <c r="F44" s="19" t="s">
        <v>1318</v>
      </c>
    </row>
    <row r="45">
      <c r="A45" s="24" t="s">
        <v>1302</v>
      </c>
      <c r="B45" s="19" t="s">
        <v>1303</v>
      </c>
      <c r="C45" s="19" t="s">
        <v>1304</v>
      </c>
      <c r="D45" s="19" t="s">
        <v>1345</v>
      </c>
      <c r="E45" s="19" t="s">
        <v>1317</v>
      </c>
      <c r="F45" s="19" t="s">
        <v>1326</v>
      </c>
    </row>
    <row r="46">
      <c r="A46" s="24" t="s">
        <v>750</v>
      </c>
      <c r="B46" s="19" t="s">
        <v>751</v>
      </c>
      <c r="C46" s="19" t="s">
        <v>752</v>
      </c>
      <c r="D46" s="19" t="s">
        <v>1346</v>
      </c>
      <c r="E46" s="19" t="s">
        <v>1317</v>
      </c>
      <c r="F46" s="19" t="s">
        <v>1318</v>
      </c>
    </row>
    <row r="47">
      <c r="A47" s="24" t="s">
        <v>736</v>
      </c>
      <c r="B47" s="19" t="s">
        <v>737</v>
      </c>
      <c r="C47" s="19" t="s">
        <v>738</v>
      </c>
      <c r="D47" s="19" t="s">
        <v>1346</v>
      </c>
      <c r="E47" s="19" t="s">
        <v>1317</v>
      </c>
      <c r="F47" s="19" t="s">
        <v>1318</v>
      </c>
    </row>
    <row r="48">
      <c r="A48" s="24" t="s">
        <v>725</v>
      </c>
      <c r="B48" s="19" t="s">
        <v>726</v>
      </c>
      <c r="C48" s="19" t="s">
        <v>727</v>
      </c>
      <c r="D48" s="19" t="s">
        <v>1344</v>
      </c>
      <c r="E48" s="19" t="s">
        <v>1317</v>
      </c>
      <c r="F48" s="19" t="s">
        <v>1326</v>
      </c>
    </row>
    <row r="49">
      <c r="A49" s="24" t="s">
        <v>675</v>
      </c>
      <c r="B49" s="19" t="s">
        <v>676</v>
      </c>
      <c r="C49" s="19" t="s">
        <v>677</v>
      </c>
      <c r="D49" s="19" t="s">
        <v>1345</v>
      </c>
      <c r="E49" s="19" t="s">
        <v>1317</v>
      </c>
      <c r="F49" s="19" t="s">
        <v>1318</v>
      </c>
    </row>
    <row r="50">
      <c r="A50" s="24" t="s">
        <v>1281</v>
      </c>
      <c r="B50" s="19" t="s">
        <v>1282</v>
      </c>
      <c r="C50" s="19" t="s">
        <v>1283</v>
      </c>
      <c r="D50" s="19" t="s">
        <v>1345</v>
      </c>
      <c r="E50" s="19" t="s">
        <v>1317</v>
      </c>
      <c r="F50" s="19" t="s">
        <v>1318</v>
      </c>
    </row>
    <row r="51">
      <c r="A51" s="24" t="s">
        <v>1287</v>
      </c>
      <c r="B51" s="19" t="s">
        <v>1288</v>
      </c>
      <c r="C51" s="19" t="s">
        <v>1289</v>
      </c>
      <c r="D51" s="19" t="s">
        <v>1345</v>
      </c>
      <c r="E51" s="19" t="s">
        <v>1317</v>
      </c>
      <c r="F51" s="19" t="s">
        <v>1318</v>
      </c>
    </row>
    <row r="52">
      <c r="A52" s="24" t="s">
        <v>719</v>
      </c>
      <c r="B52" s="19" t="s">
        <v>720</v>
      </c>
      <c r="C52" s="19" t="s">
        <v>721</v>
      </c>
      <c r="D52" s="19" t="s">
        <v>1344</v>
      </c>
      <c r="E52" s="19" t="s">
        <v>1317</v>
      </c>
      <c r="F52" s="19" t="s">
        <v>1318</v>
      </c>
    </row>
    <row r="53">
      <c r="A53" s="24" t="s">
        <v>678</v>
      </c>
      <c r="B53" s="19" t="s">
        <v>679</v>
      </c>
      <c r="C53" s="19" t="s">
        <v>680</v>
      </c>
      <c r="D53" s="19" t="s">
        <v>1344</v>
      </c>
      <c r="E53" s="19" t="s">
        <v>1317</v>
      </c>
      <c r="F53" s="19" t="s">
        <v>1318</v>
      </c>
    </row>
    <row r="54">
      <c r="A54" s="24" t="s">
        <v>1213</v>
      </c>
      <c r="B54" s="19" t="s">
        <v>1214</v>
      </c>
      <c r="C54" s="19" t="s">
        <v>1215</v>
      </c>
      <c r="D54" s="19" t="s">
        <v>1345</v>
      </c>
      <c r="E54" s="19" t="s">
        <v>1317</v>
      </c>
      <c r="F54" s="19" t="s">
        <v>1318</v>
      </c>
    </row>
    <row r="55">
      <c r="A55" s="24" t="s">
        <v>1208</v>
      </c>
      <c r="B55" s="19" t="s">
        <v>1209</v>
      </c>
      <c r="C55" s="19" t="s">
        <v>1210</v>
      </c>
      <c r="D55" s="19" t="s">
        <v>1344</v>
      </c>
      <c r="E55" s="19" t="s">
        <v>1317</v>
      </c>
      <c r="F55" s="19" t="s">
        <v>1326</v>
      </c>
      <c r="G55" s="19" t="s">
        <v>1349</v>
      </c>
    </row>
    <row r="56">
      <c r="A56" s="24" t="s">
        <v>1030</v>
      </c>
      <c r="B56" s="19" t="s">
        <v>1031</v>
      </c>
      <c r="C56" s="19" t="s">
        <v>1032</v>
      </c>
      <c r="D56" s="19" t="s">
        <v>1346</v>
      </c>
      <c r="E56" s="19" t="s">
        <v>1317</v>
      </c>
      <c r="F56" s="19" t="s">
        <v>1318</v>
      </c>
    </row>
    <row r="57">
      <c r="A57" s="24" t="s">
        <v>1064</v>
      </c>
      <c r="B57" s="19" t="s">
        <v>1065</v>
      </c>
      <c r="C57" s="19" t="s">
        <v>1066</v>
      </c>
      <c r="D57" s="19" t="s">
        <v>1345</v>
      </c>
      <c r="E57" s="19" t="s">
        <v>1317</v>
      </c>
      <c r="F57" s="19" t="s">
        <v>1318</v>
      </c>
    </row>
    <row r="58">
      <c r="A58" s="24" t="s">
        <v>1308</v>
      </c>
      <c r="B58" s="19" t="s">
        <v>1309</v>
      </c>
      <c r="C58" s="19" t="s">
        <v>1310</v>
      </c>
      <c r="D58" s="19" t="s">
        <v>1345</v>
      </c>
      <c r="E58" s="19" t="s">
        <v>1317</v>
      </c>
      <c r="F58" s="19" t="s">
        <v>1318</v>
      </c>
    </row>
    <row r="59">
      <c r="A59" s="24" t="s">
        <v>46</v>
      </c>
      <c r="B59" s="19" t="s">
        <v>48</v>
      </c>
      <c r="C59" s="19" t="s">
        <v>47</v>
      </c>
      <c r="D59" s="19" t="s">
        <v>1344</v>
      </c>
      <c r="E59" s="19" t="s">
        <v>1320</v>
      </c>
      <c r="F59" s="28"/>
    </row>
    <row r="60">
      <c r="A60" s="24" t="s">
        <v>1202</v>
      </c>
      <c r="B60" s="19" t="s">
        <v>1203</v>
      </c>
      <c r="C60" s="19" t="s">
        <v>1204</v>
      </c>
      <c r="D60" s="19" t="s">
        <v>1345</v>
      </c>
      <c r="E60" s="19" t="s">
        <v>1317</v>
      </c>
      <c r="F60" s="19" t="s">
        <v>1318</v>
      </c>
    </row>
    <row r="61">
      <c r="A61" s="24" t="s">
        <v>1216</v>
      </c>
      <c r="B61" s="19" t="s">
        <v>1217</v>
      </c>
      <c r="C61" s="19" t="s">
        <v>1218</v>
      </c>
      <c r="D61" s="19" t="s">
        <v>1345</v>
      </c>
      <c r="E61" s="19" t="s">
        <v>1317</v>
      </c>
      <c r="F61" s="19" t="s">
        <v>1318</v>
      </c>
    </row>
    <row r="62">
      <c r="A62" s="24" t="s">
        <v>714</v>
      </c>
      <c r="B62" s="19" t="s">
        <v>715</v>
      </c>
      <c r="C62" s="19" t="s">
        <v>707</v>
      </c>
      <c r="D62" s="19" t="s">
        <v>1345</v>
      </c>
      <c r="E62" s="19" t="s">
        <v>1317</v>
      </c>
      <c r="F62" s="19" t="s">
        <v>1318</v>
      </c>
    </row>
    <row r="63">
      <c r="A63" s="24" t="s">
        <v>1067</v>
      </c>
      <c r="B63" s="19" t="s">
        <v>1068</v>
      </c>
      <c r="C63" s="19" t="s">
        <v>1069</v>
      </c>
      <c r="D63" s="19" t="s">
        <v>1344</v>
      </c>
      <c r="E63" s="19" t="s">
        <v>1317</v>
      </c>
      <c r="F63" s="19" t="s">
        <v>1318</v>
      </c>
    </row>
    <row r="64">
      <c r="A64" s="24" t="s">
        <v>1193</v>
      </c>
      <c r="B64" s="19" t="s">
        <v>1194</v>
      </c>
      <c r="C64" s="19" t="s">
        <v>1195</v>
      </c>
      <c r="D64" s="19" t="s">
        <v>1346</v>
      </c>
      <c r="E64" s="19" t="s">
        <v>1317</v>
      </c>
      <c r="F64" s="19" t="s">
        <v>1318</v>
      </c>
    </row>
    <row r="65">
      <c r="A65" s="24" t="s">
        <v>1147</v>
      </c>
      <c r="B65" s="19" t="s">
        <v>1148</v>
      </c>
      <c r="C65" s="19" t="s">
        <v>1149</v>
      </c>
      <c r="D65" s="19" t="s">
        <v>1345</v>
      </c>
      <c r="E65" s="19" t="s">
        <v>1317</v>
      </c>
      <c r="F65" s="19" t="s">
        <v>1318</v>
      </c>
    </row>
    <row r="66">
      <c r="A66" s="24" t="s">
        <v>745</v>
      </c>
      <c r="B66" s="19" t="s">
        <v>746</v>
      </c>
      <c r="C66" s="19" t="s">
        <v>747</v>
      </c>
      <c r="D66" s="19" t="s">
        <v>1345</v>
      </c>
      <c r="E66" s="19" t="s">
        <v>1317</v>
      </c>
      <c r="F66" s="19" t="s">
        <v>1318</v>
      </c>
    </row>
    <row r="67">
      <c r="A67" s="24" t="s">
        <v>1275</v>
      </c>
      <c r="B67" s="19" t="s">
        <v>1276</v>
      </c>
      <c r="C67" s="19" t="s">
        <v>1277</v>
      </c>
      <c r="D67" s="19" t="s">
        <v>1344</v>
      </c>
      <c r="E67" s="19" t="s">
        <v>1317</v>
      </c>
      <c r="F67" s="19" t="s">
        <v>1318</v>
      </c>
      <c r="G67" s="19" t="s">
        <v>1350</v>
      </c>
    </row>
    <row r="68">
      <c r="A68" s="24" t="s">
        <v>1144</v>
      </c>
      <c r="B68" s="19" t="s">
        <v>1145</v>
      </c>
      <c r="C68" s="19" t="s">
        <v>1146</v>
      </c>
      <c r="D68" s="19" t="s">
        <v>1344</v>
      </c>
      <c r="E68" s="19" t="s">
        <v>1317</v>
      </c>
      <c r="F68" s="19" t="s">
        <v>1318</v>
      </c>
    </row>
    <row r="69">
      <c r="A69" s="24" t="s">
        <v>711</v>
      </c>
      <c r="B69" s="19" t="s">
        <v>712</v>
      </c>
      <c r="C69" s="19" t="s">
        <v>713</v>
      </c>
      <c r="D69" s="19" t="s">
        <v>1345</v>
      </c>
      <c r="E69" s="19" t="s">
        <v>1317</v>
      </c>
      <c r="F69" s="19" t="s">
        <v>1318</v>
      </c>
    </row>
    <row r="70">
      <c r="A70" s="24" t="s">
        <v>1131</v>
      </c>
      <c r="B70" s="19" t="s">
        <v>1132</v>
      </c>
      <c r="C70" s="19" t="s">
        <v>1133</v>
      </c>
      <c r="D70" s="19" t="s">
        <v>1345</v>
      </c>
      <c r="E70" s="19" t="s">
        <v>1317</v>
      </c>
      <c r="F70" s="19" t="s">
        <v>1318</v>
      </c>
    </row>
    <row r="71">
      <c r="A71" s="24" t="s">
        <v>1188</v>
      </c>
      <c r="B71" s="19" t="s">
        <v>1189</v>
      </c>
      <c r="C71" s="19" t="s">
        <v>1190</v>
      </c>
      <c r="D71" s="19" t="s">
        <v>1344</v>
      </c>
      <c r="E71" s="19" t="s">
        <v>1317</v>
      </c>
      <c r="F71" s="19" t="s">
        <v>1318</v>
      </c>
    </row>
    <row r="72">
      <c r="A72" s="24" t="s">
        <v>1199</v>
      </c>
      <c r="B72" s="19" t="s">
        <v>1200</v>
      </c>
      <c r="C72" s="19" t="s">
        <v>1201</v>
      </c>
      <c r="D72" s="19" t="s">
        <v>1345</v>
      </c>
      <c r="E72" s="19" t="s">
        <v>1317</v>
      </c>
      <c r="F72" s="19" t="s">
        <v>1318</v>
      </c>
    </row>
    <row r="73">
      <c r="A73" s="24" t="s">
        <v>1179</v>
      </c>
      <c r="B73" s="19" t="s">
        <v>1180</v>
      </c>
      <c r="C73" s="19" t="s">
        <v>1181</v>
      </c>
      <c r="D73" s="19" t="s">
        <v>1344</v>
      </c>
      <c r="E73" s="19" t="s">
        <v>1317</v>
      </c>
      <c r="F73" s="19" t="s">
        <v>1318</v>
      </c>
    </row>
    <row r="74">
      <c r="A74" s="24" t="s">
        <v>1173</v>
      </c>
      <c r="B74" s="19" t="s">
        <v>1174</v>
      </c>
      <c r="C74" s="19" t="s">
        <v>1175</v>
      </c>
      <c r="D74" s="19" t="s">
        <v>1344</v>
      </c>
      <c r="E74" s="19" t="s">
        <v>1317</v>
      </c>
      <c r="F74" s="19" t="s">
        <v>1318</v>
      </c>
    </row>
    <row r="75">
      <c r="A75" s="24" t="s">
        <v>1196</v>
      </c>
      <c r="B75" s="19" t="s">
        <v>1197</v>
      </c>
      <c r="C75" s="19" t="s">
        <v>1198</v>
      </c>
      <c r="D75" s="19" t="s">
        <v>1345</v>
      </c>
      <c r="E75" s="19" t="s">
        <v>1317</v>
      </c>
      <c r="F75" s="19" t="s">
        <v>1318</v>
      </c>
    </row>
    <row r="76">
      <c r="A76" s="24" t="s">
        <v>1107</v>
      </c>
      <c r="B76" s="19" t="s">
        <v>1108</v>
      </c>
      <c r="C76" s="19" t="s">
        <v>1109</v>
      </c>
      <c r="D76" s="19" t="s">
        <v>1344</v>
      </c>
      <c r="E76" s="19" t="s">
        <v>1317</v>
      </c>
      <c r="F76" s="19" t="s">
        <v>1318</v>
      </c>
    </row>
    <row r="77">
      <c r="A77" s="24" t="s">
        <v>1122</v>
      </c>
      <c r="B77" s="19" t="s">
        <v>1123</v>
      </c>
      <c r="C77" s="19" t="s">
        <v>1124</v>
      </c>
      <c r="D77" s="19" t="s">
        <v>1346</v>
      </c>
      <c r="E77" s="19" t="s">
        <v>1317</v>
      </c>
      <c r="F77" s="19" t="s">
        <v>1318</v>
      </c>
    </row>
    <row r="78">
      <c r="A78" s="24" t="s">
        <v>1092</v>
      </c>
      <c r="B78" s="19" t="s">
        <v>1093</v>
      </c>
      <c r="C78" s="19" t="s">
        <v>1094</v>
      </c>
      <c r="D78" s="19" t="s">
        <v>1344</v>
      </c>
      <c r="E78" s="19" t="s">
        <v>1317</v>
      </c>
      <c r="F78" s="19" t="s">
        <v>1318</v>
      </c>
    </row>
    <row r="79">
      <c r="A79" s="24" t="s">
        <v>1191</v>
      </c>
      <c r="B79" s="19" t="s">
        <v>1192</v>
      </c>
      <c r="C79" s="19" t="s">
        <v>1011</v>
      </c>
      <c r="D79" s="19" t="s">
        <v>1346</v>
      </c>
      <c r="E79" s="19" t="s">
        <v>1317</v>
      </c>
      <c r="F79" s="19" t="s">
        <v>1318</v>
      </c>
    </row>
    <row r="80">
      <c r="A80" s="24" t="s">
        <v>1070</v>
      </c>
      <c r="B80" s="19" t="s">
        <v>1071</v>
      </c>
      <c r="C80" s="19" t="s">
        <v>1072</v>
      </c>
      <c r="D80" s="19" t="s">
        <v>1346</v>
      </c>
      <c r="E80" s="19" t="s">
        <v>1317</v>
      </c>
      <c r="F80" s="19" t="s">
        <v>1318</v>
      </c>
    </row>
    <row r="81">
      <c r="A81" s="24" t="s">
        <v>1119</v>
      </c>
      <c r="B81" s="19" t="s">
        <v>1120</v>
      </c>
      <c r="C81" s="19" t="s">
        <v>1121</v>
      </c>
      <c r="D81" s="19" t="s">
        <v>1346</v>
      </c>
      <c r="E81" s="19" t="s">
        <v>1317</v>
      </c>
      <c r="F81" s="19" t="s">
        <v>1318</v>
      </c>
    </row>
    <row r="82">
      <c r="A82" s="24" t="s">
        <v>1170</v>
      </c>
      <c r="B82" s="19" t="s">
        <v>1171</v>
      </c>
      <c r="C82" s="19" t="s">
        <v>1172</v>
      </c>
      <c r="D82" s="19" t="s">
        <v>1344</v>
      </c>
      <c r="E82" s="19" t="s">
        <v>1317</v>
      </c>
      <c r="F82" s="19" t="s">
        <v>1318</v>
      </c>
    </row>
    <row r="83">
      <c r="A83" s="24" t="s">
        <v>708</v>
      </c>
      <c r="B83" s="19" t="s">
        <v>709</v>
      </c>
      <c r="C83" s="19" t="s">
        <v>710</v>
      </c>
      <c r="D83" s="19" t="s">
        <v>1345</v>
      </c>
      <c r="E83" s="19" t="s">
        <v>1317</v>
      </c>
      <c r="F83" s="19" t="s">
        <v>1318</v>
      </c>
    </row>
    <row r="84">
      <c r="A84" s="24" t="s">
        <v>716</v>
      </c>
      <c r="B84" s="19" t="s">
        <v>717</v>
      </c>
      <c r="C84" s="19" t="s">
        <v>718</v>
      </c>
      <c r="D84" s="19" t="s">
        <v>1344</v>
      </c>
      <c r="E84" s="19" t="s">
        <v>1317</v>
      </c>
      <c r="F84" s="19" t="s">
        <v>1335</v>
      </c>
      <c r="G84" s="19" t="s">
        <v>1349</v>
      </c>
    </row>
    <row r="85">
      <c r="A85" s="24" t="s">
        <v>705</v>
      </c>
      <c r="B85" s="19" t="s">
        <v>706</v>
      </c>
      <c r="C85" s="19" t="s">
        <v>707</v>
      </c>
      <c r="D85" s="19" t="s">
        <v>1346</v>
      </c>
      <c r="E85" s="19" t="s">
        <v>1317</v>
      </c>
      <c r="F85" s="19" t="s">
        <v>1318</v>
      </c>
    </row>
    <row r="86">
      <c r="A86" s="24" t="s">
        <v>1243</v>
      </c>
      <c r="B86" s="19" t="s">
        <v>1244</v>
      </c>
      <c r="C86" s="19" t="s">
        <v>1245</v>
      </c>
      <c r="D86" s="19" t="s">
        <v>1346</v>
      </c>
      <c r="E86" s="19" t="s">
        <v>1317</v>
      </c>
      <c r="F86" s="19" t="s">
        <v>1318</v>
      </c>
    </row>
    <row r="87">
      <c r="A87" s="24" t="s">
        <v>699</v>
      </c>
      <c r="B87" s="19" t="s">
        <v>700</v>
      </c>
      <c r="C87" s="19" t="s">
        <v>701</v>
      </c>
      <c r="D87" s="19" t="s">
        <v>1346</v>
      </c>
      <c r="E87" s="19" t="s">
        <v>1317</v>
      </c>
      <c r="F87" s="19" t="s">
        <v>1318</v>
      </c>
    </row>
    <row r="88">
      <c r="A88" s="24" t="s">
        <v>1006</v>
      </c>
      <c r="B88" s="19" t="s">
        <v>1007</v>
      </c>
      <c r="C88" s="19" t="s">
        <v>1008</v>
      </c>
      <c r="D88" s="19" t="s">
        <v>1345</v>
      </c>
      <c r="E88" s="19" t="s">
        <v>1317</v>
      </c>
      <c r="F88" s="19" t="s">
        <v>1318</v>
      </c>
    </row>
    <row r="89">
      <c r="A89" s="24" t="s">
        <v>1176</v>
      </c>
      <c r="B89" s="19" t="s">
        <v>1177</v>
      </c>
      <c r="C89" s="19" t="s">
        <v>1178</v>
      </c>
      <c r="D89" s="19" t="s">
        <v>1344</v>
      </c>
      <c r="E89" s="19" t="s">
        <v>1317</v>
      </c>
      <c r="F89" s="19" t="s">
        <v>1318</v>
      </c>
    </row>
    <row r="90">
      <c r="A90" s="24" t="s">
        <v>1080</v>
      </c>
      <c r="B90" s="19" t="s">
        <v>1081</v>
      </c>
      <c r="C90" s="19" t="s">
        <v>1082</v>
      </c>
      <c r="D90" s="19" t="s">
        <v>1346</v>
      </c>
      <c r="E90" s="19" t="s">
        <v>1317</v>
      </c>
      <c r="F90" s="19" t="s">
        <v>1318</v>
      </c>
    </row>
    <row r="91">
      <c r="A91" s="24" t="s">
        <v>1264</v>
      </c>
      <c r="B91" s="19" t="s">
        <v>1265</v>
      </c>
      <c r="C91" s="19" t="s">
        <v>1266</v>
      </c>
      <c r="D91" s="19" t="s">
        <v>1345</v>
      </c>
      <c r="E91" s="19" t="s">
        <v>1317</v>
      </c>
      <c r="F91" s="19" t="s">
        <v>1318</v>
      </c>
    </row>
    <row r="92">
      <c r="A92" s="24" t="s">
        <v>1095</v>
      </c>
      <c r="B92" s="19" t="s">
        <v>1096</v>
      </c>
      <c r="C92" s="19" t="s">
        <v>1097</v>
      </c>
      <c r="D92" s="19" t="s">
        <v>1346</v>
      </c>
      <c r="E92" s="19" t="s">
        <v>1317</v>
      </c>
      <c r="F92" s="19" t="s">
        <v>1318</v>
      </c>
    </row>
    <row r="93">
      <c r="A93" s="24" t="s">
        <v>1162</v>
      </c>
      <c r="B93" s="19" t="s">
        <v>1163</v>
      </c>
      <c r="C93" s="19" t="s">
        <v>1164</v>
      </c>
      <c r="D93" s="19" t="s">
        <v>1344</v>
      </c>
      <c r="E93" s="19" t="s">
        <v>1317</v>
      </c>
      <c r="F93" s="19" t="s">
        <v>1318</v>
      </c>
    </row>
    <row r="94">
      <c r="A94" s="24" t="s">
        <v>1116</v>
      </c>
      <c r="B94" s="19" t="s">
        <v>1117</v>
      </c>
      <c r="C94" s="19" t="s">
        <v>1118</v>
      </c>
      <c r="D94" s="19" t="s">
        <v>1344</v>
      </c>
      <c r="E94" s="19" t="s">
        <v>1317</v>
      </c>
      <c r="F94" s="19" t="s">
        <v>1318</v>
      </c>
    </row>
    <row r="95">
      <c r="A95" s="24" t="s">
        <v>999</v>
      </c>
      <c r="B95" s="19" t="s">
        <v>1000</v>
      </c>
      <c r="C95" s="19" t="s">
        <v>1001</v>
      </c>
      <c r="D95" s="19" t="s">
        <v>1346</v>
      </c>
      <c r="E95" s="19" t="s">
        <v>1317</v>
      </c>
      <c r="F95" s="19" t="s">
        <v>1318</v>
      </c>
    </row>
    <row r="96">
      <c r="A96" s="24" t="s">
        <v>1033</v>
      </c>
      <c r="B96" s="19" t="s">
        <v>1034</v>
      </c>
      <c r="C96" s="19" t="s">
        <v>1035</v>
      </c>
      <c r="D96" s="19" t="s">
        <v>1346</v>
      </c>
      <c r="E96" s="19" t="s">
        <v>1317</v>
      </c>
      <c r="F96" s="19" t="s">
        <v>1318</v>
      </c>
    </row>
    <row r="97">
      <c r="A97" s="24" t="s">
        <v>1012</v>
      </c>
      <c r="B97" s="19" t="s">
        <v>1013</v>
      </c>
      <c r="C97" s="19" t="s">
        <v>1014</v>
      </c>
      <c r="D97" s="19" t="s">
        <v>1346</v>
      </c>
      <c r="E97" s="19" t="s">
        <v>1317</v>
      </c>
      <c r="F97" s="19" t="s">
        <v>1318</v>
      </c>
    </row>
    <row r="98">
      <c r="A98" s="24" t="s">
        <v>1159</v>
      </c>
      <c r="B98" s="19" t="s">
        <v>1160</v>
      </c>
      <c r="C98" s="19" t="s">
        <v>1161</v>
      </c>
      <c r="D98" s="19" t="s">
        <v>1346</v>
      </c>
      <c r="E98" s="19" t="s">
        <v>1317</v>
      </c>
      <c r="F98" s="19" t="s">
        <v>1318</v>
      </c>
    </row>
    <row r="99">
      <c r="A99" s="24" t="s">
        <v>1156</v>
      </c>
      <c r="B99" s="19" t="s">
        <v>1157</v>
      </c>
      <c r="C99" s="19" t="s">
        <v>1158</v>
      </c>
      <c r="D99" s="19" t="s">
        <v>1346</v>
      </c>
      <c r="E99" s="19" t="s">
        <v>1317</v>
      </c>
      <c r="F99" s="19" t="s">
        <v>1318</v>
      </c>
    </row>
    <row r="100">
      <c r="A100" s="24" t="s">
        <v>696</v>
      </c>
      <c r="B100" s="19" t="s">
        <v>697</v>
      </c>
      <c r="C100" s="19" t="s">
        <v>698</v>
      </c>
      <c r="D100" s="19" t="s">
        <v>1346</v>
      </c>
      <c r="E100" s="19" t="s">
        <v>1317</v>
      </c>
      <c r="F100" s="19" t="s">
        <v>1318</v>
      </c>
    </row>
    <row r="101">
      <c r="A101" s="24" t="s">
        <v>1138</v>
      </c>
      <c r="B101" s="19" t="s">
        <v>1139</v>
      </c>
      <c r="C101" s="19" t="s">
        <v>1140</v>
      </c>
      <c r="D101" s="19" t="s">
        <v>1344</v>
      </c>
      <c r="E101" s="19" t="s">
        <v>1317</v>
      </c>
      <c r="F101" s="19" t="s">
        <v>1318</v>
      </c>
    </row>
    <row r="102">
      <c r="A102" s="24" t="s">
        <v>1074</v>
      </c>
      <c r="B102" s="19" t="s">
        <v>1075</v>
      </c>
      <c r="C102" s="19" t="s">
        <v>1076</v>
      </c>
      <c r="D102" s="19" t="s">
        <v>1344</v>
      </c>
      <c r="E102" s="19" t="s">
        <v>1317</v>
      </c>
      <c r="F102" s="19" t="s">
        <v>1318</v>
      </c>
    </row>
    <row r="103">
      <c r="A103" s="24" t="s">
        <v>1150</v>
      </c>
      <c r="B103" s="19" t="s">
        <v>1151</v>
      </c>
      <c r="C103" s="19" t="s">
        <v>1152</v>
      </c>
      <c r="D103" s="19" t="s">
        <v>1344</v>
      </c>
      <c r="E103" s="19" t="s">
        <v>1317</v>
      </c>
      <c r="F103" s="19" t="s">
        <v>1318</v>
      </c>
    </row>
    <row r="104">
      <c r="A104" s="24" t="s">
        <v>1083</v>
      </c>
      <c r="B104" s="19" t="s">
        <v>1084</v>
      </c>
      <c r="C104" s="19" t="s">
        <v>1085</v>
      </c>
      <c r="D104" s="19" t="s">
        <v>1346</v>
      </c>
      <c r="E104" s="19" t="s">
        <v>1317</v>
      </c>
      <c r="F104" s="19" t="s">
        <v>1318</v>
      </c>
    </row>
    <row r="105">
      <c r="A105" s="24" t="s">
        <v>1261</v>
      </c>
      <c r="B105" s="19" t="s">
        <v>1262</v>
      </c>
      <c r="C105" s="19" t="s">
        <v>1263</v>
      </c>
      <c r="D105" s="19" t="s">
        <v>1345</v>
      </c>
      <c r="E105" s="19" t="s">
        <v>1317</v>
      </c>
      <c r="F105" s="19" t="s">
        <v>1318</v>
      </c>
    </row>
    <row r="106">
      <c r="A106" s="24" t="s">
        <v>1077</v>
      </c>
      <c r="B106" s="19" t="s">
        <v>1078</v>
      </c>
      <c r="C106" s="19" t="s">
        <v>1079</v>
      </c>
      <c r="D106" s="19" t="s">
        <v>1346</v>
      </c>
      <c r="E106" s="19" t="s">
        <v>1317</v>
      </c>
      <c r="F106" s="19" t="s">
        <v>1318</v>
      </c>
    </row>
    <row r="107">
      <c r="A107" s="24" t="s">
        <v>1153</v>
      </c>
      <c r="B107" s="19" t="s">
        <v>1154</v>
      </c>
      <c r="C107" s="19" t="s">
        <v>1155</v>
      </c>
      <c r="D107" s="19" t="s">
        <v>1345</v>
      </c>
      <c r="E107" s="19" t="s">
        <v>1317</v>
      </c>
      <c r="F107" s="19" t="s">
        <v>1318</v>
      </c>
    </row>
    <row r="108">
      <c r="A108" s="24" t="s">
        <v>1128</v>
      </c>
      <c r="B108" s="19" t="s">
        <v>1129</v>
      </c>
      <c r="C108" s="19" t="s">
        <v>1130</v>
      </c>
      <c r="D108" s="19" t="s">
        <v>1346</v>
      </c>
      <c r="E108" s="19" t="s">
        <v>1317</v>
      </c>
      <c r="F108" s="19" t="s">
        <v>1318</v>
      </c>
    </row>
    <row r="109">
      <c r="A109" s="24" t="s">
        <v>1142</v>
      </c>
      <c r="B109" s="19" t="s">
        <v>1143</v>
      </c>
      <c r="C109" s="19" t="s">
        <v>1136</v>
      </c>
      <c r="D109" s="19" t="s">
        <v>1346</v>
      </c>
      <c r="E109" s="19" t="s">
        <v>1317</v>
      </c>
      <c r="F109" s="19" t="s">
        <v>1318</v>
      </c>
    </row>
    <row r="110">
      <c r="A110" s="24" t="s">
        <v>1043</v>
      </c>
      <c r="B110" s="19" t="s">
        <v>1044</v>
      </c>
      <c r="C110" s="19" t="s">
        <v>1045</v>
      </c>
      <c r="D110" s="19" t="s">
        <v>1345</v>
      </c>
      <c r="E110" s="19" t="s">
        <v>1317</v>
      </c>
      <c r="F110" s="19" t="s">
        <v>1318</v>
      </c>
    </row>
    <row r="111">
      <c r="A111" s="24" t="s">
        <v>1134</v>
      </c>
      <c r="B111" s="19" t="s">
        <v>1135</v>
      </c>
      <c r="C111" s="19" t="s">
        <v>1136</v>
      </c>
      <c r="D111" s="19" t="s">
        <v>1344</v>
      </c>
      <c r="E111" s="19" t="s">
        <v>1317</v>
      </c>
      <c r="F111" s="19" t="s">
        <v>1318</v>
      </c>
    </row>
    <row r="112">
      <c r="A112" s="24" t="s">
        <v>1058</v>
      </c>
      <c r="B112" s="19" t="s">
        <v>1059</v>
      </c>
      <c r="C112" s="19" t="s">
        <v>1060</v>
      </c>
      <c r="D112" s="19" t="s">
        <v>1346</v>
      </c>
      <c r="E112" s="19" t="s">
        <v>1317</v>
      </c>
      <c r="F112" s="19" t="s">
        <v>1318</v>
      </c>
    </row>
    <row r="113">
      <c r="A113" s="24" t="s">
        <v>1258</v>
      </c>
      <c r="B113" s="19" t="s">
        <v>1259</v>
      </c>
      <c r="C113" s="19" t="s">
        <v>1260</v>
      </c>
      <c r="D113" s="19" t="s">
        <v>1344</v>
      </c>
      <c r="E113" s="19" t="s">
        <v>1317</v>
      </c>
      <c r="F113" s="19" t="s">
        <v>1318</v>
      </c>
    </row>
    <row r="114">
      <c r="A114" s="24" t="s">
        <v>955</v>
      </c>
      <c r="B114" s="19" t="s">
        <v>956</v>
      </c>
      <c r="C114" s="19" t="s">
        <v>957</v>
      </c>
      <c r="D114" s="19" t="s">
        <v>1346</v>
      </c>
      <c r="E114" s="19" t="s">
        <v>1317</v>
      </c>
      <c r="F114" s="19" t="s">
        <v>1318</v>
      </c>
    </row>
    <row r="115">
      <c r="A115" s="24" t="s">
        <v>949</v>
      </c>
      <c r="B115" s="19" t="s">
        <v>950</v>
      </c>
      <c r="C115" s="19" t="s">
        <v>951</v>
      </c>
      <c r="D115" s="19" t="s">
        <v>1346</v>
      </c>
      <c r="E115" s="19" t="s">
        <v>1317</v>
      </c>
      <c r="F115" s="19" t="s">
        <v>1318</v>
      </c>
    </row>
    <row r="116">
      <c r="A116" s="24" t="s">
        <v>1049</v>
      </c>
      <c r="B116" s="19" t="s">
        <v>1050</v>
      </c>
      <c r="C116" s="19" t="s">
        <v>1051</v>
      </c>
      <c r="D116" s="19" t="s">
        <v>1346</v>
      </c>
      <c r="E116" s="19" t="s">
        <v>1317</v>
      </c>
      <c r="F116" s="19" t="s">
        <v>1318</v>
      </c>
    </row>
    <row r="117">
      <c r="A117" s="24" t="s">
        <v>1040</v>
      </c>
      <c r="B117" s="19" t="s">
        <v>1041</v>
      </c>
      <c r="C117" s="19" t="s">
        <v>1042</v>
      </c>
      <c r="D117" s="19" t="s">
        <v>1344</v>
      </c>
      <c r="E117" s="19" t="s">
        <v>1317</v>
      </c>
      <c r="F117" s="19" t="s">
        <v>1318</v>
      </c>
    </row>
    <row r="118">
      <c r="A118" s="24" t="s">
        <v>1098</v>
      </c>
      <c r="B118" s="19" t="s">
        <v>1099</v>
      </c>
      <c r="C118" s="19" t="s">
        <v>1100</v>
      </c>
      <c r="D118" s="19" t="s">
        <v>1346</v>
      </c>
      <c r="E118" s="19" t="s">
        <v>1317</v>
      </c>
      <c r="F118" s="19" t="s">
        <v>1318</v>
      </c>
    </row>
    <row r="119">
      <c r="A119" s="24" t="s">
        <v>902</v>
      </c>
      <c r="B119" s="19" t="s">
        <v>903</v>
      </c>
      <c r="C119" s="19" t="s">
        <v>904</v>
      </c>
      <c r="D119" s="19" t="s">
        <v>1344</v>
      </c>
      <c r="E119" s="19" t="s">
        <v>1317</v>
      </c>
      <c r="F119" s="19" t="s">
        <v>1326</v>
      </c>
    </row>
    <row r="120">
      <c r="A120" s="24" t="s">
        <v>1125</v>
      </c>
      <c r="B120" s="19" t="s">
        <v>1126</v>
      </c>
      <c r="C120" s="19" t="s">
        <v>1127</v>
      </c>
      <c r="D120" s="19" t="s">
        <v>1344</v>
      </c>
      <c r="E120" s="19" t="s">
        <v>1317</v>
      </c>
      <c r="F120" s="19" t="s">
        <v>1318</v>
      </c>
    </row>
    <row r="121">
      <c r="A121" s="24" t="s">
        <v>1113</v>
      </c>
      <c r="B121" s="19" t="s">
        <v>1114</v>
      </c>
      <c r="C121" s="19" t="s">
        <v>1115</v>
      </c>
      <c r="D121" s="19" t="s">
        <v>1346</v>
      </c>
      <c r="E121" s="19" t="s">
        <v>1317</v>
      </c>
      <c r="F121" s="19" t="s">
        <v>1318</v>
      </c>
    </row>
    <row r="122">
      <c r="A122" s="24" t="s">
        <v>1110</v>
      </c>
      <c r="B122" s="19" t="s">
        <v>1111</v>
      </c>
      <c r="C122" s="19" t="s">
        <v>1112</v>
      </c>
      <c r="D122" s="19" t="s">
        <v>1345</v>
      </c>
      <c r="E122" s="19" t="s">
        <v>1317</v>
      </c>
      <c r="F122" s="19" t="s">
        <v>1318</v>
      </c>
    </row>
    <row r="123">
      <c r="A123" s="24" t="s">
        <v>923</v>
      </c>
      <c r="B123" s="19" t="s">
        <v>924</v>
      </c>
      <c r="C123" s="19" t="s">
        <v>925</v>
      </c>
      <c r="D123" s="19" t="s">
        <v>1346</v>
      </c>
      <c r="E123" s="19" t="s">
        <v>1317</v>
      </c>
      <c r="F123" s="19" t="s">
        <v>1318</v>
      </c>
    </row>
    <row r="124">
      <c r="A124" s="24" t="s">
        <v>937</v>
      </c>
      <c r="B124" s="19" t="s">
        <v>938</v>
      </c>
      <c r="C124" s="19" t="s">
        <v>939</v>
      </c>
      <c r="D124" s="19" t="s">
        <v>1346</v>
      </c>
      <c r="E124" s="19" t="s">
        <v>1317</v>
      </c>
      <c r="F124" s="19" t="s">
        <v>1318</v>
      </c>
    </row>
    <row r="125">
      <c r="A125" s="24" t="s">
        <v>1101</v>
      </c>
      <c r="B125" s="19" t="s">
        <v>1102</v>
      </c>
      <c r="C125" s="19" t="s">
        <v>1103</v>
      </c>
      <c r="D125" s="19" t="s">
        <v>1346</v>
      </c>
      <c r="E125" s="19" t="s">
        <v>1317</v>
      </c>
      <c r="F125" s="19" t="s">
        <v>1318</v>
      </c>
    </row>
    <row r="126">
      <c r="A126" s="24" t="s">
        <v>1234</v>
      </c>
      <c r="B126" s="19" t="s">
        <v>1235</v>
      </c>
      <c r="C126" s="19" t="s">
        <v>1236</v>
      </c>
      <c r="D126" s="19" t="s">
        <v>1345</v>
      </c>
      <c r="E126" s="19" t="s">
        <v>1317</v>
      </c>
      <c r="F126" s="19" t="s">
        <v>1318</v>
      </c>
    </row>
    <row r="127">
      <c r="A127" s="24" t="s">
        <v>993</v>
      </c>
      <c r="B127" s="19" t="s">
        <v>994</v>
      </c>
      <c r="C127" s="19" t="s">
        <v>995</v>
      </c>
      <c r="D127" s="19" t="s">
        <v>1345</v>
      </c>
      <c r="E127" s="19" t="s">
        <v>1317</v>
      </c>
      <c r="F127" s="19" t="s">
        <v>1326</v>
      </c>
    </row>
    <row r="128">
      <c r="A128" s="24" t="s">
        <v>1046</v>
      </c>
      <c r="B128" s="19" t="s">
        <v>1047</v>
      </c>
      <c r="C128" s="19" t="s">
        <v>1048</v>
      </c>
      <c r="D128" s="19" t="s">
        <v>1346</v>
      </c>
      <c r="E128" s="19" t="s">
        <v>1317</v>
      </c>
      <c r="F128" s="19" t="s">
        <v>1318</v>
      </c>
    </row>
    <row r="129">
      <c r="A129" s="24" t="s">
        <v>1252</v>
      </c>
      <c r="B129" s="19" t="s">
        <v>1253</v>
      </c>
      <c r="C129" s="19" t="s">
        <v>1254</v>
      </c>
      <c r="D129" s="19" t="s">
        <v>1344</v>
      </c>
      <c r="E129" s="19" t="s">
        <v>1317</v>
      </c>
      <c r="F129" s="19" t="s">
        <v>1318</v>
      </c>
    </row>
    <row r="130">
      <c r="A130" s="24" t="s">
        <v>970</v>
      </c>
      <c r="B130" s="19" t="s">
        <v>971</v>
      </c>
      <c r="C130" s="19" t="s">
        <v>972</v>
      </c>
      <c r="D130" s="19" t="s">
        <v>1345</v>
      </c>
      <c r="E130" s="19" t="s">
        <v>1317</v>
      </c>
      <c r="F130" s="19" t="s">
        <v>1318</v>
      </c>
    </row>
    <row r="131">
      <c r="A131" s="24" t="s">
        <v>1061</v>
      </c>
      <c r="B131" s="19" t="s">
        <v>1062</v>
      </c>
      <c r="C131" s="19" t="s">
        <v>1063</v>
      </c>
      <c r="D131" s="19" t="s">
        <v>1346</v>
      </c>
      <c r="E131" s="19" t="s">
        <v>1317</v>
      </c>
      <c r="F131" s="19" t="s">
        <v>1318</v>
      </c>
    </row>
    <row r="132">
      <c r="A132" s="24" t="s">
        <v>1025</v>
      </c>
      <c r="B132" s="19" t="s">
        <v>1026</v>
      </c>
      <c r="C132" s="19" t="s">
        <v>1027</v>
      </c>
      <c r="D132" s="19" t="s">
        <v>1345</v>
      </c>
      <c r="E132" s="19" t="s">
        <v>1317</v>
      </c>
      <c r="F132" s="19" t="s">
        <v>1318</v>
      </c>
    </row>
    <row r="133">
      <c r="A133" s="24" t="s">
        <v>1015</v>
      </c>
      <c r="B133" s="19" t="s">
        <v>1016</v>
      </c>
      <c r="C133" s="19" t="s">
        <v>1017</v>
      </c>
      <c r="D133" s="19" t="s">
        <v>1344</v>
      </c>
      <c r="E133" s="19" t="s">
        <v>1317</v>
      </c>
      <c r="F133" s="19" t="s">
        <v>1318</v>
      </c>
    </row>
    <row r="134">
      <c r="A134" s="24" t="s">
        <v>927</v>
      </c>
      <c r="B134" s="19" t="s">
        <v>928</v>
      </c>
      <c r="C134" s="19" t="s">
        <v>929</v>
      </c>
      <c r="D134" s="19" t="s">
        <v>1344</v>
      </c>
      <c r="E134" s="19" t="s">
        <v>1317</v>
      </c>
      <c r="F134" s="19" t="s">
        <v>1318</v>
      </c>
    </row>
    <row r="135">
      <c r="A135" s="24" t="s">
        <v>961</v>
      </c>
      <c r="B135" s="19" t="s">
        <v>962</v>
      </c>
      <c r="C135" s="19" t="s">
        <v>963</v>
      </c>
      <c r="D135" s="19" t="s">
        <v>1346</v>
      </c>
      <c r="E135" s="19" t="s">
        <v>1317</v>
      </c>
      <c r="F135" s="19" t="s">
        <v>1318</v>
      </c>
    </row>
    <row r="136">
      <c r="A136" s="24" t="s">
        <v>739</v>
      </c>
      <c r="B136" s="19" t="s">
        <v>740</v>
      </c>
      <c r="C136" s="19" t="s">
        <v>741</v>
      </c>
      <c r="D136" s="19" t="s">
        <v>1344</v>
      </c>
      <c r="E136" s="19" t="s">
        <v>1317</v>
      </c>
      <c r="F136" s="19" t="s">
        <v>1318</v>
      </c>
    </row>
    <row r="137">
      <c r="A137" s="24" t="s">
        <v>1055</v>
      </c>
      <c r="B137" s="19" t="s">
        <v>1056</v>
      </c>
      <c r="C137" s="19" t="s">
        <v>1057</v>
      </c>
      <c r="D137" s="19" t="s">
        <v>1346</v>
      </c>
      <c r="E137" s="19" t="s">
        <v>1317</v>
      </c>
      <c r="F137" s="19" t="s">
        <v>1318</v>
      </c>
    </row>
    <row r="138">
      <c r="A138" s="24" t="s">
        <v>1052</v>
      </c>
      <c r="B138" s="19" t="s">
        <v>1053</v>
      </c>
      <c r="C138" s="19" t="s">
        <v>1054</v>
      </c>
      <c r="D138" s="19" t="s">
        <v>1344</v>
      </c>
      <c r="E138" s="19" t="s">
        <v>1317</v>
      </c>
      <c r="F138" s="19" t="s">
        <v>1318</v>
      </c>
    </row>
    <row r="139">
      <c r="A139" s="24" t="s">
        <v>1009</v>
      </c>
      <c r="B139" s="19" t="s">
        <v>1010</v>
      </c>
      <c r="C139" s="19" t="s">
        <v>1011</v>
      </c>
      <c r="D139" s="19" t="s">
        <v>1344</v>
      </c>
      <c r="E139" s="19" t="s">
        <v>1317</v>
      </c>
      <c r="F139" s="19" t="s">
        <v>1318</v>
      </c>
    </row>
    <row r="140">
      <c r="A140" s="24" t="s">
        <v>1022</v>
      </c>
      <c r="B140" s="19" t="s">
        <v>1023</v>
      </c>
      <c r="C140" s="19" t="s">
        <v>1024</v>
      </c>
      <c r="D140" s="19" t="s">
        <v>1345</v>
      </c>
      <c r="E140" s="19" t="s">
        <v>1317</v>
      </c>
      <c r="F140" s="19" t="s">
        <v>1318</v>
      </c>
    </row>
    <row r="141">
      <c r="A141" s="24" t="s">
        <v>940</v>
      </c>
      <c r="B141" s="19" t="s">
        <v>941</v>
      </c>
      <c r="C141" s="19" t="s">
        <v>942</v>
      </c>
      <c r="D141" s="19" t="s">
        <v>1346</v>
      </c>
      <c r="E141" s="19" t="s">
        <v>1317</v>
      </c>
      <c r="F141" s="19" t="s">
        <v>1318</v>
      </c>
    </row>
    <row r="142">
      <c r="A142" s="24" t="s">
        <v>1019</v>
      </c>
      <c r="B142" s="19" t="s">
        <v>1020</v>
      </c>
      <c r="C142" s="19" t="s">
        <v>1021</v>
      </c>
      <c r="D142" s="19" t="s">
        <v>1345</v>
      </c>
      <c r="E142" s="19" t="s">
        <v>1317</v>
      </c>
      <c r="F142" s="19" t="s">
        <v>1318</v>
      </c>
    </row>
    <row r="143">
      <c r="A143" s="24" t="s">
        <v>1003</v>
      </c>
      <c r="B143" s="19" t="s">
        <v>1004</v>
      </c>
      <c r="C143" s="19" t="s">
        <v>1005</v>
      </c>
      <c r="D143" s="19" t="s">
        <v>1344</v>
      </c>
      <c r="E143" s="19" t="s">
        <v>1317</v>
      </c>
      <c r="F143" s="19" t="s">
        <v>1318</v>
      </c>
    </row>
    <row r="144">
      <c r="A144" s="24" t="s">
        <v>1296</v>
      </c>
      <c r="B144" s="19" t="s">
        <v>1297</v>
      </c>
      <c r="C144" s="19" t="s">
        <v>1298</v>
      </c>
      <c r="D144" s="19" t="s">
        <v>1345</v>
      </c>
      <c r="E144" s="19" t="s">
        <v>1317</v>
      </c>
      <c r="F144" s="19" t="s">
        <v>1318</v>
      </c>
    </row>
    <row r="145">
      <c r="A145" s="24" t="s">
        <v>981</v>
      </c>
      <c r="B145" s="19" t="s">
        <v>982</v>
      </c>
      <c r="C145" s="19" t="s">
        <v>983</v>
      </c>
      <c r="D145" s="19" t="s">
        <v>1345</v>
      </c>
      <c r="E145" s="19" t="s">
        <v>1317</v>
      </c>
      <c r="F145" s="19" t="s">
        <v>1318</v>
      </c>
    </row>
    <row r="146">
      <c r="A146" s="24" t="s">
        <v>996</v>
      </c>
      <c r="B146" s="19" t="s">
        <v>997</v>
      </c>
      <c r="C146" s="19" t="s">
        <v>998</v>
      </c>
      <c r="D146" s="19" t="s">
        <v>1346</v>
      </c>
      <c r="E146" s="19" t="s">
        <v>1317</v>
      </c>
      <c r="F146" s="19" t="s">
        <v>1318</v>
      </c>
    </row>
    <row r="147">
      <c r="A147" s="24" t="s">
        <v>977</v>
      </c>
      <c r="B147" s="19" t="s">
        <v>978</v>
      </c>
      <c r="C147" s="19" t="s">
        <v>979</v>
      </c>
      <c r="D147" s="19" t="s">
        <v>1344</v>
      </c>
      <c r="E147" s="19" t="s">
        <v>1317</v>
      </c>
      <c r="F147" s="19" t="s">
        <v>1318</v>
      </c>
    </row>
    <row r="148">
      <c r="A148" s="24" t="s">
        <v>1246</v>
      </c>
      <c r="B148" s="19" t="s">
        <v>1247</v>
      </c>
      <c r="C148" s="19" t="s">
        <v>1248</v>
      </c>
      <c r="D148" s="19" t="s">
        <v>1344</v>
      </c>
      <c r="E148" s="19" t="s">
        <v>1317</v>
      </c>
      <c r="F148" s="19" t="s">
        <v>1326</v>
      </c>
    </row>
    <row r="149">
      <c r="A149" s="24" t="s">
        <v>967</v>
      </c>
      <c r="B149" s="19" t="s">
        <v>968</v>
      </c>
      <c r="C149" s="19" t="s">
        <v>969</v>
      </c>
      <c r="D149" s="19" t="s">
        <v>1346</v>
      </c>
      <c r="E149" s="19" t="s">
        <v>1317</v>
      </c>
      <c r="F149" s="19" t="s">
        <v>1318</v>
      </c>
    </row>
    <row r="150">
      <c r="A150" s="24" t="s">
        <v>930</v>
      </c>
      <c r="B150" s="19" t="s">
        <v>931</v>
      </c>
      <c r="C150" s="19" t="s">
        <v>932</v>
      </c>
      <c r="D150" s="19" t="s">
        <v>1344</v>
      </c>
      <c r="E150" s="19" t="s">
        <v>1317</v>
      </c>
      <c r="F150" s="19" t="s">
        <v>1318</v>
      </c>
    </row>
    <row r="151">
      <c r="A151" s="24" t="s">
        <v>987</v>
      </c>
      <c r="B151" s="19" t="s">
        <v>988</v>
      </c>
      <c r="C151" s="19" t="s">
        <v>989</v>
      </c>
      <c r="D151" s="19" t="s">
        <v>1345</v>
      </c>
      <c r="E151" s="19" t="s">
        <v>1317</v>
      </c>
      <c r="F151" s="19" t="s">
        <v>1318</v>
      </c>
    </row>
    <row r="152">
      <c r="A152" s="24" t="s">
        <v>685</v>
      </c>
      <c r="B152" s="19" t="s">
        <v>686</v>
      </c>
      <c r="C152" s="19" t="s">
        <v>687</v>
      </c>
      <c r="D152" s="19" t="s">
        <v>1344</v>
      </c>
      <c r="E152" s="19" t="s">
        <v>1317</v>
      </c>
      <c r="F152" s="19" t="s">
        <v>1318</v>
      </c>
    </row>
    <row r="153">
      <c r="A153" s="24" t="s">
        <v>964</v>
      </c>
      <c r="B153" s="19" t="s">
        <v>965</v>
      </c>
      <c r="C153" s="19" t="s">
        <v>966</v>
      </c>
      <c r="D153" s="19" t="s">
        <v>1345</v>
      </c>
      <c r="E153" s="19" t="s">
        <v>1317</v>
      </c>
      <c r="F153" s="19" t="s">
        <v>1318</v>
      </c>
    </row>
    <row r="154">
      <c r="A154" s="24" t="s">
        <v>905</v>
      </c>
      <c r="B154" s="19" t="s">
        <v>906</v>
      </c>
      <c r="C154" s="19" t="s">
        <v>907</v>
      </c>
      <c r="D154" s="19" t="s">
        <v>1345</v>
      </c>
      <c r="E154" s="19" t="s">
        <v>1317</v>
      </c>
      <c r="F154" s="19" t="s">
        <v>1318</v>
      </c>
    </row>
    <row r="155">
      <c r="A155" s="24" t="s">
        <v>973</v>
      </c>
      <c r="B155" s="19" t="s">
        <v>974</v>
      </c>
      <c r="C155" s="19" t="s">
        <v>975</v>
      </c>
      <c r="D155" s="19" t="s">
        <v>1346</v>
      </c>
      <c r="E155" s="19" t="s">
        <v>1317</v>
      </c>
      <c r="F155" s="19" t="s">
        <v>1318</v>
      </c>
    </row>
    <row r="156">
      <c r="A156" s="24" t="s">
        <v>756</v>
      </c>
      <c r="B156" s="19" t="s">
        <v>757</v>
      </c>
      <c r="C156" s="19" t="s">
        <v>758</v>
      </c>
      <c r="D156" s="19" t="s">
        <v>1344</v>
      </c>
      <c r="E156" s="19" t="s">
        <v>1317</v>
      </c>
      <c r="F156" s="19" t="s">
        <v>1318</v>
      </c>
    </row>
    <row r="157">
      <c r="A157" s="24" t="s">
        <v>943</v>
      </c>
      <c r="B157" s="19" t="s">
        <v>944</v>
      </c>
      <c r="C157" s="19" t="s">
        <v>945</v>
      </c>
      <c r="D157" s="19" t="s">
        <v>1346</v>
      </c>
      <c r="E157" s="19" t="s">
        <v>1317</v>
      </c>
      <c r="F157" s="19" t="s">
        <v>1318</v>
      </c>
    </row>
    <row r="158">
      <c r="A158" s="24" t="s">
        <v>1249</v>
      </c>
      <c r="B158" s="19" t="s">
        <v>1250</v>
      </c>
      <c r="C158" s="19" t="s">
        <v>1251</v>
      </c>
      <c r="D158" s="19" t="s">
        <v>1344</v>
      </c>
      <c r="E158" s="19" t="s">
        <v>1317</v>
      </c>
      <c r="F158" s="19" t="s">
        <v>1318</v>
      </c>
    </row>
    <row r="159">
      <c r="A159" s="24" t="s">
        <v>893</v>
      </c>
      <c r="B159" s="19" t="s">
        <v>894</v>
      </c>
      <c r="C159" s="19" t="s">
        <v>895</v>
      </c>
      <c r="D159" s="19" t="s">
        <v>1344</v>
      </c>
      <c r="E159" s="19" t="s">
        <v>1317</v>
      </c>
      <c r="F159" s="19" t="s">
        <v>1323</v>
      </c>
    </row>
    <row r="160">
      <c r="A160" s="24" t="s">
        <v>881</v>
      </c>
      <c r="B160" s="19" t="s">
        <v>882</v>
      </c>
      <c r="C160" s="19" t="s">
        <v>883</v>
      </c>
      <c r="D160" s="19" t="s">
        <v>1346</v>
      </c>
      <c r="E160" s="19" t="s">
        <v>1317</v>
      </c>
      <c r="F160" s="19" t="s">
        <v>1318</v>
      </c>
    </row>
    <row r="161">
      <c r="A161" s="24" t="s">
        <v>908</v>
      </c>
      <c r="B161" s="19" t="s">
        <v>909</v>
      </c>
      <c r="C161" s="19" t="s">
        <v>910</v>
      </c>
      <c r="D161" s="19" t="s">
        <v>1345</v>
      </c>
      <c r="E161" s="19" t="s">
        <v>1317</v>
      </c>
      <c r="F161" s="19" t="s">
        <v>1318</v>
      </c>
    </row>
    <row r="162">
      <c r="A162" s="24" t="s">
        <v>917</v>
      </c>
      <c r="B162" s="19" t="s">
        <v>918</v>
      </c>
      <c r="C162" s="19" t="s">
        <v>919</v>
      </c>
      <c r="D162" s="19" t="s">
        <v>1344</v>
      </c>
      <c r="E162" s="19" t="s">
        <v>1317</v>
      </c>
      <c r="F162" s="19" t="s">
        <v>1318</v>
      </c>
    </row>
    <row r="163">
      <c r="A163" s="24" t="s">
        <v>920</v>
      </c>
      <c r="B163" s="19" t="s">
        <v>921</v>
      </c>
      <c r="C163" s="19" t="s">
        <v>922</v>
      </c>
      <c r="D163" s="19" t="s">
        <v>1345</v>
      </c>
      <c r="E163" s="19" t="s">
        <v>1317</v>
      </c>
      <c r="F163" s="19" t="s">
        <v>1318</v>
      </c>
    </row>
    <row r="164">
      <c r="A164" s="24" t="s">
        <v>911</v>
      </c>
      <c r="B164" s="19" t="s">
        <v>912</v>
      </c>
      <c r="C164" s="19" t="s">
        <v>913</v>
      </c>
      <c r="D164" s="19" t="s">
        <v>1345</v>
      </c>
      <c r="E164" s="19" t="s">
        <v>1317</v>
      </c>
      <c r="F164" s="19" t="s">
        <v>1318</v>
      </c>
    </row>
    <row r="165">
      <c r="A165" s="24" t="s">
        <v>872</v>
      </c>
      <c r="B165" s="19" t="s">
        <v>873</v>
      </c>
      <c r="C165" s="19" t="s">
        <v>874</v>
      </c>
      <c r="D165" s="19" t="s">
        <v>1344</v>
      </c>
      <c r="E165" s="19" t="s">
        <v>1317</v>
      </c>
      <c r="F165" s="19" t="s">
        <v>1318</v>
      </c>
    </row>
    <row r="166">
      <c r="A166" s="24" t="s">
        <v>866</v>
      </c>
      <c r="B166" s="19" t="s">
        <v>867</v>
      </c>
      <c r="C166" s="19" t="s">
        <v>868</v>
      </c>
      <c r="D166" s="19" t="s">
        <v>1345</v>
      </c>
      <c r="E166" s="19" t="s">
        <v>1317</v>
      </c>
      <c r="F166" s="19" t="s">
        <v>1318</v>
      </c>
    </row>
    <row r="167">
      <c r="A167" s="24" t="s">
        <v>899</v>
      </c>
      <c r="B167" s="19" t="s">
        <v>900</v>
      </c>
      <c r="C167" s="19" t="s">
        <v>901</v>
      </c>
      <c r="D167" s="19" t="s">
        <v>1346</v>
      </c>
      <c r="E167" s="19" t="s">
        <v>1317</v>
      </c>
      <c r="F167" s="19" t="s">
        <v>1318</v>
      </c>
    </row>
    <row r="168">
      <c r="A168" s="24" t="s">
        <v>884</v>
      </c>
      <c r="B168" s="19" t="s">
        <v>885</v>
      </c>
      <c r="C168" s="19" t="s">
        <v>886</v>
      </c>
      <c r="D168" s="19" t="s">
        <v>1344</v>
      </c>
      <c r="E168" s="19" t="s">
        <v>1317</v>
      </c>
      <c r="F168" s="19" t="s">
        <v>1318</v>
      </c>
    </row>
    <row r="169">
      <c r="A169" s="24" t="s">
        <v>731</v>
      </c>
      <c r="B169" s="19" t="s">
        <v>732</v>
      </c>
      <c r="C169" s="19" t="s">
        <v>733</v>
      </c>
      <c r="D169" s="19" t="s">
        <v>1344</v>
      </c>
      <c r="E169" s="19" t="s">
        <v>1317</v>
      </c>
      <c r="F169" s="19" t="s">
        <v>1318</v>
      </c>
    </row>
    <row r="170">
      <c r="A170" s="24" t="s">
        <v>896</v>
      </c>
      <c r="B170" s="19" t="s">
        <v>897</v>
      </c>
      <c r="C170" s="19" t="s">
        <v>898</v>
      </c>
      <c r="D170" s="19" t="s">
        <v>1345</v>
      </c>
      <c r="E170" s="19" t="s">
        <v>1317</v>
      </c>
      <c r="F170" s="19" t="s">
        <v>1318</v>
      </c>
    </row>
    <row r="171">
      <c r="A171" s="24" t="s">
        <v>1255</v>
      </c>
      <c r="B171" s="19" t="s">
        <v>1256</v>
      </c>
      <c r="C171" s="19" t="s">
        <v>1257</v>
      </c>
      <c r="D171" s="19" t="s">
        <v>1345</v>
      </c>
      <c r="E171" s="19" t="s">
        <v>1317</v>
      </c>
      <c r="F171" s="19" t="s">
        <v>1318</v>
      </c>
    </row>
    <row r="172">
      <c r="A172" s="24" t="s">
        <v>753</v>
      </c>
      <c r="B172" s="19" t="s">
        <v>754</v>
      </c>
      <c r="C172" s="19" t="s">
        <v>755</v>
      </c>
      <c r="D172" s="19" t="s">
        <v>1346</v>
      </c>
      <c r="E172" s="19" t="s">
        <v>1317</v>
      </c>
      <c r="F172" s="19" t="s">
        <v>1318</v>
      </c>
    </row>
    <row r="173">
      <c r="A173" s="24" t="s">
        <v>890</v>
      </c>
      <c r="B173" s="19" t="s">
        <v>891</v>
      </c>
      <c r="C173" s="19" t="s">
        <v>892</v>
      </c>
      <c r="D173" s="19" t="s">
        <v>1346</v>
      </c>
      <c r="E173" s="19" t="s">
        <v>1317</v>
      </c>
      <c r="F173" s="19" t="s">
        <v>1318</v>
      </c>
    </row>
    <row r="174">
      <c r="A174" s="24" t="s">
        <v>887</v>
      </c>
      <c r="B174" s="19" t="s">
        <v>888</v>
      </c>
      <c r="C174" s="19" t="s">
        <v>889</v>
      </c>
      <c r="D174" s="19" t="s">
        <v>1344</v>
      </c>
      <c r="E174" s="19" t="s">
        <v>1317</v>
      </c>
      <c r="F174" s="19" t="s">
        <v>1318</v>
      </c>
    </row>
    <row r="175">
      <c r="A175" s="24" t="s">
        <v>854</v>
      </c>
      <c r="B175" s="19" t="s">
        <v>855</v>
      </c>
      <c r="C175" s="19" t="s">
        <v>856</v>
      </c>
      <c r="D175" s="19" t="s">
        <v>1345</v>
      </c>
      <c r="E175" s="19" t="s">
        <v>1317</v>
      </c>
      <c r="F175" s="19" t="s">
        <v>1318</v>
      </c>
    </row>
    <row r="176">
      <c r="A176" s="24" t="s">
        <v>875</v>
      </c>
      <c r="B176" s="19" t="s">
        <v>876</v>
      </c>
      <c r="C176" s="19" t="s">
        <v>877</v>
      </c>
      <c r="D176" s="19" t="s">
        <v>1344</v>
      </c>
      <c r="E176" s="19" t="s">
        <v>1317</v>
      </c>
      <c r="F176" s="19" t="s">
        <v>1318</v>
      </c>
    </row>
    <row r="177">
      <c r="A177" s="24" t="s">
        <v>878</v>
      </c>
      <c r="B177" s="19" t="s">
        <v>879</v>
      </c>
      <c r="C177" s="19" t="s">
        <v>880</v>
      </c>
      <c r="D177" s="19" t="s">
        <v>1346</v>
      </c>
      <c r="E177" s="19" t="s">
        <v>1317</v>
      </c>
      <c r="F177" s="19" t="s">
        <v>1318</v>
      </c>
    </row>
    <row r="178">
      <c r="A178" s="24" t="s">
        <v>1219</v>
      </c>
      <c r="B178" s="19" t="s">
        <v>1220</v>
      </c>
      <c r="C178" s="19" t="s">
        <v>1221</v>
      </c>
      <c r="D178" s="19" t="s">
        <v>1346</v>
      </c>
      <c r="E178" s="19" t="s">
        <v>1317</v>
      </c>
      <c r="F178" s="19" t="s">
        <v>1318</v>
      </c>
    </row>
    <row r="179">
      <c r="A179" s="24" t="s">
        <v>863</v>
      </c>
      <c r="B179" s="19" t="s">
        <v>864</v>
      </c>
      <c r="C179" s="19" t="s">
        <v>865</v>
      </c>
      <c r="D179" s="19" t="s">
        <v>1346</v>
      </c>
      <c r="E179" s="19" t="s">
        <v>1317</v>
      </c>
      <c r="F179" s="19" t="s">
        <v>1318</v>
      </c>
    </row>
    <row r="180">
      <c r="A180" s="24" t="s">
        <v>839</v>
      </c>
      <c r="B180" s="19" t="s">
        <v>840</v>
      </c>
      <c r="C180" s="19" t="s">
        <v>841</v>
      </c>
      <c r="D180" s="19" t="s">
        <v>1346</v>
      </c>
      <c r="E180" s="19" t="s">
        <v>1317</v>
      </c>
      <c r="F180" s="19" t="s">
        <v>1318</v>
      </c>
    </row>
    <row r="181">
      <c r="A181" s="24" t="s">
        <v>869</v>
      </c>
      <c r="B181" s="19" t="s">
        <v>870</v>
      </c>
      <c r="C181" s="19" t="s">
        <v>871</v>
      </c>
      <c r="D181" s="19" t="s">
        <v>1345</v>
      </c>
      <c r="E181" s="19" t="s">
        <v>1317</v>
      </c>
      <c r="F181" s="19" t="s">
        <v>1318</v>
      </c>
    </row>
    <row r="182">
      <c r="A182" s="24" t="s">
        <v>816</v>
      </c>
      <c r="B182" s="19" t="s">
        <v>817</v>
      </c>
      <c r="C182" s="19" t="s">
        <v>818</v>
      </c>
      <c r="D182" s="19" t="s">
        <v>1346</v>
      </c>
      <c r="E182" s="19" t="s">
        <v>1317</v>
      </c>
      <c r="F182" s="19" t="s">
        <v>1318</v>
      </c>
    </row>
    <row r="183">
      <c r="A183" s="24" t="s">
        <v>857</v>
      </c>
      <c r="B183" s="19" t="s">
        <v>858</v>
      </c>
      <c r="C183" s="19" t="s">
        <v>859</v>
      </c>
      <c r="D183" s="19" t="s">
        <v>1346</v>
      </c>
      <c r="E183" s="19" t="s">
        <v>1317</v>
      </c>
      <c r="F183" s="19" t="s">
        <v>1318</v>
      </c>
    </row>
    <row r="184">
      <c r="A184" s="24" t="s">
        <v>693</v>
      </c>
      <c r="B184" s="19" t="s">
        <v>694</v>
      </c>
      <c r="C184" s="19" t="s">
        <v>695</v>
      </c>
      <c r="D184" s="19" t="s">
        <v>1345</v>
      </c>
      <c r="E184" s="19" t="s">
        <v>1317</v>
      </c>
      <c r="F184" s="19" t="s">
        <v>1318</v>
      </c>
    </row>
    <row r="185">
      <c r="A185" s="24" t="s">
        <v>668</v>
      </c>
      <c r="B185" s="19" t="s">
        <v>669</v>
      </c>
      <c r="C185" s="19" t="s">
        <v>670</v>
      </c>
      <c r="D185" s="19" t="s">
        <v>1344</v>
      </c>
      <c r="E185" s="19" t="s">
        <v>1317</v>
      </c>
      <c r="F185" s="19" t="s">
        <v>1318</v>
      </c>
    </row>
    <row r="186">
      <c r="A186" s="24" t="s">
        <v>845</v>
      </c>
      <c r="B186" s="19" t="s">
        <v>846</v>
      </c>
      <c r="C186" s="19" t="s">
        <v>847</v>
      </c>
      <c r="D186" s="19" t="s">
        <v>1344</v>
      </c>
      <c r="E186" s="19" t="s">
        <v>1317</v>
      </c>
      <c r="F186" s="19" t="s">
        <v>1318</v>
      </c>
    </row>
    <row r="187">
      <c r="A187" s="24" t="s">
        <v>842</v>
      </c>
      <c r="B187" s="19" t="s">
        <v>843</v>
      </c>
      <c r="C187" s="19" t="s">
        <v>844</v>
      </c>
      <c r="D187" s="19" t="s">
        <v>1345</v>
      </c>
      <c r="E187" s="19" t="s">
        <v>1317</v>
      </c>
      <c r="F187" s="19" t="s">
        <v>1323</v>
      </c>
    </row>
    <row r="188">
      <c r="A188" s="24" t="s">
        <v>848</v>
      </c>
      <c r="B188" s="19" t="s">
        <v>849</v>
      </c>
      <c r="C188" s="19" t="s">
        <v>850</v>
      </c>
      <c r="D188" s="19" t="s">
        <v>1344</v>
      </c>
      <c r="E188" s="19" t="s">
        <v>1317</v>
      </c>
      <c r="F188" s="19" t="s">
        <v>1323</v>
      </c>
    </row>
    <row r="189">
      <c r="A189" s="24" t="s">
        <v>851</v>
      </c>
      <c r="B189" s="19" t="s">
        <v>852</v>
      </c>
      <c r="C189" s="19" t="s">
        <v>853</v>
      </c>
      <c r="D189" s="19" t="s">
        <v>1344</v>
      </c>
      <c r="E189" s="19" t="s">
        <v>1317</v>
      </c>
      <c r="F189" s="19" t="s">
        <v>1318</v>
      </c>
    </row>
    <row r="190">
      <c r="A190" s="24" t="s">
        <v>807</v>
      </c>
      <c r="B190" s="19" t="s">
        <v>808</v>
      </c>
      <c r="C190" s="19" t="s">
        <v>809</v>
      </c>
      <c r="D190" s="19" t="s">
        <v>1344</v>
      </c>
      <c r="E190" s="19" t="s">
        <v>1317</v>
      </c>
      <c r="F190" s="19" t="s">
        <v>1318</v>
      </c>
    </row>
    <row r="191">
      <c r="A191" s="24" t="s">
        <v>1278</v>
      </c>
      <c r="B191" s="19" t="s">
        <v>1279</v>
      </c>
      <c r="C191" s="19" t="s">
        <v>1280</v>
      </c>
      <c r="D191" s="19" t="s">
        <v>1346</v>
      </c>
      <c r="E191" s="19" t="s">
        <v>1317</v>
      </c>
      <c r="F191" s="19" t="s">
        <v>1318</v>
      </c>
    </row>
    <row r="192">
      <c r="A192" s="24" t="s">
        <v>821</v>
      </c>
      <c r="B192" s="19" t="s">
        <v>822</v>
      </c>
      <c r="C192" s="19" t="s">
        <v>823</v>
      </c>
      <c r="D192" s="19" t="s">
        <v>1346</v>
      </c>
      <c r="E192" s="19" t="s">
        <v>1317</v>
      </c>
      <c r="F192" s="19" t="s">
        <v>1318</v>
      </c>
    </row>
    <row r="193">
      <c r="A193" s="24" t="s">
        <v>802</v>
      </c>
      <c r="B193" s="19" t="s">
        <v>803</v>
      </c>
      <c r="C193" s="19" t="s">
        <v>804</v>
      </c>
      <c r="D193" s="19" t="s">
        <v>1346</v>
      </c>
      <c r="E193" s="19" t="s">
        <v>1317</v>
      </c>
      <c r="F193" s="19" t="s">
        <v>1318</v>
      </c>
    </row>
    <row r="194">
      <c r="A194" s="24" t="s">
        <v>662</v>
      </c>
      <c r="B194" s="19" t="s">
        <v>663</v>
      </c>
      <c r="C194" s="19" t="s">
        <v>664</v>
      </c>
      <c r="D194" s="19" t="s">
        <v>1346</v>
      </c>
      <c r="E194" s="19" t="s">
        <v>1317</v>
      </c>
      <c r="F194" s="19" t="s">
        <v>1323</v>
      </c>
    </row>
    <row r="195">
      <c r="A195" s="24" t="s">
        <v>836</v>
      </c>
      <c r="B195" s="19" t="s">
        <v>837</v>
      </c>
      <c r="C195" s="19" t="s">
        <v>838</v>
      </c>
      <c r="D195" s="19" t="s">
        <v>1346</v>
      </c>
      <c r="E195" s="19" t="s">
        <v>1317</v>
      </c>
      <c r="F195" s="19" t="s">
        <v>1318</v>
      </c>
    </row>
    <row r="196">
      <c r="A196" s="24" t="s">
        <v>653</v>
      </c>
      <c r="B196" s="19" t="s">
        <v>654</v>
      </c>
      <c r="C196" s="19" t="s">
        <v>655</v>
      </c>
      <c r="D196" s="19" t="s">
        <v>1346</v>
      </c>
      <c r="E196" s="19" t="s">
        <v>1317</v>
      </c>
      <c r="F196" s="19" t="s">
        <v>1318</v>
      </c>
    </row>
    <row r="197">
      <c r="A197" s="24" t="s">
        <v>793</v>
      </c>
      <c r="B197" s="19" t="s">
        <v>794</v>
      </c>
      <c r="C197" s="19" t="s">
        <v>795</v>
      </c>
      <c r="D197" s="19" t="s">
        <v>1346</v>
      </c>
      <c r="E197" s="19" t="s">
        <v>1317</v>
      </c>
      <c r="F197" s="19" t="s">
        <v>1318</v>
      </c>
    </row>
    <row r="198">
      <c r="A198" s="24" t="s">
        <v>545</v>
      </c>
      <c r="B198" s="19" t="s">
        <v>546</v>
      </c>
      <c r="C198" s="19" t="s">
        <v>547</v>
      </c>
      <c r="D198" s="19" t="s">
        <v>1346</v>
      </c>
      <c r="E198" s="19" t="s">
        <v>1317</v>
      </c>
      <c r="F198" s="19" t="s">
        <v>1323</v>
      </c>
    </row>
    <row r="199">
      <c r="A199" s="24" t="s">
        <v>332</v>
      </c>
      <c r="B199" s="19" t="s">
        <v>333</v>
      </c>
      <c r="C199" s="19" t="s">
        <v>334</v>
      </c>
      <c r="D199" s="19" t="s">
        <v>1346</v>
      </c>
      <c r="E199" s="19" t="s">
        <v>1317</v>
      </c>
      <c r="F199" s="19" t="s">
        <v>1323</v>
      </c>
    </row>
    <row r="200">
      <c r="A200" s="24" t="s">
        <v>576</v>
      </c>
      <c r="B200" s="19" t="s">
        <v>577</v>
      </c>
      <c r="C200" s="19" t="s">
        <v>578</v>
      </c>
      <c r="D200" s="19" t="s">
        <v>1345</v>
      </c>
      <c r="E200" s="19" t="s">
        <v>1317</v>
      </c>
      <c r="F200" s="19" t="s">
        <v>1326</v>
      </c>
    </row>
    <row r="201">
      <c r="A201" s="24" t="s">
        <v>665</v>
      </c>
      <c r="B201" s="19" t="s">
        <v>666</v>
      </c>
      <c r="C201" s="19" t="s">
        <v>667</v>
      </c>
      <c r="D201" s="19" t="s">
        <v>1346</v>
      </c>
      <c r="E201" s="19" t="s">
        <v>1317</v>
      </c>
      <c r="F201" s="19" t="s">
        <v>1323</v>
      </c>
    </row>
    <row r="202">
      <c r="A202" s="24" t="s">
        <v>825</v>
      </c>
      <c r="B202" s="19" t="s">
        <v>826</v>
      </c>
      <c r="C202" s="19" t="s">
        <v>827</v>
      </c>
      <c r="D202" s="19" t="s">
        <v>1344</v>
      </c>
      <c r="E202" s="19" t="s">
        <v>1317</v>
      </c>
      <c r="F202" s="19" t="s">
        <v>1335</v>
      </c>
      <c r="G202" s="19" t="s">
        <v>1351</v>
      </c>
    </row>
    <row r="203">
      <c r="A203" s="24" t="s">
        <v>568</v>
      </c>
      <c r="B203" s="19" t="s">
        <v>569</v>
      </c>
      <c r="C203" s="19" t="s">
        <v>570</v>
      </c>
      <c r="D203" s="19" t="s">
        <v>1345</v>
      </c>
      <c r="E203" s="19" t="s">
        <v>1317</v>
      </c>
      <c r="F203" s="19" t="s">
        <v>1323</v>
      </c>
    </row>
    <row r="204">
      <c r="A204" s="24" t="s">
        <v>656</v>
      </c>
      <c r="B204" s="19" t="s">
        <v>657</v>
      </c>
      <c r="C204" s="19" t="s">
        <v>658</v>
      </c>
      <c r="D204" s="19" t="s">
        <v>1346</v>
      </c>
      <c r="E204" s="19" t="s">
        <v>1317</v>
      </c>
      <c r="F204" s="19" t="s">
        <v>1326</v>
      </c>
    </row>
    <row r="205">
      <c r="A205" s="24" t="s">
        <v>341</v>
      </c>
      <c r="B205" s="19" t="s">
        <v>342</v>
      </c>
      <c r="C205" s="19" t="s">
        <v>343</v>
      </c>
      <c r="D205" s="19" t="s">
        <v>1345</v>
      </c>
      <c r="E205" s="19" t="s">
        <v>1317</v>
      </c>
      <c r="F205" s="19" t="s">
        <v>1323</v>
      </c>
    </row>
    <row r="206">
      <c r="A206" s="24" t="s">
        <v>796</v>
      </c>
      <c r="B206" s="19" t="s">
        <v>797</v>
      </c>
      <c r="C206" s="19" t="s">
        <v>798</v>
      </c>
      <c r="D206" s="19" t="s">
        <v>1345</v>
      </c>
      <c r="E206" s="19" t="s">
        <v>1317</v>
      </c>
      <c r="F206" s="19" t="s">
        <v>1318</v>
      </c>
    </row>
    <row r="207">
      <c r="A207" s="24" t="s">
        <v>828</v>
      </c>
      <c r="B207" s="19" t="s">
        <v>829</v>
      </c>
      <c r="C207" s="19" t="s">
        <v>830</v>
      </c>
      <c r="D207" s="19" t="s">
        <v>1345</v>
      </c>
      <c r="E207" s="19" t="s">
        <v>1317</v>
      </c>
      <c r="F207" s="19" t="s">
        <v>1318</v>
      </c>
    </row>
    <row r="208">
      <c r="A208" s="24" t="s">
        <v>526</v>
      </c>
      <c r="B208" s="19" t="s">
        <v>527</v>
      </c>
      <c r="C208" s="19" t="s">
        <v>528</v>
      </c>
      <c r="D208" s="19" t="s">
        <v>1346</v>
      </c>
      <c r="E208" s="19" t="s">
        <v>1317</v>
      </c>
      <c r="F208" s="19" t="s">
        <v>1323</v>
      </c>
    </row>
    <row r="209">
      <c r="A209" s="24" t="s">
        <v>767</v>
      </c>
      <c r="B209" s="19" t="s">
        <v>768</v>
      </c>
      <c r="C209" s="19" t="s">
        <v>769</v>
      </c>
      <c r="D209" s="19" t="s">
        <v>1344</v>
      </c>
      <c r="E209" s="19" t="s">
        <v>1317</v>
      </c>
      <c r="F209" s="19" t="s">
        <v>1318</v>
      </c>
    </row>
    <row r="210">
      <c r="A210" s="24" t="s">
        <v>49</v>
      </c>
      <c r="B210" s="19" t="s">
        <v>51</v>
      </c>
      <c r="C210" s="19" t="s">
        <v>50</v>
      </c>
      <c r="D210" s="19" t="s">
        <v>1344</v>
      </c>
      <c r="E210" s="19" t="s">
        <v>1320</v>
      </c>
      <c r="F210" s="19"/>
    </row>
    <row r="211">
      <c r="A211" s="24" t="s">
        <v>52</v>
      </c>
      <c r="B211" s="19" t="s">
        <v>54</v>
      </c>
      <c r="C211" s="19" t="s">
        <v>53</v>
      </c>
      <c r="D211" s="19" t="s">
        <v>1346</v>
      </c>
      <c r="E211" s="19" t="s">
        <v>1320</v>
      </c>
      <c r="F211" s="19"/>
    </row>
    <row r="212">
      <c r="A212" s="24" t="s">
        <v>451</v>
      </c>
      <c r="B212" s="19" t="s">
        <v>452</v>
      </c>
      <c r="C212" s="19" t="s">
        <v>453</v>
      </c>
      <c r="D212" s="19" t="s">
        <v>1345</v>
      </c>
      <c r="E212" s="19" t="s">
        <v>1317</v>
      </c>
      <c r="F212" s="19" t="s">
        <v>1323</v>
      </c>
    </row>
    <row r="213">
      <c r="A213" s="24" t="s">
        <v>505</v>
      </c>
      <c r="B213" s="19" t="s">
        <v>506</v>
      </c>
      <c r="C213" s="19" t="s">
        <v>507</v>
      </c>
      <c r="D213" s="19" t="s">
        <v>1344</v>
      </c>
      <c r="E213" s="19" t="s">
        <v>1317</v>
      </c>
      <c r="F213" s="19" t="s">
        <v>1323</v>
      </c>
    </row>
    <row r="214">
      <c r="A214" s="24" t="s">
        <v>722</v>
      </c>
      <c r="B214" s="19" t="s">
        <v>723</v>
      </c>
      <c r="C214" s="19" t="s">
        <v>724</v>
      </c>
      <c r="D214" s="19" t="s">
        <v>1344</v>
      </c>
      <c r="E214" s="19" t="s">
        <v>1317</v>
      </c>
      <c r="F214" s="19" t="s">
        <v>1318</v>
      </c>
    </row>
    <row r="215">
      <c r="A215" s="24" t="s">
        <v>813</v>
      </c>
      <c r="B215" s="19" t="s">
        <v>814</v>
      </c>
      <c r="C215" s="19" t="s">
        <v>815</v>
      </c>
      <c r="D215" s="19" t="s">
        <v>1345</v>
      </c>
      <c r="E215" s="19" t="s">
        <v>1317</v>
      </c>
      <c r="F215" s="19" t="s">
        <v>1318</v>
      </c>
    </row>
    <row r="216">
      <c r="A216" s="24" t="s">
        <v>275</v>
      </c>
      <c r="B216" s="19" t="s">
        <v>276</v>
      </c>
      <c r="C216" s="19" t="s">
        <v>277</v>
      </c>
      <c r="D216" s="19" t="s">
        <v>1344</v>
      </c>
      <c r="E216" s="19" t="s">
        <v>1317</v>
      </c>
      <c r="F216" s="19" t="s">
        <v>1323</v>
      </c>
    </row>
    <row r="217">
      <c r="A217" s="24" t="s">
        <v>55</v>
      </c>
      <c r="B217" s="19" t="s">
        <v>57</v>
      </c>
      <c r="C217" s="19" t="s">
        <v>56</v>
      </c>
      <c r="D217" s="19" t="s">
        <v>1344</v>
      </c>
      <c r="E217" s="19" t="s">
        <v>1320</v>
      </c>
      <c r="F217" s="28"/>
    </row>
    <row r="218">
      <c r="A218" s="24" t="s">
        <v>597</v>
      </c>
      <c r="B218" s="19" t="s">
        <v>598</v>
      </c>
      <c r="C218" s="19" t="s">
        <v>599</v>
      </c>
      <c r="D218" s="19" t="s">
        <v>1344</v>
      </c>
      <c r="E218" s="19" t="s">
        <v>1317</v>
      </c>
      <c r="F218" s="19" t="s">
        <v>1326</v>
      </c>
    </row>
    <row r="219">
      <c r="A219" s="24" t="s">
        <v>542</v>
      </c>
      <c r="B219" s="19" t="s">
        <v>543</v>
      </c>
      <c r="C219" s="19" t="s">
        <v>544</v>
      </c>
      <c r="D219" s="19" t="s">
        <v>1346</v>
      </c>
      <c r="E219" s="19" t="s">
        <v>1317</v>
      </c>
      <c r="F219" s="19" t="s">
        <v>1326</v>
      </c>
    </row>
    <row r="220">
      <c r="A220" s="24" t="s">
        <v>289</v>
      </c>
      <c r="B220" s="19" t="s">
        <v>290</v>
      </c>
      <c r="C220" s="19" t="s">
        <v>291</v>
      </c>
      <c r="D220" s="19" t="s">
        <v>1344</v>
      </c>
      <c r="E220" s="19" t="s">
        <v>1317</v>
      </c>
      <c r="F220" s="19" t="s">
        <v>1323</v>
      </c>
    </row>
    <row r="221">
      <c r="A221" s="24" t="s">
        <v>433</v>
      </c>
      <c r="B221" s="19" t="s">
        <v>434</v>
      </c>
      <c r="C221" s="19" t="s">
        <v>435</v>
      </c>
      <c r="D221" s="19" t="s">
        <v>1344</v>
      </c>
      <c r="E221" s="19" t="s">
        <v>1317</v>
      </c>
      <c r="F221" s="19" t="s">
        <v>1323</v>
      </c>
      <c r="G221" s="19" t="s">
        <v>1352</v>
      </c>
    </row>
    <row r="222">
      <c r="A222" s="24" t="s">
        <v>470</v>
      </c>
      <c r="B222" s="19" t="s">
        <v>471</v>
      </c>
      <c r="C222" s="19" t="s">
        <v>472</v>
      </c>
      <c r="D222" s="19" t="s">
        <v>1344</v>
      </c>
      <c r="E222" s="19" t="s">
        <v>1317</v>
      </c>
      <c r="F222" s="19" t="s">
        <v>1323</v>
      </c>
    </row>
    <row r="223">
      <c r="A223" s="24" t="s">
        <v>650</v>
      </c>
      <c r="B223" s="19" t="s">
        <v>651</v>
      </c>
      <c r="C223" s="19" t="s">
        <v>652</v>
      </c>
      <c r="D223" s="19" t="s">
        <v>1345</v>
      </c>
      <c r="E223" s="19" t="s">
        <v>1317</v>
      </c>
      <c r="F223" s="19" t="s">
        <v>1323</v>
      </c>
    </row>
    <row r="224">
      <c r="A224" s="24" t="s">
        <v>445</v>
      </c>
      <c r="B224" s="19" t="s">
        <v>446</v>
      </c>
      <c r="C224" s="19" t="s">
        <v>447</v>
      </c>
      <c r="D224" s="19" t="s">
        <v>1344</v>
      </c>
      <c r="E224" s="19" t="s">
        <v>1317</v>
      </c>
      <c r="F224" s="19" t="s">
        <v>1323</v>
      </c>
      <c r="G224" s="19" t="s">
        <v>1353</v>
      </c>
    </row>
    <row r="225">
      <c r="A225" s="24" t="s">
        <v>58</v>
      </c>
      <c r="B225" s="19" t="s">
        <v>60</v>
      </c>
      <c r="C225" s="19" t="s">
        <v>59</v>
      </c>
      <c r="D225" s="19" t="s">
        <v>1344</v>
      </c>
      <c r="E225" s="19" t="s">
        <v>1320</v>
      </c>
      <c r="F225" s="28"/>
    </row>
    <row r="226">
      <c r="A226" s="24" t="s">
        <v>476</v>
      </c>
      <c r="B226" s="19" t="s">
        <v>477</v>
      </c>
      <c r="C226" s="19" t="s">
        <v>478</v>
      </c>
      <c r="D226" s="19" t="s">
        <v>1346</v>
      </c>
      <c r="E226" s="19" t="s">
        <v>1317</v>
      </c>
      <c r="F226" s="19" t="s">
        <v>1323</v>
      </c>
    </row>
    <row r="227">
      <c r="A227" s="24" t="s">
        <v>278</v>
      </c>
      <c r="B227" s="19" t="s">
        <v>279</v>
      </c>
      <c r="C227" s="19" t="s">
        <v>280</v>
      </c>
      <c r="D227" s="19" t="s">
        <v>1344</v>
      </c>
      <c r="E227" s="19" t="s">
        <v>1317</v>
      </c>
      <c r="F227" s="19" t="s">
        <v>1323</v>
      </c>
    </row>
    <row r="228">
      <c r="A228" s="24" t="s">
        <v>401</v>
      </c>
      <c r="B228" s="19" t="s">
        <v>402</v>
      </c>
      <c r="C228" s="19" t="s">
        <v>403</v>
      </c>
      <c r="D228" s="19" t="s">
        <v>1345</v>
      </c>
      <c r="E228" s="19" t="s">
        <v>1317</v>
      </c>
      <c r="F228" s="19" t="s">
        <v>1323</v>
      </c>
    </row>
    <row r="229">
      <c r="A229" s="24" t="s">
        <v>307</v>
      </c>
      <c r="B229" s="19" t="s">
        <v>308</v>
      </c>
      <c r="C229" s="19" t="s">
        <v>309</v>
      </c>
      <c r="D229" s="19" t="s">
        <v>1344</v>
      </c>
      <c r="E229" s="19" t="s">
        <v>1317</v>
      </c>
      <c r="F229" s="19" t="s">
        <v>1323</v>
      </c>
    </row>
    <row r="230">
      <c r="A230" s="24" t="s">
        <v>235</v>
      </c>
      <c r="B230" s="19" t="s">
        <v>236</v>
      </c>
      <c r="C230" s="19" t="s">
        <v>237</v>
      </c>
      <c r="D230" s="19" t="s">
        <v>1344</v>
      </c>
      <c r="E230" s="19" t="s">
        <v>1317</v>
      </c>
      <c r="F230" s="19" t="s">
        <v>1326</v>
      </c>
    </row>
    <row r="231">
      <c r="A231" s="24" t="s">
        <v>310</v>
      </c>
      <c r="B231" s="19" t="s">
        <v>311</v>
      </c>
      <c r="C231" s="19" t="s">
        <v>312</v>
      </c>
      <c r="D231" s="19" t="s">
        <v>1344</v>
      </c>
      <c r="E231" s="19" t="s">
        <v>1317</v>
      </c>
      <c r="F231" s="19" t="s">
        <v>1323</v>
      </c>
    </row>
    <row r="232">
      <c r="A232" s="24" t="s">
        <v>643</v>
      </c>
      <c r="B232" s="19" t="s">
        <v>644</v>
      </c>
      <c r="C232" s="19" t="s">
        <v>645</v>
      </c>
      <c r="D232" s="19" t="s">
        <v>1346</v>
      </c>
      <c r="E232" s="19" t="s">
        <v>1317</v>
      </c>
      <c r="F232" s="19" t="s">
        <v>1323</v>
      </c>
    </row>
    <row r="233">
      <c r="A233" s="24" t="s">
        <v>61</v>
      </c>
      <c r="B233" s="19" t="s">
        <v>63</v>
      </c>
      <c r="C233" s="19" t="s">
        <v>62</v>
      </c>
      <c r="D233" s="19" t="s">
        <v>1344</v>
      </c>
      <c r="E233" s="19" t="s">
        <v>1320</v>
      </c>
      <c r="F233" s="28"/>
    </row>
    <row r="234">
      <c r="A234" s="24" t="s">
        <v>585</v>
      </c>
      <c r="B234" s="19" t="s">
        <v>586</v>
      </c>
      <c r="C234" s="19" t="s">
        <v>587</v>
      </c>
      <c r="D234" s="19" t="s">
        <v>1344</v>
      </c>
      <c r="E234" s="19" t="s">
        <v>1317</v>
      </c>
      <c r="F234" s="19" t="s">
        <v>1323</v>
      </c>
      <c r="G234" s="19" t="s">
        <v>1354</v>
      </c>
    </row>
    <row r="235">
      <c r="A235" s="24" t="s">
        <v>490</v>
      </c>
      <c r="B235" s="19" t="s">
        <v>491</v>
      </c>
      <c r="C235" s="19" t="s">
        <v>492</v>
      </c>
      <c r="D235" s="19" t="s">
        <v>1345</v>
      </c>
      <c r="E235" s="19" t="s">
        <v>1317</v>
      </c>
      <c r="F235" s="19" t="s">
        <v>1323</v>
      </c>
    </row>
    <row r="236">
      <c r="A236" s="24" t="s">
        <v>638</v>
      </c>
      <c r="B236" s="19" t="s">
        <v>639</v>
      </c>
      <c r="C236" s="19" t="s">
        <v>640</v>
      </c>
      <c r="D236" s="19" t="s">
        <v>1346</v>
      </c>
      <c r="E236" s="19" t="s">
        <v>1317</v>
      </c>
      <c r="F236" s="19" t="s">
        <v>1323</v>
      </c>
    </row>
    <row r="237">
      <c r="A237" s="24" t="s">
        <v>773</v>
      </c>
      <c r="B237" s="19" t="s">
        <v>774</v>
      </c>
      <c r="C237" s="19" t="s">
        <v>775</v>
      </c>
      <c r="D237" s="19" t="s">
        <v>1346</v>
      </c>
      <c r="E237" s="19" t="s">
        <v>1317</v>
      </c>
      <c r="F237" s="19" t="s">
        <v>1318</v>
      </c>
    </row>
    <row r="238">
      <c r="A238" s="24" t="s">
        <v>313</v>
      </c>
      <c r="B238" s="19" t="s">
        <v>314</v>
      </c>
      <c r="C238" s="19" t="s">
        <v>315</v>
      </c>
      <c r="D238" s="19" t="s">
        <v>1345</v>
      </c>
      <c r="E238" s="19" t="s">
        <v>1317</v>
      </c>
      <c r="F238" s="19" t="s">
        <v>1323</v>
      </c>
    </row>
    <row r="239">
      <c r="A239" s="24" t="s">
        <v>64</v>
      </c>
      <c r="B239" s="19" t="s">
        <v>66</v>
      </c>
      <c r="C239" s="19" t="s">
        <v>65</v>
      </c>
      <c r="D239" s="19" t="s">
        <v>1346</v>
      </c>
      <c r="E239" s="19" t="s">
        <v>1320</v>
      </c>
      <c r="F239" s="28"/>
    </row>
    <row r="240">
      <c r="A240" s="24" t="s">
        <v>532</v>
      </c>
      <c r="B240" s="19" t="s">
        <v>533</v>
      </c>
      <c r="C240" s="19" t="s">
        <v>534</v>
      </c>
      <c r="D240" s="19" t="s">
        <v>1345</v>
      </c>
      <c r="E240" s="19" t="s">
        <v>1317</v>
      </c>
      <c r="F240" s="19" t="s">
        <v>1323</v>
      </c>
    </row>
    <row r="241">
      <c r="A241" s="24" t="s">
        <v>67</v>
      </c>
      <c r="B241" s="19" t="s">
        <v>69</v>
      </c>
      <c r="C241" s="19" t="s">
        <v>68</v>
      </c>
      <c r="D241" s="19" t="s">
        <v>1345</v>
      </c>
      <c r="E241" s="19" t="s">
        <v>1320</v>
      </c>
      <c r="F241" s="28"/>
    </row>
    <row r="242">
      <c r="A242" s="24" t="s">
        <v>361</v>
      </c>
      <c r="B242" s="19" t="s">
        <v>362</v>
      </c>
      <c r="C242" s="19" t="s">
        <v>363</v>
      </c>
      <c r="D242" s="19" t="s">
        <v>1344</v>
      </c>
      <c r="E242" s="19" t="s">
        <v>1317</v>
      </c>
      <c r="F242" s="19" t="s">
        <v>1323</v>
      </c>
    </row>
    <row r="243">
      <c r="A243" s="24" t="s">
        <v>600</v>
      </c>
      <c r="B243" s="19" t="s">
        <v>601</v>
      </c>
      <c r="C243" s="19" t="s">
        <v>602</v>
      </c>
      <c r="D243" s="19" t="s">
        <v>1345</v>
      </c>
      <c r="E243" s="19" t="s">
        <v>1317</v>
      </c>
      <c r="F243" s="19" t="s">
        <v>1323</v>
      </c>
    </row>
    <row r="244">
      <c r="A244" s="24" t="s">
        <v>810</v>
      </c>
      <c r="B244" s="19" t="s">
        <v>811</v>
      </c>
      <c r="C244" s="19" t="s">
        <v>812</v>
      </c>
      <c r="D244" s="19" t="s">
        <v>1344</v>
      </c>
      <c r="E244" s="19" t="s">
        <v>1317</v>
      </c>
      <c r="F244" s="19" t="s">
        <v>1318</v>
      </c>
    </row>
    <row r="245">
      <c r="A245" s="24" t="s">
        <v>781</v>
      </c>
      <c r="B245" s="19" t="s">
        <v>782</v>
      </c>
      <c r="C245" s="19" t="s">
        <v>783</v>
      </c>
      <c r="D245" s="19" t="s">
        <v>1344</v>
      </c>
      <c r="E245" s="19" t="s">
        <v>1317</v>
      </c>
      <c r="F245" s="19" t="s">
        <v>1318</v>
      </c>
    </row>
    <row r="246">
      <c r="A246" s="24" t="s">
        <v>759</v>
      </c>
      <c r="B246" s="19" t="s">
        <v>760</v>
      </c>
      <c r="C246" s="19" t="s">
        <v>761</v>
      </c>
      <c r="D246" s="19" t="s">
        <v>1344</v>
      </c>
      <c r="E246" s="19" t="s">
        <v>1317</v>
      </c>
      <c r="F246" s="19" t="s">
        <v>1326</v>
      </c>
    </row>
    <row r="247">
      <c r="A247" s="24" t="s">
        <v>473</v>
      </c>
      <c r="B247" s="19" t="s">
        <v>474</v>
      </c>
      <c r="C247" s="19" t="s">
        <v>475</v>
      </c>
      <c r="D247" s="19" t="s">
        <v>1344</v>
      </c>
      <c r="E247" s="19" t="s">
        <v>1317</v>
      </c>
      <c r="F247" s="19" t="s">
        <v>1323</v>
      </c>
    </row>
    <row r="248">
      <c r="A248" s="24" t="s">
        <v>479</v>
      </c>
      <c r="B248" s="19" t="s">
        <v>480</v>
      </c>
      <c r="C248" s="19" t="s">
        <v>481</v>
      </c>
      <c r="D248" s="19" t="s">
        <v>1344</v>
      </c>
      <c r="E248" s="19" t="s">
        <v>1317</v>
      </c>
      <c r="F248" s="19" t="s">
        <v>1323</v>
      </c>
      <c r="G248" s="19" t="s">
        <v>1347</v>
      </c>
    </row>
    <row r="249">
      <c r="A249" s="24" t="s">
        <v>248</v>
      </c>
      <c r="B249" s="19" t="s">
        <v>249</v>
      </c>
      <c r="C249" s="19" t="s">
        <v>250</v>
      </c>
      <c r="D249" s="19" t="s">
        <v>1344</v>
      </c>
      <c r="E249" s="19" t="s">
        <v>1317</v>
      </c>
      <c r="F249" s="19" t="s">
        <v>1326</v>
      </c>
    </row>
    <row r="250">
      <c r="A250" s="24" t="s">
        <v>539</v>
      </c>
      <c r="B250" s="19" t="s">
        <v>540</v>
      </c>
      <c r="C250" s="19" t="s">
        <v>541</v>
      </c>
      <c r="D250" s="19" t="s">
        <v>1345</v>
      </c>
      <c r="E250" s="19" t="s">
        <v>1317</v>
      </c>
      <c r="F250" s="19" t="s">
        <v>1323</v>
      </c>
    </row>
    <row r="251">
      <c r="A251" s="24" t="s">
        <v>70</v>
      </c>
      <c r="B251" s="19" t="s">
        <v>72</v>
      </c>
      <c r="C251" s="19" t="s">
        <v>71</v>
      </c>
      <c r="D251" s="19" t="s">
        <v>1344</v>
      </c>
      <c r="E251" s="19" t="s">
        <v>1320</v>
      </c>
      <c r="F251" s="28"/>
    </row>
    <row r="252">
      <c r="A252" s="24" t="s">
        <v>764</v>
      </c>
      <c r="B252" s="19" t="s">
        <v>765</v>
      </c>
      <c r="C252" s="19" t="s">
        <v>766</v>
      </c>
      <c r="D252" s="19" t="s">
        <v>1346</v>
      </c>
      <c r="E252" s="19" t="s">
        <v>1317</v>
      </c>
      <c r="F252" s="19" t="s">
        <v>1323</v>
      </c>
    </row>
    <row r="253">
      <c r="A253" s="24" t="s">
        <v>367</v>
      </c>
      <c r="B253" s="19" t="s">
        <v>368</v>
      </c>
      <c r="C253" s="19" t="s">
        <v>369</v>
      </c>
      <c r="D253" s="19" t="s">
        <v>1345</v>
      </c>
      <c r="E253" s="19" t="s">
        <v>1317</v>
      </c>
      <c r="F253" s="19" t="s">
        <v>1323</v>
      </c>
    </row>
    <row r="254">
      <c r="A254" s="24" t="s">
        <v>556</v>
      </c>
      <c r="B254" s="19" t="s">
        <v>557</v>
      </c>
      <c r="C254" s="19" t="s">
        <v>558</v>
      </c>
      <c r="D254" s="19" t="s">
        <v>1344</v>
      </c>
      <c r="E254" s="19" t="s">
        <v>1317</v>
      </c>
      <c r="F254" s="19" t="s">
        <v>1323</v>
      </c>
    </row>
    <row r="255">
      <c r="A255" s="24" t="s">
        <v>303</v>
      </c>
      <c r="B255" s="19" t="s">
        <v>304</v>
      </c>
      <c r="C255" s="19" t="s">
        <v>305</v>
      </c>
      <c r="D255" s="19" t="s">
        <v>1345</v>
      </c>
      <c r="E255" s="19" t="s">
        <v>1317</v>
      </c>
      <c r="F255" s="19" t="s">
        <v>1323</v>
      </c>
    </row>
    <row r="256">
      <c r="A256" s="24" t="s">
        <v>392</v>
      </c>
      <c r="B256" s="19" t="s">
        <v>393</v>
      </c>
      <c r="C256" s="19" t="s">
        <v>394</v>
      </c>
      <c r="D256" s="19" t="s">
        <v>1344</v>
      </c>
      <c r="E256" s="19" t="s">
        <v>1317</v>
      </c>
      <c r="F256" s="19" t="s">
        <v>1323</v>
      </c>
    </row>
    <row r="257">
      <c r="A257" s="24" t="s">
        <v>73</v>
      </c>
      <c r="B257" s="19" t="s">
        <v>75</v>
      </c>
      <c r="C257" s="19" t="s">
        <v>74</v>
      </c>
      <c r="D257" s="19" t="s">
        <v>1345</v>
      </c>
      <c r="E257" s="19" t="s">
        <v>1320</v>
      </c>
      <c r="F257" s="28"/>
    </row>
    <row r="258">
      <c r="A258" s="24" t="s">
        <v>624</v>
      </c>
      <c r="B258" s="19" t="s">
        <v>625</v>
      </c>
      <c r="C258" s="19" t="s">
        <v>626</v>
      </c>
      <c r="D258" s="19" t="s">
        <v>1346</v>
      </c>
      <c r="E258" s="19" t="s">
        <v>1317</v>
      </c>
      <c r="F258" s="19" t="s">
        <v>1323</v>
      </c>
    </row>
    <row r="259">
      <c r="A259" s="24" t="s">
        <v>76</v>
      </c>
      <c r="B259" s="19" t="s">
        <v>78</v>
      </c>
      <c r="C259" s="19" t="s">
        <v>77</v>
      </c>
      <c r="D259" s="19" t="s">
        <v>1346</v>
      </c>
      <c r="E259" s="19" t="s">
        <v>1320</v>
      </c>
      <c r="F259" s="28"/>
    </row>
    <row r="260">
      <c r="A260" s="24" t="s">
        <v>457</v>
      </c>
      <c r="B260" s="19" t="s">
        <v>458</v>
      </c>
      <c r="C260" s="19" t="s">
        <v>459</v>
      </c>
      <c r="D260" s="19" t="s">
        <v>1346</v>
      </c>
      <c r="E260" s="19" t="s">
        <v>1317</v>
      </c>
      <c r="F260" s="19" t="s">
        <v>1326</v>
      </c>
    </row>
    <row r="261">
      <c r="A261" s="24" t="s">
        <v>436</v>
      </c>
      <c r="B261" s="19" t="s">
        <v>437</v>
      </c>
      <c r="C261" s="19" t="s">
        <v>438</v>
      </c>
      <c r="D261" s="19" t="s">
        <v>1345</v>
      </c>
      <c r="E261" s="19" t="s">
        <v>1317</v>
      </c>
      <c r="F261" s="19" t="s">
        <v>1323</v>
      </c>
    </row>
    <row r="262">
      <c r="A262" s="24" t="s">
        <v>260</v>
      </c>
      <c r="B262" s="19" t="s">
        <v>261</v>
      </c>
      <c r="C262" s="19" t="s">
        <v>262</v>
      </c>
      <c r="D262" s="19" t="s">
        <v>1344</v>
      </c>
      <c r="E262" s="19" t="s">
        <v>1317</v>
      </c>
      <c r="F262" s="19" t="s">
        <v>1323</v>
      </c>
    </row>
    <row r="263">
      <c r="A263" s="24" t="s">
        <v>463</v>
      </c>
      <c r="B263" s="19" t="s">
        <v>464</v>
      </c>
      <c r="C263" s="19" t="s">
        <v>465</v>
      </c>
      <c r="D263" s="19" t="s">
        <v>1346</v>
      </c>
      <c r="E263" s="19" t="s">
        <v>1317</v>
      </c>
      <c r="F263" s="19" t="s">
        <v>1326</v>
      </c>
    </row>
    <row r="264">
      <c r="A264" s="24" t="s">
        <v>659</v>
      </c>
      <c r="B264" s="19" t="s">
        <v>660</v>
      </c>
      <c r="C264" s="19" t="s">
        <v>661</v>
      </c>
      <c r="D264" s="19" t="s">
        <v>1344</v>
      </c>
      <c r="E264" s="19" t="s">
        <v>1317</v>
      </c>
      <c r="F264" s="19" t="s">
        <v>1318</v>
      </c>
    </row>
    <row r="265">
      <c r="A265" s="24" t="s">
        <v>1237</v>
      </c>
      <c r="B265" s="19" t="s">
        <v>1238</v>
      </c>
      <c r="C265" s="19" t="s">
        <v>1239</v>
      </c>
      <c r="D265" s="19" t="s">
        <v>1344</v>
      </c>
      <c r="E265" s="19" t="s">
        <v>1317</v>
      </c>
      <c r="F265" s="19" t="s">
        <v>1318</v>
      </c>
    </row>
    <row r="266">
      <c r="A266" s="24" t="s">
        <v>493</v>
      </c>
      <c r="B266" s="19" t="s">
        <v>494</v>
      </c>
      <c r="C266" s="19" t="s">
        <v>495</v>
      </c>
      <c r="D266" s="19" t="s">
        <v>1345</v>
      </c>
      <c r="E266" s="19" t="s">
        <v>1317</v>
      </c>
      <c r="F266" s="19" t="s">
        <v>1323</v>
      </c>
    </row>
    <row r="267">
      <c r="A267" s="24" t="s">
        <v>606</v>
      </c>
      <c r="B267" s="19" t="s">
        <v>607</v>
      </c>
      <c r="C267" s="19" t="s">
        <v>608</v>
      </c>
      <c r="D267" s="19" t="s">
        <v>1346</v>
      </c>
      <c r="E267" s="19" t="s">
        <v>1317</v>
      </c>
      <c r="F267" s="19" t="s">
        <v>1323</v>
      </c>
    </row>
    <row r="268">
      <c r="A268" s="24" t="s">
        <v>460</v>
      </c>
      <c r="B268" s="19" t="s">
        <v>461</v>
      </c>
      <c r="C268" s="19" t="s">
        <v>462</v>
      </c>
      <c r="D268" s="19" t="s">
        <v>1344</v>
      </c>
      <c r="E268" s="19" t="s">
        <v>1317</v>
      </c>
      <c r="F268" s="19" t="s">
        <v>1323</v>
      </c>
    </row>
    <row r="269">
      <c r="A269" s="24" t="s">
        <v>621</v>
      </c>
      <c r="B269" s="19" t="s">
        <v>622</v>
      </c>
      <c r="C269" s="19" t="s">
        <v>623</v>
      </c>
      <c r="D269" s="19" t="s">
        <v>1345</v>
      </c>
      <c r="E269" s="19" t="s">
        <v>1317</v>
      </c>
      <c r="F269" s="19" t="s">
        <v>1323</v>
      </c>
    </row>
    <row r="270">
      <c r="A270" s="24" t="s">
        <v>427</v>
      </c>
      <c r="B270" s="19" t="s">
        <v>428</v>
      </c>
      <c r="C270" s="19" t="s">
        <v>429</v>
      </c>
      <c r="D270" s="19" t="s">
        <v>1346</v>
      </c>
      <c r="E270" s="19" t="s">
        <v>1317</v>
      </c>
      <c r="F270" s="19" t="s">
        <v>1323</v>
      </c>
    </row>
    <row r="271">
      <c r="A271" s="24" t="s">
        <v>770</v>
      </c>
      <c r="B271" s="19" t="s">
        <v>771</v>
      </c>
      <c r="C271" s="19" t="s">
        <v>772</v>
      </c>
      <c r="D271" s="19" t="s">
        <v>1345</v>
      </c>
      <c r="E271" s="19" t="s">
        <v>1317</v>
      </c>
      <c r="F271" s="19" t="s">
        <v>1318</v>
      </c>
    </row>
    <row r="272">
      <c r="A272" s="24" t="s">
        <v>514</v>
      </c>
      <c r="B272" s="19" t="s">
        <v>515</v>
      </c>
      <c r="C272" s="19" t="s">
        <v>516</v>
      </c>
      <c r="D272" s="19" t="s">
        <v>1344</v>
      </c>
      <c r="E272" s="19" t="s">
        <v>1317</v>
      </c>
      <c r="F272" s="19" t="s">
        <v>1326</v>
      </c>
    </row>
    <row r="273">
      <c r="A273" s="24" t="s">
        <v>681</v>
      </c>
      <c r="B273" s="19" t="s">
        <v>682</v>
      </c>
      <c r="C273" s="19" t="s">
        <v>683</v>
      </c>
      <c r="D273" s="19" t="s">
        <v>1346</v>
      </c>
      <c r="E273" s="19" t="s">
        <v>1317</v>
      </c>
      <c r="F273" s="19" t="s">
        <v>1323</v>
      </c>
    </row>
    <row r="274">
      <c r="A274" s="24" t="s">
        <v>352</v>
      </c>
      <c r="B274" s="19" t="s">
        <v>353</v>
      </c>
      <c r="C274" s="19" t="s">
        <v>354</v>
      </c>
      <c r="D274" s="19" t="s">
        <v>1344</v>
      </c>
      <c r="E274" s="19" t="s">
        <v>1317</v>
      </c>
      <c r="F274" s="19" t="s">
        <v>1335</v>
      </c>
      <c r="G274" s="19" t="s">
        <v>1355</v>
      </c>
    </row>
    <row r="275">
      <c r="A275" s="24" t="s">
        <v>355</v>
      </c>
      <c r="B275" s="19" t="s">
        <v>356</v>
      </c>
      <c r="C275" s="19" t="s">
        <v>357</v>
      </c>
      <c r="D275" s="19" t="s">
        <v>1346</v>
      </c>
      <c r="E275" s="19" t="s">
        <v>1317</v>
      </c>
      <c r="F275" s="19" t="s">
        <v>1323</v>
      </c>
    </row>
    <row r="276">
      <c r="A276" s="24" t="s">
        <v>257</v>
      </c>
      <c r="B276" s="19" t="s">
        <v>258</v>
      </c>
      <c r="C276" s="19" t="s">
        <v>259</v>
      </c>
      <c r="D276" s="19" t="s">
        <v>1346</v>
      </c>
      <c r="E276" s="19" t="s">
        <v>1317</v>
      </c>
      <c r="F276" s="19" t="s">
        <v>1326</v>
      </c>
    </row>
    <row r="277">
      <c r="A277" s="24" t="s">
        <v>787</v>
      </c>
      <c r="B277" s="19" t="s">
        <v>788</v>
      </c>
      <c r="C277" s="19" t="s">
        <v>789</v>
      </c>
      <c r="D277" s="19" t="s">
        <v>1346</v>
      </c>
      <c r="E277" s="19" t="s">
        <v>1317</v>
      </c>
      <c r="F277" s="19" t="s">
        <v>1318</v>
      </c>
    </row>
    <row r="278">
      <c r="A278" s="24" t="s">
        <v>790</v>
      </c>
      <c r="B278" s="19" t="s">
        <v>791</v>
      </c>
      <c r="C278" s="19" t="s">
        <v>792</v>
      </c>
      <c r="D278" s="19" t="s">
        <v>1345</v>
      </c>
      <c r="E278" s="19" t="s">
        <v>1317</v>
      </c>
      <c r="F278" s="19" t="s">
        <v>1318</v>
      </c>
    </row>
    <row r="279">
      <c r="A279" s="24" t="s">
        <v>517</v>
      </c>
      <c r="B279" s="19" t="s">
        <v>518</v>
      </c>
      <c r="C279" s="19" t="s">
        <v>519</v>
      </c>
      <c r="D279" s="19" t="s">
        <v>1345</v>
      </c>
      <c r="E279" s="19" t="s">
        <v>1317</v>
      </c>
      <c r="F279" s="19" t="s">
        <v>1323</v>
      </c>
    </row>
    <row r="280">
      <c r="A280" s="24" t="s">
        <v>615</v>
      </c>
      <c r="B280" s="19" t="s">
        <v>616</v>
      </c>
      <c r="C280" s="19" t="s">
        <v>617</v>
      </c>
      <c r="D280" s="19" t="s">
        <v>1345</v>
      </c>
      <c r="E280" s="19" t="s">
        <v>1317</v>
      </c>
      <c r="F280" s="19" t="s">
        <v>1323</v>
      </c>
    </row>
    <row r="281">
      <c r="A281" s="24" t="s">
        <v>338</v>
      </c>
      <c r="B281" s="19" t="s">
        <v>339</v>
      </c>
      <c r="C281" s="19" t="s">
        <v>340</v>
      </c>
      <c r="D281" s="19" t="s">
        <v>1345</v>
      </c>
      <c r="E281" s="19" t="s">
        <v>1317</v>
      </c>
      <c r="F281" s="19" t="s">
        <v>1323</v>
      </c>
    </row>
    <row r="282">
      <c r="A282" s="24" t="s">
        <v>508</v>
      </c>
      <c r="B282" s="19" t="s">
        <v>509</v>
      </c>
      <c r="C282" s="19" t="s">
        <v>510</v>
      </c>
      <c r="D282" s="19" t="s">
        <v>1346</v>
      </c>
      <c r="E282" s="19" t="s">
        <v>1317</v>
      </c>
      <c r="F282" s="19" t="s">
        <v>1323</v>
      </c>
    </row>
    <row r="283">
      <c r="A283" s="24" t="s">
        <v>612</v>
      </c>
      <c r="B283" s="19" t="s">
        <v>613</v>
      </c>
      <c r="C283" s="19" t="s">
        <v>614</v>
      </c>
      <c r="D283" s="19" t="s">
        <v>1346</v>
      </c>
      <c r="E283" s="19" t="s">
        <v>1317</v>
      </c>
      <c r="F283" s="19" t="s">
        <v>1326</v>
      </c>
    </row>
    <row r="284">
      <c r="A284" s="24" t="s">
        <v>499</v>
      </c>
      <c r="B284" s="19" t="s">
        <v>500</v>
      </c>
      <c r="C284" s="19" t="s">
        <v>501</v>
      </c>
      <c r="D284" s="19" t="s">
        <v>1346</v>
      </c>
      <c r="E284" s="19" t="s">
        <v>1317</v>
      </c>
      <c r="F284" s="19" t="s">
        <v>1323</v>
      </c>
    </row>
    <row r="285">
      <c r="A285" s="24" t="s">
        <v>238</v>
      </c>
      <c r="B285" s="19" t="s">
        <v>239</v>
      </c>
      <c r="C285" s="19" t="s">
        <v>240</v>
      </c>
      <c r="D285" s="19" t="s">
        <v>1345</v>
      </c>
      <c r="E285" s="19" t="s">
        <v>1317</v>
      </c>
      <c r="F285" s="19" t="s">
        <v>1323</v>
      </c>
    </row>
    <row r="286">
      <c r="A286" s="24" t="s">
        <v>487</v>
      </c>
      <c r="B286" s="19" t="s">
        <v>488</v>
      </c>
      <c r="C286" s="19" t="s">
        <v>489</v>
      </c>
      <c r="D286" s="19" t="s">
        <v>1346</v>
      </c>
      <c r="E286" s="19" t="s">
        <v>1317</v>
      </c>
      <c r="F286" s="19" t="s">
        <v>1323</v>
      </c>
    </row>
    <row r="287">
      <c r="A287" s="24" t="s">
        <v>548</v>
      </c>
      <c r="B287" s="19" t="s">
        <v>549</v>
      </c>
      <c r="C287" s="19" t="s">
        <v>550</v>
      </c>
      <c r="D287" s="19" t="s">
        <v>1346</v>
      </c>
      <c r="E287" s="19" t="s">
        <v>1317</v>
      </c>
      <c r="F287" s="19" t="s">
        <v>1323</v>
      </c>
    </row>
    <row r="288">
      <c r="A288" s="24" t="s">
        <v>579</v>
      </c>
      <c r="B288" s="19" t="s">
        <v>580</v>
      </c>
      <c r="C288" s="19" t="s">
        <v>581</v>
      </c>
      <c r="D288" s="19" t="s">
        <v>1344</v>
      </c>
      <c r="E288" s="19" t="s">
        <v>1320</v>
      </c>
      <c r="F288" s="28"/>
    </row>
    <row r="289">
      <c r="A289" s="24" t="s">
        <v>316</v>
      </c>
      <c r="B289" s="19" t="s">
        <v>317</v>
      </c>
      <c r="C289" s="19" t="s">
        <v>318</v>
      </c>
      <c r="D289" s="19" t="s">
        <v>1345</v>
      </c>
      <c r="E289" s="19" t="s">
        <v>1317</v>
      </c>
      <c r="F289" s="19" t="s">
        <v>1323</v>
      </c>
    </row>
    <row r="290">
      <c r="A290" s="24" t="s">
        <v>582</v>
      </c>
      <c r="B290" s="19" t="s">
        <v>583</v>
      </c>
      <c r="C290" s="19" t="s">
        <v>584</v>
      </c>
      <c r="D290" s="19" t="s">
        <v>1344</v>
      </c>
      <c r="E290" s="19" t="s">
        <v>1317</v>
      </c>
      <c r="F290" s="19" t="s">
        <v>1335</v>
      </c>
      <c r="G290" s="19" t="s">
        <v>1356</v>
      </c>
    </row>
    <row r="291">
      <c r="A291" s="24" t="s">
        <v>79</v>
      </c>
      <c r="B291" s="19" t="s">
        <v>81</v>
      </c>
      <c r="C291" s="19" t="s">
        <v>80</v>
      </c>
      <c r="D291" s="19" t="s">
        <v>1344</v>
      </c>
      <c r="E291" s="19" t="s">
        <v>1320</v>
      </c>
      <c r="F291" s="28"/>
    </row>
    <row r="292">
      <c r="A292" s="24" t="s">
        <v>430</v>
      </c>
      <c r="B292" s="19" t="s">
        <v>431</v>
      </c>
      <c r="C292" s="19" t="s">
        <v>432</v>
      </c>
      <c r="D292" s="19" t="s">
        <v>1346</v>
      </c>
      <c r="E292" s="19" t="s">
        <v>1317</v>
      </c>
      <c r="F292" s="19" t="s">
        <v>1323</v>
      </c>
    </row>
    <row r="293">
      <c r="A293" s="24" t="s">
        <v>565</v>
      </c>
      <c r="B293" s="19" t="s">
        <v>566</v>
      </c>
      <c r="C293" s="19" t="s">
        <v>567</v>
      </c>
      <c r="D293" s="19" t="s">
        <v>1346</v>
      </c>
      <c r="E293" s="19" t="s">
        <v>1317</v>
      </c>
      <c r="F293" s="19" t="s">
        <v>1323</v>
      </c>
    </row>
    <row r="294">
      <c r="A294" s="24" t="s">
        <v>370</v>
      </c>
      <c r="B294" s="19" t="s">
        <v>371</v>
      </c>
      <c r="C294" s="19" t="s">
        <v>372</v>
      </c>
      <c r="D294" s="19" t="s">
        <v>1345</v>
      </c>
      <c r="E294" s="19" t="s">
        <v>1317</v>
      </c>
      <c r="F294" s="19" t="s">
        <v>1323</v>
      </c>
    </row>
    <row r="295">
      <c r="A295" s="24" t="s">
        <v>588</v>
      </c>
      <c r="B295" s="19" t="s">
        <v>589</v>
      </c>
      <c r="C295" s="19" t="s">
        <v>590</v>
      </c>
      <c r="D295" s="19" t="s">
        <v>1345</v>
      </c>
      <c r="E295" s="19" t="s">
        <v>1317</v>
      </c>
      <c r="F295" s="19" t="s">
        <v>1318</v>
      </c>
    </row>
    <row r="296">
      <c r="A296" s="24" t="s">
        <v>349</v>
      </c>
      <c r="B296" s="19" t="s">
        <v>350</v>
      </c>
      <c r="C296" s="19" t="s">
        <v>351</v>
      </c>
      <c r="D296" s="19" t="s">
        <v>1346</v>
      </c>
      <c r="E296" s="19" t="s">
        <v>1317</v>
      </c>
      <c r="F296" s="19" t="s">
        <v>1318</v>
      </c>
    </row>
    <row r="297">
      <c r="A297" s="24" t="s">
        <v>784</v>
      </c>
      <c r="B297" s="19" t="s">
        <v>785</v>
      </c>
      <c r="C297" s="19" t="s">
        <v>786</v>
      </c>
      <c r="D297" s="19" t="s">
        <v>1344</v>
      </c>
      <c r="E297" s="19" t="s">
        <v>1317</v>
      </c>
      <c r="F297" s="19" t="s">
        <v>1318</v>
      </c>
    </row>
    <row r="298">
      <c r="A298" s="24" t="s">
        <v>398</v>
      </c>
      <c r="B298" s="19" t="s">
        <v>399</v>
      </c>
      <c r="C298" s="19" t="s">
        <v>400</v>
      </c>
      <c r="D298" s="19" t="s">
        <v>1346</v>
      </c>
      <c r="E298" s="19" t="s">
        <v>1317</v>
      </c>
      <c r="F298" s="19" t="s">
        <v>1323</v>
      </c>
    </row>
    <row r="299">
      <c r="A299" s="24" t="s">
        <v>229</v>
      </c>
      <c r="B299" s="19" t="s">
        <v>230</v>
      </c>
      <c r="C299" s="19" t="s">
        <v>231</v>
      </c>
      <c r="D299" s="19" t="s">
        <v>1345</v>
      </c>
      <c r="E299" s="19" t="s">
        <v>1317</v>
      </c>
      <c r="F299" s="19" t="s">
        <v>1323</v>
      </c>
    </row>
    <row r="300">
      <c r="A300" s="24" t="s">
        <v>373</v>
      </c>
      <c r="B300" s="19" t="s">
        <v>374</v>
      </c>
      <c r="C300" s="19" t="s">
        <v>375</v>
      </c>
      <c r="D300" s="19" t="s">
        <v>1345</v>
      </c>
      <c r="E300" s="19" t="s">
        <v>1317</v>
      </c>
      <c r="F300" s="19" t="s">
        <v>1323</v>
      </c>
    </row>
    <row r="301">
      <c r="A301" s="24" t="s">
        <v>559</v>
      </c>
      <c r="B301" s="19" t="s">
        <v>560</v>
      </c>
      <c r="C301" s="19" t="s">
        <v>561</v>
      </c>
      <c r="D301" s="19" t="s">
        <v>1345</v>
      </c>
      <c r="E301" s="19" t="s">
        <v>1317</v>
      </c>
      <c r="F301" s="19" t="s">
        <v>1323</v>
      </c>
    </row>
    <row r="302">
      <c r="A302" s="24" t="s">
        <v>387</v>
      </c>
      <c r="B302" s="19" t="s">
        <v>388</v>
      </c>
      <c r="C302" s="19" t="s">
        <v>389</v>
      </c>
      <c r="D302" s="19" t="s">
        <v>1345</v>
      </c>
      <c r="E302" s="19" t="s">
        <v>1317</v>
      </c>
      <c r="F302" s="19" t="s">
        <v>1323</v>
      </c>
    </row>
    <row r="303">
      <c r="A303" s="24" t="s">
        <v>82</v>
      </c>
      <c r="B303" s="19" t="s">
        <v>84</v>
      </c>
      <c r="C303" s="19" t="s">
        <v>83</v>
      </c>
      <c r="D303" s="19" t="s">
        <v>1346</v>
      </c>
      <c r="E303" s="19" t="s">
        <v>1320</v>
      </c>
      <c r="F303" s="28"/>
    </row>
    <row r="304">
      <c r="A304" s="24" t="s">
        <v>778</v>
      </c>
      <c r="B304" s="19" t="s">
        <v>779</v>
      </c>
      <c r="C304" s="19" t="s">
        <v>780</v>
      </c>
      <c r="D304" s="19" t="s">
        <v>1346</v>
      </c>
      <c r="E304" s="19" t="s">
        <v>1317</v>
      </c>
      <c r="F304" s="19" t="s">
        <v>1318</v>
      </c>
    </row>
    <row r="305">
      <c r="A305" s="24" t="s">
        <v>536</v>
      </c>
      <c r="B305" s="19" t="s">
        <v>537</v>
      </c>
      <c r="C305" s="25" t="s">
        <v>538</v>
      </c>
      <c r="D305" s="19" t="s">
        <v>1344</v>
      </c>
      <c r="E305" s="19" t="s">
        <v>1317</v>
      </c>
      <c r="F305" s="19" t="s">
        <v>1323</v>
      </c>
      <c r="G305" s="19" t="s">
        <v>1357</v>
      </c>
    </row>
    <row r="306">
      <c r="A306" s="24" t="s">
        <v>364</v>
      </c>
      <c r="B306" s="19" t="s">
        <v>365</v>
      </c>
      <c r="C306" s="19" t="s">
        <v>366</v>
      </c>
      <c r="D306" s="19" t="s">
        <v>1344</v>
      </c>
      <c r="E306" s="19" t="s">
        <v>1317</v>
      </c>
      <c r="F306" s="19" t="s">
        <v>1323</v>
      </c>
    </row>
    <row r="307">
      <c r="A307" s="24" t="s">
        <v>85</v>
      </c>
      <c r="B307" s="19" t="s">
        <v>87</v>
      </c>
      <c r="C307" s="19" t="s">
        <v>86</v>
      </c>
      <c r="D307" s="19" t="s">
        <v>1344</v>
      </c>
      <c r="E307" s="19" t="s">
        <v>1320</v>
      </c>
      <c r="F307" s="28"/>
    </row>
    <row r="308">
      <c r="A308" s="24" t="s">
        <v>88</v>
      </c>
      <c r="B308" s="19" t="s">
        <v>90</v>
      </c>
      <c r="C308" s="19" t="s">
        <v>89</v>
      </c>
      <c r="D308" s="19" t="s">
        <v>1345</v>
      </c>
      <c r="E308" s="19" t="s">
        <v>1320</v>
      </c>
      <c r="F308" s="28"/>
    </row>
    <row r="309">
      <c r="A309" s="24" t="s">
        <v>91</v>
      </c>
      <c r="B309" s="19" t="s">
        <v>93</v>
      </c>
      <c r="C309" s="19" t="s">
        <v>92</v>
      </c>
      <c r="D309" s="19" t="s">
        <v>1346</v>
      </c>
      <c r="E309" s="19" t="s">
        <v>1320</v>
      </c>
      <c r="F309" s="28"/>
    </row>
    <row r="310">
      <c r="A310" s="24" t="s">
        <v>618</v>
      </c>
      <c r="B310" s="19" t="s">
        <v>619</v>
      </c>
      <c r="C310" s="19" t="s">
        <v>620</v>
      </c>
      <c r="D310" s="19" t="s">
        <v>1345</v>
      </c>
      <c r="E310" s="19" t="s">
        <v>1317</v>
      </c>
      <c r="F310" s="19" t="s">
        <v>1323</v>
      </c>
    </row>
    <row r="311">
      <c r="A311" s="24" t="s">
        <v>94</v>
      </c>
      <c r="B311" s="19" t="s">
        <v>96</v>
      </c>
      <c r="C311" s="19" t="s">
        <v>95</v>
      </c>
      <c r="D311" s="19" t="s">
        <v>1345</v>
      </c>
      <c r="E311" s="19" t="s">
        <v>1320</v>
      </c>
      <c r="F311" s="28"/>
    </row>
    <row r="312">
      <c r="A312" s="24" t="s">
        <v>412</v>
      </c>
      <c r="B312" s="19" t="s">
        <v>413</v>
      </c>
      <c r="C312" s="19" t="s">
        <v>414</v>
      </c>
      <c r="D312" s="19" t="s">
        <v>1344</v>
      </c>
      <c r="E312" s="19" t="s">
        <v>1317</v>
      </c>
      <c r="F312" s="19" t="s">
        <v>1323</v>
      </c>
      <c r="G312" s="19" t="s">
        <v>1354</v>
      </c>
    </row>
    <row r="313">
      <c r="A313" s="24" t="s">
        <v>297</v>
      </c>
      <c r="B313" s="19" t="s">
        <v>298</v>
      </c>
      <c r="C313" s="19" t="s">
        <v>299</v>
      </c>
      <c r="D313" s="19" t="s">
        <v>1345</v>
      </c>
      <c r="E313" s="19" t="s">
        <v>1317</v>
      </c>
      <c r="F313" s="19" t="s">
        <v>1323</v>
      </c>
    </row>
    <row r="314">
      <c r="A314" s="24" t="s">
        <v>97</v>
      </c>
      <c r="B314" s="19" t="s">
        <v>99</v>
      </c>
      <c r="C314" s="19" t="s">
        <v>98</v>
      </c>
      <c r="D314" s="19" t="s">
        <v>1345</v>
      </c>
      <c r="E314" s="19" t="s">
        <v>1320</v>
      </c>
      <c r="F314" s="28"/>
    </row>
    <row r="315">
      <c r="A315" s="24" t="s">
        <v>591</v>
      </c>
      <c r="B315" s="19" t="s">
        <v>592</v>
      </c>
      <c r="C315" s="19" t="s">
        <v>593</v>
      </c>
      <c r="D315" s="19" t="s">
        <v>1346</v>
      </c>
      <c r="E315" s="19" t="s">
        <v>1317</v>
      </c>
      <c r="F315" s="19" t="s">
        <v>1318</v>
      </c>
    </row>
    <row r="316">
      <c r="A316" s="24" t="s">
        <v>484</v>
      </c>
      <c r="B316" s="19" t="s">
        <v>485</v>
      </c>
      <c r="C316" s="19" t="s">
        <v>486</v>
      </c>
      <c r="D316" s="19" t="s">
        <v>1345</v>
      </c>
      <c r="E316" s="19" t="s">
        <v>1317</v>
      </c>
      <c r="F316" s="19" t="s">
        <v>1323</v>
      </c>
    </row>
    <row r="317">
      <c r="A317" s="24" t="s">
        <v>379</v>
      </c>
      <c r="B317" s="19" t="s">
        <v>380</v>
      </c>
      <c r="C317" s="19" t="s">
        <v>381</v>
      </c>
      <c r="D317" s="19" t="s">
        <v>1345</v>
      </c>
      <c r="E317" s="19" t="s">
        <v>1317</v>
      </c>
      <c r="F317" s="19" t="s">
        <v>1323</v>
      </c>
    </row>
    <row r="318">
      <c r="A318" s="24" t="s">
        <v>281</v>
      </c>
      <c r="B318" s="19" t="s">
        <v>282</v>
      </c>
      <c r="C318" s="19" t="s">
        <v>283</v>
      </c>
      <c r="D318" s="19" t="s">
        <v>1345</v>
      </c>
      <c r="E318" s="19" t="s">
        <v>1317</v>
      </c>
      <c r="F318" s="19" t="s">
        <v>1323</v>
      </c>
    </row>
    <row r="319">
      <c r="A319" s="24" t="s">
        <v>529</v>
      </c>
      <c r="B319" s="19" t="s">
        <v>530</v>
      </c>
      <c r="C319" s="19" t="s">
        <v>531</v>
      </c>
      <c r="D319" s="19" t="s">
        <v>1345</v>
      </c>
      <c r="E319" s="19" t="s">
        <v>1317</v>
      </c>
      <c r="F319" s="19" t="s">
        <v>1323</v>
      </c>
    </row>
    <row r="320">
      <c r="A320" s="24" t="s">
        <v>269</v>
      </c>
      <c r="B320" s="19" t="s">
        <v>270</v>
      </c>
      <c r="C320" s="19" t="s">
        <v>271</v>
      </c>
      <c r="D320" s="19" t="s">
        <v>1345</v>
      </c>
      <c r="E320" s="19" t="s">
        <v>1317</v>
      </c>
      <c r="F320" s="19" t="s">
        <v>1323</v>
      </c>
    </row>
    <row r="321">
      <c r="A321" s="24" t="s">
        <v>523</v>
      </c>
      <c r="B321" s="19" t="s">
        <v>524</v>
      </c>
      <c r="C321" s="19" t="s">
        <v>525</v>
      </c>
      <c r="D321" s="19" t="s">
        <v>1344</v>
      </c>
      <c r="E321" s="19" t="s">
        <v>1317</v>
      </c>
      <c r="F321" s="19" t="s">
        <v>1323</v>
      </c>
      <c r="G321" s="19" t="s">
        <v>1354</v>
      </c>
    </row>
    <row r="322">
      <c r="A322" s="24" t="s">
        <v>551</v>
      </c>
      <c r="B322" s="19" t="s">
        <v>552</v>
      </c>
      <c r="C322" s="19" t="s">
        <v>553</v>
      </c>
      <c r="D322" s="19" t="s">
        <v>1346</v>
      </c>
      <c r="E322" s="19" t="s">
        <v>1317</v>
      </c>
      <c r="F322" s="19" t="s">
        <v>1318</v>
      </c>
    </row>
    <row r="323">
      <c r="A323" s="24" t="s">
        <v>594</v>
      </c>
      <c r="B323" s="19" t="s">
        <v>595</v>
      </c>
      <c r="C323" s="19" t="s">
        <v>596</v>
      </c>
      <c r="D323" s="19" t="s">
        <v>1344</v>
      </c>
      <c r="E323" s="19" t="s">
        <v>1317</v>
      </c>
      <c r="F323" s="19" t="s">
        <v>1323</v>
      </c>
    </row>
    <row r="324">
      <c r="A324" s="24" t="s">
        <v>635</v>
      </c>
      <c r="B324" s="19" t="s">
        <v>636</v>
      </c>
      <c r="C324" s="19" t="s">
        <v>637</v>
      </c>
      <c r="D324" s="19" t="s">
        <v>1344</v>
      </c>
      <c r="E324" s="19" t="s">
        <v>1317</v>
      </c>
      <c r="F324" s="19" t="s">
        <v>1323</v>
      </c>
    </row>
    <row r="325">
      <c r="A325" s="24" t="s">
        <v>406</v>
      </c>
      <c r="B325" s="19" t="s">
        <v>407</v>
      </c>
      <c r="C325" s="19" t="s">
        <v>408</v>
      </c>
      <c r="D325" s="19" t="s">
        <v>1344</v>
      </c>
      <c r="E325" s="19" t="s">
        <v>1317</v>
      </c>
      <c r="F325" s="19" t="s">
        <v>1318</v>
      </c>
    </row>
    <row r="326">
      <c r="A326" s="24" t="s">
        <v>251</v>
      </c>
      <c r="B326" s="19" t="s">
        <v>252</v>
      </c>
      <c r="C326" s="19" t="s">
        <v>253</v>
      </c>
      <c r="D326" s="19" t="s">
        <v>1345</v>
      </c>
      <c r="E326" s="19" t="s">
        <v>1317</v>
      </c>
      <c r="F326" s="19" t="s">
        <v>1323</v>
      </c>
    </row>
    <row r="327">
      <c r="A327" s="24" t="s">
        <v>358</v>
      </c>
      <c r="B327" s="19" t="s">
        <v>359</v>
      </c>
      <c r="C327" s="19" t="s">
        <v>360</v>
      </c>
      <c r="D327" s="19" t="s">
        <v>1344</v>
      </c>
      <c r="E327" s="19" t="s">
        <v>1317</v>
      </c>
      <c r="F327" s="19" t="s">
        <v>1323</v>
      </c>
    </row>
    <row r="328">
      <c r="A328" s="24" t="s">
        <v>646</v>
      </c>
      <c r="B328" s="19" t="s">
        <v>647</v>
      </c>
      <c r="C328" s="19" t="s">
        <v>648</v>
      </c>
      <c r="D328" s="19" t="s">
        <v>1345</v>
      </c>
      <c r="E328" s="19" t="s">
        <v>1317</v>
      </c>
      <c r="F328" s="19" t="s">
        <v>1323</v>
      </c>
    </row>
    <row r="329">
      <c r="A329" s="24" t="s">
        <v>100</v>
      </c>
      <c r="B329" s="19" t="s">
        <v>102</v>
      </c>
      <c r="C329" s="19" t="s">
        <v>101</v>
      </c>
      <c r="D329" s="19" t="s">
        <v>1345</v>
      </c>
      <c r="E329" s="19" t="s">
        <v>1320</v>
      </c>
      <c r="F329" s="28"/>
    </row>
    <row r="330">
      <c r="A330" s="24" t="s">
        <v>562</v>
      </c>
      <c r="B330" s="19" t="s">
        <v>563</v>
      </c>
      <c r="C330" s="19" t="s">
        <v>564</v>
      </c>
      <c r="D330" s="19" t="s">
        <v>1346</v>
      </c>
      <c r="E330" s="19" t="s">
        <v>1317</v>
      </c>
      <c r="F330" s="19" t="s">
        <v>1323</v>
      </c>
    </row>
    <row r="331">
      <c r="A331" s="24" t="s">
        <v>103</v>
      </c>
      <c r="B331" s="19" t="s">
        <v>105</v>
      </c>
      <c r="C331" s="19" t="s">
        <v>104</v>
      </c>
      <c r="D331" s="19" t="s">
        <v>1345</v>
      </c>
      <c r="E331" s="19" t="s">
        <v>1320</v>
      </c>
      <c r="F331" s="28"/>
    </row>
    <row r="332">
      <c r="A332" s="24" t="s">
        <v>609</v>
      </c>
      <c r="B332" s="19" t="s">
        <v>610</v>
      </c>
      <c r="C332" s="19" t="s">
        <v>611</v>
      </c>
      <c r="D332" s="19" t="s">
        <v>1346</v>
      </c>
      <c r="E332" s="19" t="s">
        <v>1317</v>
      </c>
      <c r="F332" s="19" t="s">
        <v>1323</v>
      </c>
    </row>
    <row r="333">
      <c r="A333" s="24" t="s">
        <v>263</v>
      </c>
      <c r="B333" s="19" t="s">
        <v>264</v>
      </c>
      <c r="C333" s="19" t="s">
        <v>265</v>
      </c>
      <c r="D333" s="19" t="s">
        <v>1344</v>
      </c>
      <c r="E333" s="19" t="s">
        <v>1317</v>
      </c>
      <c r="F333" s="19" t="s">
        <v>1335</v>
      </c>
      <c r="G333" s="19" t="s">
        <v>1358</v>
      </c>
    </row>
    <row r="334">
      <c r="A334" s="24" t="s">
        <v>418</v>
      </c>
      <c r="B334" s="19" t="s">
        <v>419</v>
      </c>
      <c r="C334" s="19" t="s">
        <v>420</v>
      </c>
      <c r="D334" s="19" t="s">
        <v>1346</v>
      </c>
      <c r="E334" s="19" t="s">
        <v>1317</v>
      </c>
      <c r="F334" s="19" t="s">
        <v>1335</v>
      </c>
      <c r="G334" s="19" t="s">
        <v>1359</v>
      </c>
    </row>
    <row r="335">
      <c r="A335" s="24" t="s">
        <v>286</v>
      </c>
      <c r="B335" s="19" t="s">
        <v>287</v>
      </c>
      <c r="C335" s="19" t="s">
        <v>288</v>
      </c>
      <c r="D335" s="19" t="s">
        <v>1345</v>
      </c>
      <c r="E335" s="19" t="s">
        <v>1317</v>
      </c>
      <c r="F335" s="19" t="s">
        <v>1335</v>
      </c>
      <c r="G335" s="19" t="s">
        <v>1360</v>
      </c>
    </row>
    <row r="336">
      <c r="A336" s="24" t="s">
        <v>421</v>
      </c>
      <c r="B336" s="19" t="s">
        <v>422</v>
      </c>
      <c r="C336" s="19" t="s">
        <v>423</v>
      </c>
      <c r="D336" s="19" t="s">
        <v>1344</v>
      </c>
      <c r="E336" s="19" t="s">
        <v>1317</v>
      </c>
      <c r="F336" s="19" t="s">
        <v>1326</v>
      </c>
      <c r="G336" s="19" t="s">
        <v>1361</v>
      </c>
    </row>
    <row r="337">
      <c r="A337" s="24" t="s">
        <v>319</v>
      </c>
      <c r="B337" s="19" t="s">
        <v>320</v>
      </c>
      <c r="C337" s="19" t="s">
        <v>321</v>
      </c>
      <c r="D337" s="19" t="s">
        <v>1344</v>
      </c>
      <c r="E337" s="19" t="s">
        <v>1317</v>
      </c>
      <c r="F337" s="19" t="s">
        <v>1323</v>
      </c>
    </row>
    <row r="338">
      <c r="A338" s="24" t="s">
        <v>241</v>
      </c>
      <c r="B338" s="19" t="s">
        <v>242</v>
      </c>
      <c r="C338" s="19" t="s">
        <v>243</v>
      </c>
      <c r="D338" s="19" t="s">
        <v>1346</v>
      </c>
      <c r="E338" s="19" t="s">
        <v>1317</v>
      </c>
      <c r="F338" s="19" t="s">
        <v>1326</v>
      </c>
    </row>
    <row r="339">
      <c r="A339" s="24" t="s">
        <v>467</v>
      </c>
      <c r="B339" s="19" t="s">
        <v>468</v>
      </c>
      <c r="C339" s="19" t="s">
        <v>469</v>
      </c>
      <c r="D339" s="19" t="s">
        <v>1345</v>
      </c>
      <c r="E339" s="19" t="s">
        <v>1317</v>
      </c>
      <c r="F339" s="19" t="s">
        <v>1326</v>
      </c>
    </row>
    <row r="340">
      <c r="A340" s="24" t="s">
        <v>439</v>
      </c>
      <c r="B340" s="19" t="s">
        <v>440</v>
      </c>
      <c r="C340" s="19" t="s">
        <v>441</v>
      </c>
      <c r="D340" s="19" t="s">
        <v>1344</v>
      </c>
      <c r="E340" s="19" t="s">
        <v>1317</v>
      </c>
      <c r="F340" s="19" t="s">
        <v>1323</v>
      </c>
    </row>
    <row r="341">
      <c r="A341" s="24" t="s">
        <v>219</v>
      </c>
      <c r="B341" s="19" t="s">
        <v>220</v>
      </c>
      <c r="C341" s="19" t="s">
        <v>221</v>
      </c>
      <c r="D341" s="19" t="s">
        <v>1346</v>
      </c>
      <c r="E341" s="19" t="s">
        <v>1317</v>
      </c>
      <c r="F341" s="19" t="s">
        <v>1326</v>
      </c>
    </row>
    <row r="342">
      <c r="A342" s="24" t="s">
        <v>216</v>
      </c>
      <c r="B342" s="19" t="s">
        <v>217</v>
      </c>
      <c r="C342" s="19" t="s">
        <v>218</v>
      </c>
      <c r="D342" s="19" t="s">
        <v>1344</v>
      </c>
      <c r="E342" s="19" t="s">
        <v>1317</v>
      </c>
      <c r="F342" s="19" t="s">
        <v>1326</v>
      </c>
    </row>
    <row r="343">
      <c r="A343" s="24" t="s">
        <v>346</v>
      </c>
      <c r="B343" s="19" t="s">
        <v>347</v>
      </c>
      <c r="C343" s="19" t="s">
        <v>348</v>
      </c>
      <c r="D343" s="19" t="s">
        <v>1345</v>
      </c>
      <c r="E343" s="19" t="s">
        <v>1317</v>
      </c>
      <c r="F343" s="19" t="s">
        <v>1323</v>
      </c>
    </row>
    <row r="344">
      <c r="A344" s="24" t="s">
        <v>106</v>
      </c>
      <c r="B344" s="19" t="s">
        <v>108</v>
      </c>
      <c r="C344" s="19" t="s">
        <v>107</v>
      </c>
      <c r="D344" s="19" t="s">
        <v>1344</v>
      </c>
      <c r="E344" s="19" t="s">
        <v>1320</v>
      </c>
      <c r="F344" s="28"/>
      <c r="G344" s="19" t="s">
        <v>1362</v>
      </c>
    </row>
    <row r="345">
      <c r="A345" s="24" t="s">
        <v>329</v>
      </c>
      <c r="B345" s="19" t="s">
        <v>330</v>
      </c>
      <c r="C345" s="19" t="s">
        <v>331</v>
      </c>
      <c r="D345" s="19" t="s">
        <v>1346</v>
      </c>
      <c r="E345" s="19" t="s">
        <v>1317</v>
      </c>
      <c r="F345" s="19" t="s">
        <v>1326</v>
      </c>
    </row>
    <row r="346">
      <c r="A346" s="24" t="s">
        <v>424</v>
      </c>
      <c r="B346" s="19" t="s">
        <v>425</v>
      </c>
      <c r="C346" s="19" t="s">
        <v>426</v>
      </c>
      <c r="D346" s="19" t="s">
        <v>1344</v>
      </c>
      <c r="E346" s="19" t="s">
        <v>1317</v>
      </c>
      <c r="F346" s="19" t="s">
        <v>1323</v>
      </c>
    </row>
    <row r="347">
      <c r="A347" s="24" t="s">
        <v>222</v>
      </c>
      <c r="B347" s="19" t="s">
        <v>223</v>
      </c>
      <c r="C347" s="19" t="s">
        <v>224</v>
      </c>
      <c r="D347" s="19" t="s">
        <v>1344</v>
      </c>
      <c r="E347" s="19" t="s">
        <v>1317</v>
      </c>
      <c r="F347" s="19" t="s">
        <v>1326</v>
      </c>
    </row>
    <row r="348">
      <c r="A348" s="24" t="s">
        <v>335</v>
      </c>
      <c r="B348" s="19" t="s">
        <v>336</v>
      </c>
      <c r="C348" s="19" t="s">
        <v>337</v>
      </c>
      <c r="D348" s="19" t="s">
        <v>1345</v>
      </c>
      <c r="E348" s="19" t="s">
        <v>1317</v>
      </c>
      <c r="F348" s="19" t="s">
        <v>1323</v>
      </c>
    </row>
    <row r="349">
      <c r="A349" s="24" t="s">
        <v>226</v>
      </c>
      <c r="B349" s="19" t="s">
        <v>227</v>
      </c>
      <c r="C349" s="19" t="s">
        <v>228</v>
      </c>
      <c r="D349" s="19" t="s">
        <v>1345</v>
      </c>
      <c r="E349" s="19" t="s">
        <v>1317</v>
      </c>
      <c r="F349" s="19" t="s">
        <v>1326</v>
      </c>
    </row>
    <row r="350">
      <c r="A350" s="24" t="s">
        <v>109</v>
      </c>
      <c r="B350" s="19" t="s">
        <v>111</v>
      </c>
      <c r="C350" s="19" t="s">
        <v>110</v>
      </c>
      <c r="D350" s="19" t="s">
        <v>1344</v>
      </c>
      <c r="E350" s="19" t="s">
        <v>1320</v>
      </c>
      <c r="F350" s="19"/>
    </row>
    <row r="351">
      <c r="A351" s="24" t="s">
        <v>112</v>
      </c>
      <c r="B351" s="19" t="s">
        <v>114</v>
      </c>
      <c r="C351" s="19" t="s">
        <v>113</v>
      </c>
      <c r="D351" s="19" t="s">
        <v>1345</v>
      </c>
      <c r="E351" s="19" t="s">
        <v>1317</v>
      </c>
      <c r="F351" s="19" t="s">
        <v>1323</v>
      </c>
    </row>
    <row r="352">
      <c r="A352" s="24" t="s">
        <v>502</v>
      </c>
      <c r="B352" s="19" t="s">
        <v>503</v>
      </c>
      <c r="C352" s="19" t="s">
        <v>504</v>
      </c>
      <c r="D352" s="19" t="s">
        <v>1344</v>
      </c>
      <c r="E352" s="19" t="s">
        <v>1317</v>
      </c>
      <c r="F352" s="19" t="s">
        <v>1335</v>
      </c>
      <c r="G352" s="19" t="s">
        <v>1355</v>
      </c>
    </row>
    <row r="353">
      <c r="A353" s="24" t="s">
        <v>266</v>
      </c>
      <c r="B353" s="19" t="s">
        <v>267</v>
      </c>
      <c r="C353" s="19" t="s">
        <v>268</v>
      </c>
      <c r="D353" s="19" t="s">
        <v>1345</v>
      </c>
      <c r="E353" s="19" t="s">
        <v>1317</v>
      </c>
      <c r="F353" s="19" t="s">
        <v>1323</v>
      </c>
    </row>
    <row r="354">
      <c r="A354" s="24" t="s">
        <v>115</v>
      </c>
      <c r="B354" s="19" t="s">
        <v>117</v>
      </c>
      <c r="C354" s="19" t="s">
        <v>116</v>
      </c>
      <c r="D354" s="19" t="s">
        <v>1345</v>
      </c>
      <c r="E354" s="19" t="s">
        <v>1320</v>
      </c>
      <c r="F354" s="28"/>
    </row>
    <row r="355">
      <c r="A355" s="24" t="s">
        <v>603</v>
      </c>
      <c r="B355" s="19" t="s">
        <v>604</v>
      </c>
      <c r="C355" s="19" t="s">
        <v>605</v>
      </c>
      <c r="D355" s="19" t="s">
        <v>1345</v>
      </c>
      <c r="E355" s="19" t="s">
        <v>1317</v>
      </c>
      <c r="F355" s="19" t="s">
        <v>1323</v>
      </c>
    </row>
    <row r="356">
      <c r="A356" s="24" t="s">
        <v>627</v>
      </c>
      <c r="B356" s="19" t="s">
        <v>628</v>
      </c>
      <c r="C356" s="19" t="s">
        <v>629</v>
      </c>
      <c r="D356" s="19" t="s">
        <v>1345</v>
      </c>
      <c r="E356" s="19" t="s">
        <v>1317</v>
      </c>
      <c r="F356" s="19" t="s">
        <v>1323</v>
      </c>
    </row>
    <row r="357">
      <c r="A357" s="24" t="s">
        <v>325</v>
      </c>
      <c r="B357" s="19" t="s">
        <v>326</v>
      </c>
      <c r="C357" s="19" t="s">
        <v>327</v>
      </c>
      <c r="D357" s="19" t="s">
        <v>1346</v>
      </c>
      <c r="E357" s="19" t="s">
        <v>1317</v>
      </c>
      <c r="F357" s="19" t="s">
        <v>1323</v>
      </c>
    </row>
    <row r="358">
      <c r="A358" s="24" t="s">
        <v>409</v>
      </c>
      <c r="B358" s="19" t="s">
        <v>410</v>
      </c>
      <c r="C358" s="19" t="s">
        <v>411</v>
      </c>
      <c r="D358" s="19" t="s">
        <v>1344</v>
      </c>
      <c r="E358" s="19" t="s">
        <v>1317</v>
      </c>
      <c r="F358" s="19" t="s">
        <v>1323</v>
      </c>
      <c r="G358" s="19" t="s">
        <v>1363</v>
      </c>
    </row>
    <row r="359">
      <c r="A359" s="24" t="s">
        <v>118</v>
      </c>
      <c r="B359" s="19" t="s">
        <v>120</v>
      </c>
      <c r="C359" s="19" t="s">
        <v>119</v>
      </c>
      <c r="D359" s="19" t="s">
        <v>1344</v>
      </c>
      <c r="E359" s="19" t="s">
        <v>1320</v>
      </c>
      <c r="F359" s="28"/>
    </row>
    <row r="360">
      <c r="A360" s="24" t="s">
        <v>415</v>
      </c>
      <c r="B360" s="19" t="s">
        <v>416</v>
      </c>
      <c r="C360" s="19" t="s">
        <v>417</v>
      </c>
      <c r="D360" s="19" t="s">
        <v>1346</v>
      </c>
      <c r="E360" s="19" t="s">
        <v>1317</v>
      </c>
      <c r="F360" s="19" t="s">
        <v>1326</v>
      </c>
    </row>
    <row r="361">
      <c r="A361" s="24" t="s">
        <v>121</v>
      </c>
      <c r="B361" s="19" t="s">
        <v>123</v>
      </c>
      <c r="C361" s="19" t="s">
        <v>122</v>
      </c>
      <c r="D361" s="19" t="s">
        <v>1345</v>
      </c>
      <c r="E361" s="19" t="s">
        <v>1320</v>
      </c>
      <c r="F361" s="28"/>
    </row>
    <row r="362">
      <c r="A362" s="24" t="s">
        <v>124</v>
      </c>
      <c r="B362" s="19" t="s">
        <v>126</v>
      </c>
      <c r="C362" s="19" t="s">
        <v>125</v>
      </c>
      <c r="D362" s="19" t="s">
        <v>1344</v>
      </c>
      <c r="E362" s="19" t="s">
        <v>1320</v>
      </c>
      <c r="F362" s="28"/>
    </row>
    <row r="363">
      <c r="A363" s="24" t="s">
        <v>442</v>
      </c>
      <c r="B363" s="19" t="s">
        <v>443</v>
      </c>
      <c r="C363" s="19" t="s">
        <v>444</v>
      </c>
      <c r="D363" s="19" t="s">
        <v>1346</v>
      </c>
      <c r="E363" s="19" t="s">
        <v>1317</v>
      </c>
      <c r="F363" s="19" t="s">
        <v>1323</v>
      </c>
    </row>
    <row r="364">
      <c r="A364" s="24" t="s">
        <v>292</v>
      </c>
      <c r="B364" s="19" t="s">
        <v>293</v>
      </c>
      <c r="C364" s="19" t="s">
        <v>294</v>
      </c>
      <c r="D364" s="19" t="s">
        <v>1346</v>
      </c>
      <c r="E364" s="19" t="s">
        <v>1317</v>
      </c>
      <c r="F364" s="19" t="s">
        <v>1323</v>
      </c>
    </row>
    <row r="365">
      <c r="A365" s="24" t="s">
        <v>395</v>
      </c>
      <c r="B365" s="19" t="s">
        <v>396</v>
      </c>
      <c r="C365" s="19" t="s">
        <v>397</v>
      </c>
      <c r="D365" s="19" t="s">
        <v>1345</v>
      </c>
      <c r="E365" s="19" t="s">
        <v>1317</v>
      </c>
      <c r="F365" s="19" t="s">
        <v>1323</v>
      </c>
    </row>
    <row r="366">
      <c r="A366" s="24" t="s">
        <v>448</v>
      </c>
      <c r="B366" s="19" t="s">
        <v>449</v>
      </c>
      <c r="C366" s="19" t="s">
        <v>450</v>
      </c>
      <c r="D366" s="19" t="s">
        <v>1346</v>
      </c>
      <c r="E366" s="19" t="s">
        <v>1317</v>
      </c>
      <c r="F366" s="19" t="s">
        <v>1323</v>
      </c>
    </row>
    <row r="367">
      <c r="A367" s="24" t="s">
        <v>454</v>
      </c>
      <c r="B367" s="19" t="s">
        <v>455</v>
      </c>
      <c r="C367" s="19" t="s">
        <v>456</v>
      </c>
      <c r="D367" s="19" t="s">
        <v>1344</v>
      </c>
      <c r="E367" s="19" t="s">
        <v>1317</v>
      </c>
      <c r="F367" s="19" t="s">
        <v>1326</v>
      </c>
    </row>
    <row r="368">
      <c r="A368" s="24" t="s">
        <v>300</v>
      </c>
      <c r="B368" s="19" t="s">
        <v>301</v>
      </c>
      <c r="C368" s="19" t="s">
        <v>302</v>
      </c>
      <c r="D368" s="19" t="s">
        <v>1346</v>
      </c>
      <c r="E368" s="19" t="s">
        <v>1317</v>
      </c>
      <c r="F368" s="19" t="s">
        <v>1326</v>
      </c>
    </row>
    <row r="369">
      <c r="A369" s="24" t="s">
        <v>322</v>
      </c>
      <c r="B369" s="19" t="s">
        <v>323</v>
      </c>
      <c r="C369" s="19" t="s">
        <v>324</v>
      </c>
      <c r="D369" s="19" t="s">
        <v>1345</v>
      </c>
      <c r="E369" s="19" t="s">
        <v>1317</v>
      </c>
      <c r="F369" s="19" t="s">
        <v>1326</v>
      </c>
    </row>
    <row r="370">
      <c r="A370" s="24" t="s">
        <v>496</v>
      </c>
      <c r="B370" s="19" t="s">
        <v>497</v>
      </c>
      <c r="C370" s="19" t="s">
        <v>498</v>
      </c>
      <c r="D370" s="19" t="s">
        <v>1346</v>
      </c>
      <c r="E370" s="19" t="s">
        <v>1317</v>
      </c>
      <c r="F370" s="19" t="s">
        <v>1323</v>
      </c>
    </row>
    <row r="371">
      <c r="A371" s="24" t="s">
        <v>382</v>
      </c>
      <c r="B371" s="19" t="s">
        <v>383</v>
      </c>
      <c r="C371" s="19" t="s">
        <v>384</v>
      </c>
      <c r="D371" s="19" t="s">
        <v>1344</v>
      </c>
      <c r="E371" s="19" t="s">
        <v>1317</v>
      </c>
      <c r="F371" s="19" t="s">
        <v>1335</v>
      </c>
      <c r="G371" s="19" t="s">
        <v>1364</v>
      </c>
    </row>
    <row r="372">
      <c r="A372" s="24" t="s">
        <v>1272</v>
      </c>
      <c r="B372" s="19" t="s">
        <v>1273</v>
      </c>
      <c r="C372" s="19" t="s">
        <v>1274</v>
      </c>
      <c r="D372" s="19" t="s">
        <v>1346</v>
      </c>
      <c r="E372" s="19" t="s">
        <v>1317</v>
      </c>
      <c r="F372" s="19" t="s">
        <v>1318</v>
      </c>
    </row>
    <row r="373">
      <c r="A373" s="24" t="s">
        <v>1205</v>
      </c>
      <c r="B373" s="19" t="s">
        <v>1206</v>
      </c>
      <c r="C373" s="19" t="s">
        <v>1207</v>
      </c>
      <c r="D373" s="19" t="s">
        <v>1345</v>
      </c>
      <c r="E373" s="19" t="s">
        <v>1317</v>
      </c>
      <c r="F373" s="19" t="s">
        <v>1326</v>
      </c>
    </row>
    <row r="374">
      <c r="A374" s="24" t="s">
        <v>1228</v>
      </c>
      <c r="B374" s="19" t="s">
        <v>1229</v>
      </c>
      <c r="C374" s="19" t="s">
        <v>1230</v>
      </c>
      <c r="D374" s="19" t="s">
        <v>1345</v>
      </c>
      <c r="E374" s="19" t="s">
        <v>1317</v>
      </c>
      <c r="F374" s="19" t="s">
        <v>1318</v>
      </c>
    </row>
    <row r="375">
      <c r="A375" s="24" t="s">
        <v>1290</v>
      </c>
      <c r="B375" s="19" t="s">
        <v>1291</v>
      </c>
      <c r="C375" s="19" t="s">
        <v>1292</v>
      </c>
      <c r="D375" s="19" t="s">
        <v>1346</v>
      </c>
      <c r="E375" s="19" t="s">
        <v>1317</v>
      </c>
      <c r="F375" s="19" t="s">
        <v>1318</v>
      </c>
    </row>
    <row r="376">
      <c r="A376" s="24" t="s">
        <v>1299</v>
      </c>
      <c r="B376" s="19" t="s">
        <v>1300</v>
      </c>
      <c r="C376" s="19" t="s">
        <v>1301</v>
      </c>
      <c r="D376" s="19" t="s">
        <v>1345</v>
      </c>
      <c r="E376" s="19" t="s">
        <v>1317</v>
      </c>
      <c r="F376" s="19" t="s">
        <v>1318</v>
      </c>
    </row>
    <row r="377">
      <c r="A377" s="24" t="s">
        <v>1231</v>
      </c>
      <c r="B377" s="19" t="s">
        <v>1232</v>
      </c>
      <c r="C377" s="19" t="s">
        <v>1233</v>
      </c>
      <c r="D377" s="19" t="s">
        <v>1346</v>
      </c>
      <c r="E377" s="19" t="s">
        <v>1317</v>
      </c>
      <c r="F377" s="19" t="s">
        <v>1318</v>
      </c>
    </row>
    <row r="378">
      <c r="A378" s="24" t="s">
        <v>728</v>
      </c>
      <c r="B378" s="19" t="s">
        <v>729</v>
      </c>
      <c r="C378" s="19" t="s">
        <v>730</v>
      </c>
      <c r="D378" s="19" t="s">
        <v>1345</v>
      </c>
      <c r="E378" s="19" t="s">
        <v>1317</v>
      </c>
      <c r="F378" s="19" t="s">
        <v>1318</v>
      </c>
    </row>
    <row r="379">
      <c r="A379" s="24" t="s">
        <v>573</v>
      </c>
      <c r="B379" s="19" t="s">
        <v>574</v>
      </c>
      <c r="C379" s="19" t="s">
        <v>575</v>
      </c>
      <c r="D379" s="19" t="s">
        <v>1344</v>
      </c>
      <c r="E379" s="19" t="s">
        <v>1317</v>
      </c>
      <c r="F379" s="19" t="s">
        <v>1323</v>
      </c>
    </row>
    <row r="380">
      <c r="A380" s="24" t="s">
        <v>1104</v>
      </c>
      <c r="B380" s="19" t="s">
        <v>1105</v>
      </c>
      <c r="C380" s="19" t="s">
        <v>1106</v>
      </c>
      <c r="D380" s="19" t="s">
        <v>1345</v>
      </c>
      <c r="E380" s="19" t="s">
        <v>1317</v>
      </c>
      <c r="F380" s="19" t="s">
        <v>1318</v>
      </c>
    </row>
    <row r="381">
      <c r="A381" s="24" t="s">
        <v>1165</v>
      </c>
      <c r="B381" s="19" t="s">
        <v>1166</v>
      </c>
      <c r="C381" s="19" t="s">
        <v>1167</v>
      </c>
      <c r="D381" s="19" t="s">
        <v>1344</v>
      </c>
      <c r="E381" s="19" t="s">
        <v>1317</v>
      </c>
      <c r="F381" s="19" t="s">
        <v>1318</v>
      </c>
    </row>
    <row r="382">
      <c r="A382" s="24" t="s">
        <v>914</v>
      </c>
      <c r="B382" s="19" t="s">
        <v>915</v>
      </c>
      <c r="C382" s="19" t="s">
        <v>916</v>
      </c>
      <c r="D382" s="19" t="s">
        <v>1346</v>
      </c>
      <c r="E382" s="19" t="s">
        <v>1317</v>
      </c>
      <c r="F382" s="19" t="s">
        <v>1318</v>
      </c>
    </row>
    <row r="383">
      <c r="A383" s="24" t="s">
        <v>984</v>
      </c>
      <c r="B383" s="19" t="s">
        <v>985</v>
      </c>
      <c r="C383" s="19" t="s">
        <v>986</v>
      </c>
      <c r="D383" s="19" t="s">
        <v>1344</v>
      </c>
      <c r="E383" s="19" t="s">
        <v>1317</v>
      </c>
      <c r="F383" s="19" t="s">
        <v>1318</v>
      </c>
    </row>
    <row r="384">
      <c r="A384" s="24" t="s">
        <v>860</v>
      </c>
      <c r="B384" s="19" t="s">
        <v>861</v>
      </c>
      <c r="C384" s="19" t="s">
        <v>862</v>
      </c>
      <c r="D384" s="19" t="s">
        <v>1345</v>
      </c>
      <c r="E384" s="19" t="s">
        <v>1317</v>
      </c>
      <c r="F384" s="19" t="s">
        <v>1318</v>
      </c>
    </row>
    <row r="385">
      <c r="A385" s="24" t="s">
        <v>511</v>
      </c>
      <c r="B385" s="19" t="s">
        <v>512</v>
      </c>
      <c r="C385" s="19" t="s">
        <v>513</v>
      </c>
      <c r="D385" s="19" t="s">
        <v>1346</v>
      </c>
      <c r="E385" s="19" t="s">
        <v>1317</v>
      </c>
      <c r="F385" s="19" t="s">
        <v>1323</v>
      </c>
    </row>
    <row r="386">
      <c r="A386" s="24" t="s">
        <v>1225</v>
      </c>
      <c r="B386" s="19" t="s">
        <v>1226</v>
      </c>
      <c r="C386" s="19" t="s">
        <v>1227</v>
      </c>
      <c r="D386" s="19" t="s">
        <v>1344</v>
      </c>
      <c r="E386" s="19" t="s">
        <v>1317</v>
      </c>
      <c r="F386" s="19" t="s">
        <v>1318</v>
      </c>
    </row>
    <row r="387">
      <c r="A387" s="24" t="s">
        <v>1222</v>
      </c>
      <c r="B387" s="19" t="s">
        <v>1223</v>
      </c>
      <c r="C387" s="19" t="s">
        <v>1224</v>
      </c>
      <c r="D387" s="19" t="s">
        <v>1346</v>
      </c>
      <c r="E387" s="19" t="s">
        <v>1317</v>
      </c>
      <c r="F387" s="19" t="s">
        <v>1318</v>
      </c>
    </row>
    <row r="388">
      <c r="A388" s="24" t="s">
        <v>1284</v>
      </c>
      <c r="B388" s="19" t="s">
        <v>1285</v>
      </c>
      <c r="C388" s="19" t="s">
        <v>1286</v>
      </c>
      <c r="D388" s="19" t="s">
        <v>1346</v>
      </c>
      <c r="E388" s="19" t="s">
        <v>1317</v>
      </c>
      <c r="F388" s="19" t="s">
        <v>1318</v>
      </c>
    </row>
    <row r="389">
      <c r="A389" s="24" t="s">
        <v>1293</v>
      </c>
      <c r="B389" s="19" t="s">
        <v>1294</v>
      </c>
      <c r="C389" s="19" t="s">
        <v>1295</v>
      </c>
      <c r="D389" s="19" t="s">
        <v>1346</v>
      </c>
      <c r="E389" s="19" t="s">
        <v>1317</v>
      </c>
      <c r="F389" s="19" t="s">
        <v>1318</v>
      </c>
    </row>
    <row r="390">
      <c r="A390" s="24" t="s">
        <v>1305</v>
      </c>
      <c r="B390" s="19" t="s">
        <v>1306</v>
      </c>
      <c r="C390" s="19" t="s">
        <v>1307</v>
      </c>
      <c r="D390" s="19" t="s">
        <v>1345</v>
      </c>
      <c r="E390" s="19" t="s">
        <v>1317</v>
      </c>
      <c r="F390" s="19" t="s">
        <v>1323</v>
      </c>
    </row>
    <row r="391">
      <c r="A391" s="24" t="s">
        <v>1240</v>
      </c>
      <c r="B391" s="19" t="s">
        <v>1241</v>
      </c>
      <c r="C391" s="19" t="s">
        <v>1242</v>
      </c>
      <c r="D391" s="19" t="s">
        <v>1345</v>
      </c>
      <c r="E391" s="19" t="s">
        <v>1317</v>
      </c>
      <c r="F391" s="19" t="s">
        <v>1318</v>
      </c>
    </row>
    <row r="392">
      <c r="A392" s="24" t="s">
        <v>742</v>
      </c>
      <c r="B392" s="19" t="s">
        <v>743</v>
      </c>
      <c r="C392" s="19" t="s">
        <v>744</v>
      </c>
      <c r="D392" s="19" t="s">
        <v>1346</v>
      </c>
      <c r="E392" s="19" t="s">
        <v>1317</v>
      </c>
      <c r="F392" s="19" t="s">
        <v>1318</v>
      </c>
    </row>
    <row r="393">
      <c r="A393" s="24" t="s">
        <v>1267</v>
      </c>
      <c r="B393" s="19" t="s">
        <v>1268</v>
      </c>
      <c r="C393" s="19" t="s">
        <v>1269</v>
      </c>
      <c r="D393" s="19" t="s">
        <v>1345</v>
      </c>
      <c r="E393" s="19" t="s">
        <v>1317</v>
      </c>
      <c r="F393" s="19" t="s">
        <v>1318</v>
      </c>
    </row>
    <row r="394">
      <c r="A394" s="21" t="s">
        <v>196</v>
      </c>
      <c r="B394" s="23" t="s">
        <v>36</v>
      </c>
      <c r="C394" s="22" t="s">
        <v>197</v>
      </c>
      <c r="D394" s="19" t="s">
        <v>1345</v>
      </c>
      <c r="E394" s="19" t="s">
        <v>1317</v>
      </c>
      <c r="F394" s="19" t="s">
        <v>1326</v>
      </c>
    </row>
    <row r="395">
      <c r="A395" s="21" t="s">
        <v>198</v>
      </c>
      <c r="B395" s="23" t="s">
        <v>36</v>
      </c>
      <c r="C395" s="22" t="s">
        <v>199</v>
      </c>
      <c r="D395" s="19" t="s">
        <v>1346</v>
      </c>
      <c r="E395" s="19" t="s">
        <v>1317</v>
      </c>
      <c r="F395" s="19" t="s">
        <v>1318</v>
      </c>
    </row>
    <row r="396">
      <c r="A396" s="21" t="s">
        <v>185</v>
      </c>
      <c r="B396" s="23" t="s">
        <v>36</v>
      </c>
      <c r="C396" s="22" t="s">
        <v>186</v>
      </c>
      <c r="D396" s="19" t="s">
        <v>1344</v>
      </c>
      <c r="E396" s="19" t="s">
        <v>1317</v>
      </c>
      <c r="F396" s="19" t="s">
        <v>1318</v>
      </c>
    </row>
    <row r="397">
      <c r="E397" s="28"/>
      <c r="F397" s="28"/>
    </row>
    <row r="398">
      <c r="E398" s="28"/>
      <c r="F398" s="28"/>
    </row>
    <row r="399">
      <c r="E399" s="28"/>
      <c r="F399" s="28"/>
    </row>
    <row r="400">
      <c r="E400" s="28"/>
      <c r="F400" s="28"/>
    </row>
    <row r="401">
      <c r="E401" s="28"/>
      <c r="F401" s="28"/>
    </row>
    <row r="402">
      <c r="E402" s="28"/>
      <c r="F402" s="28"/>
    </row>
    <row r="403">
      <c r="E403" s="28"/>
      <c r="F403" s="28"/>
    </row>
    <row r="404">
      <c r="E404" s="28"/>
      <c r="F404" s="28"/>
    </row>
    <row r="405">
      <c r="E405" s="28"/>
      <c r="F405" s="28"/>
    </row>
    <row r="406">
      <c r="E406" s="28"/>
      <c r="F406" s="28"/>
    </row>
    <row r="407">
      <c r="E407" s="28"/>
      <c r="F407" s="28"/>
    </row>
    <row r="408">
      <c r="E408" s="28"/>
      <c r="F408" s="28"/>
    </row>
    <row r="409">
      <c r="E409" s="28"/>
      <c r="F409" s="28"/>
    </row>
    <row r="410">
      <c r="E410" s="28"/>
      <c r="F410" s="28"/>
    </row>
    <row r="411">
      <c r="E411" s="28"/>
      <c r="F411" s="28"/>
    </row>
    <row r="412">
      <c r="E412" s="28"/>
      <c r="F412" s="28"/>
    </row>
    <row r="413">
      <c r="E413" s="28"/>
      <c r="F413" s="28"/>
    </row>
    <row r="414">
      <c r="E414" s="28"/>
      <c r="F414" s="28"/>
    </row>
    <row r="415">
      <c r="E415" s="28"/>
      <c r="F415" s="28"/>
    </row>
    <row r="416">
      <c r="E416" s="28"/>
      <c r="F416" s="28"/>
    </row>
    <row r="417">
      <c r="E417" s="28"/>
      <c r="F417" s="28"/>
    </row>
    <row r="418">
      <c r="E418" s="28"/>
      <c r="F418" s="28"/>
    </row>
    <row r="419">
      <c r="E419" s="28"/>
      <c r="F419" s="28"/>
    </row>
    <row r="420">
      <c r="E420" s="28"/>
      <c r="F420" s="28"/>
    </row>
    <row r="421">
      <c r="E421" s="28"/>
      <c r="F421" s="28"/>
    </row>
    <row r="422">
      <c r="E422" s="28"/>
      <c r="F422" s="28"/>
    </row>
    <row r="423">
      <c r="E423" s="28"/>
      <c r="F423" s="28"/>
    </row>
    <row r="424">
      <c r="E424" s="28"/>
      <c r="F424" s="28"/>
    </row>
    <row r="425">
      <c r="E425" s="28"/>
      <c r="F425" s="28"/>
    </row>
    <row r="426">
      <c r="E426" s="28"/>
      <c r="F426" s="28"/>
    </row>
    <row r="427">
      <c r="E427" s="28"/>
      <c r="F427" s="28"/>
    </row>
    <row r="428">
      <c r="E428" s="28"/>
      <c r="F428" s="28"/>
    </row>
    <row r="429">
      <c r="E429" s="28"/>
      <c r="F429" s="28"/>
    </row>
    <row r="430">
      <c r="E430" s="28"/>
      <c r="F430" s="28"/>
    </row>
    <row r="431">
      <c r="E431" s="28"/>
      <c r="F431" s="28"/>
    </row>
    <row r="432">
      <c r="E432" s="28"/>
      <c r="F432" s="28"/>
    </row>
    <row r="433">
      <c r="E433" s="28"/>
      <c r="F433" s="28"/>
    </row>
    <row r="434">
      <c r="E434" s="28"/>
      <c r="F434" s="28"/>
    </row>
    <row r="435">
      <c r="E435" s="28"/>
      <c r="F435" s="28"/>
    </row>
    <row r="436">
      <c r="E436" s="28"/>
      <c r="F436" s="28"/>
    </row>
    <row r="437">
      <c r="E437" s="28"/>
      <c r="F437" s="28"/>
    </row>
    <row r="438">
      <c r="E438" s="28"/>
      <c r="F438" s="28"/>
    </row>
    <row r="439">
      <c r="E439" s="28"/>
      <c r="F439" s="28"/>
    </row>
    <row r="440">
      <c r="E440" s="28"/>
      <c r="F440" s="28"/>
    </row>
    <row r="441">
      <c r="E441" s="28"/>
      <c r="F441" s="28"/>
    </row>
    <row r="442">
      <c r="E442" s="28"/>
      <c r="F442" s="28"/>
    </row>
    <row r="443">
      <c r="E443" s="28"/>
      <c r="F443" s="28"/>
    </row>
    <row r="444">
      <c r="E444" s="28"/>
      <c r="F444" s="28"/>
    </row>
    <row r="445">
      <c r="E445" s="28"/>
      <c r="F445" s="28"/>
    </row>
    <row r="446">
      <c r="E446" s="28"/>
      <c r="F446" s="28"/>
    </row>
    <row r="447">
      <c r="E447" s="28"/>
      <c r="F447" s="28"/>
    </row>
    <row r="448">
      <c r="E448" s="28"/>
      <c r="F448" s="28"/>
    </row>
    <row r="449">
      <c r="E449" s="28"/>
      <c r="F449" s="28"/>
    </row>
    <row r="450">
      <c r="E450" s="28"/>
      <c r="F450" s="28"/>
    </row>
    <row r="451">
      <c r="E451" s="28"/>
      <c r="F451" s="28"/>
    </row>
    <row r="452">
      <c r="E452" s="28"/>
      <c r="F452" s="28"/>
    </row>
    <row r="453">
      <c r="E453" s="28"/>
      <c r="F453" s="28"/>
    </row>
    <row r="454">
      <c r="E454" s="28"/>
      <c r="F454" s="28"/>
    </row>
    <row r="455">
      <c r="E455" s="28"/>
      <c r="F455" s="28"/>
    </row>
    <row r="456">
      <c r="E456" s="28"/>
      <c r="F456" s="28"/>
    </row>
    <row r="457">
      <c r="E457" s="28"/>
      <c r="F457" s="28"/>
    </row>
    <row r="458">
      <c r="E458" s="28"/>
      <c r="F458" s="28"/>
    </row>
    <row r="459">
      <c r="E459" s="28"/>
      <c r="F459" s="28"/>
    </row>
    <row r="460">
      <c r="E460" s="28"/>
      <c r="F460" s="28"/>
    </row>
    <row r="461">
      <c r="E461" s="28"/>
      <c r="F461" s="28"/>
    </row>
    <row r="462">
      <c r="E462" s="28"/>
      <c r="F462" s="28"/>
    </row>
    <row r="463">
      <c r="E463" s="28"/>
      <c r="F463" s="28"/>
    </row>
    <row r="464">
      <c r="E464" s="28"/>
      <c r="F464" s="28"/>
    </row>
    <row r="465">
      <c r="E465" s="28"/>
      <c r="F465" s="28"/>
    </row>
    <row r="466">
      <c r="E466" s="28"/>
      <c r="F466" s="28"/>
    </row>
    <row r="467">
      <c r="E467" s="28"/>
      <c r="F467" s="28"/>
    </row>
    <row r="468">
      <c r="E468" s="28"/>
      <c r="F468" s="28"/>
    </row>
    <row r="469">
      <c r="E469" s="28"/>
      <c r="F469" s="28"/>
    </row>
    <row r="470">
      <c r="E470" s="28"/>
      <c r="F470" s="28"/>
    </row>
    <row r="471">
      <c r="E471" s="28"/>
      <c r="F471" s="28"/>
    </row>
    <row r="472">
      <c r="E472" s="28"/>
      <c r="F472" s="28"/>
    </row>
    <row r="473">
      <c r="E473" s="28"/>
      <c r="F473" s="28"/>
    </row>
    <row r="474">
      <c r="E474" s="28"/>
      <c r="F474" s="28"/>
    </row>
    <row r="475">
      <c r="E475" s="28"/>
      <c r="F475" s="28"/>
    </row>
    <row r="476">
      <c r="E476" s="28"/>
      <c r="F476" s="28"/>
    </row>
    <row r="477">
      <c r="E477" s="28"/>
      <c r="F477" s="28"/>
    </row>
    <row r="478">
      <c r="E478" s="28"/>
      <c r="F478" s="28"/>
    </row>
    <row r="479">
      <c r="E479" s="28"/>
      <c r="F479" s="28"/>
    </row>
    <row r="480">
      <c r="E480" s="28"/>
      <c r="F480" s="28"/>
    </row>
    <row r="481">
      <c r="E481" s="28"/>
      <c r="F481" s="28"/>
    </row>
    <row r="482">
      <c r="E482" s="28"/>
      <c r="F482" s="28"/>
    </row>
    <row r="483">
      <c r="E483" s="28"/>
      <c r="F483" s="28"/>
    </row>
    <row r="484">
      <c r="E484" s="28"/>
      <c r="F484" s="28"/>
    </row>
    <row r="485">
      <c r="E485" s="28"/>
      <c r="F485" s="28"/>
    </row>
    <row r="486">
      <c r="E486" s="28"/>
      <c r="F486" s="28"/>
    </row>
    <row r="487">
      <c r="E487" s="28"/>
      <c r="F487" s="28"/>
    </row>
    <row r="488">
      <c r="E488" s="28"/>
      <c r="F488" s="28"/>
    </row>
    <row r="489">
      <c r="E489" s="28"/>
      <c r="F489" s="28"/>
    </row>
    <row r="490">
      <c r="E490" s="28"/>
      <c r="F490" s="28"/>
    </row>
    <row r="491">
      <c r="E491" s="28"/>
      <c r="F491" s="28"/>
    </row>
    <row r="492">
      <c r="E492" s="28"/>
      <c r="F492" s="28"/>
    </row>
    <row r="493">
      <c r="E493" s="28"/>
      <c r="F493" s="28"/>
    </row>
    <row r="494">
      <c r="E494" s="28"/>
      <c r="F494" s="28"/>
    </row>
    <row r="495">
      <c r="E495" s="28"/>
      <c r="F495" s="28"/>
    </row>
    <row r="496">
      <c r="E496" s="28"/>
      <c r="F496" s="28"/>
    </row>
    <row r="497">
      <c r="E497" s="28"/>
      <c r="F497" s="28"/>
    </row>
    <row r="498">
      <c r="E498" s="28"/>
      <c r="F498" s="28"/>
    </row>
    <row r="499">
      <c r="E499" s="28"/>
      <c r="F499" s="28"/>
    </row>
    <row r="500">
      <c r="E500" s="28"/>
      <c r="F500" s="28"/>
    </row>
    <row r="501">
      <c r="E501" s="28"/>
      <c r="F501" s="28"/>
    </row>
    <row r="502">
      <c r="E502" s="28"/>
      <c r="F502" s="28"/>
    </row>
    <row r="503">
      <c r="E503" s="28"/>
      <c r="F503" s="28"/>
    </row>
    <row r="504">
      <c r="E504" s="28"/>
      <c r="F504" s="28"/>
    </row>
    <row r="505">
      <c r="E505" s="28"/>
      <c r="F505" s="28"/>
    </row>
    <row r="506">
      <c r="E506" s="28"/>
      <c r="F506" s="28"/>
    </row>
    <row r="507">
      <c r="E507" s="28"/>
      <c r="F507" s="28"/>
    </row>
    <row r="508">
      <c r="E508" s="28"/>
      <c r="F508" s="28"/>
    </row>
    <row r="509">
      <c r="E509" s="28"/>
      <c r="F509" s="28"/>
    </row>
    <row r="510">
      <c r="E510" s="28"/>
      <c r="F510" s="28"/>
    </row>
    <row r="511">
      <c r="E511" s="28"/>
      <c r="F511" s="28"/>
    </row>
    <row r="512">
      <c r="E512" s="28"/>
      <c r="F512" s="28"/>
    </row>
    <row r="513">
      <c r="E513" s="28"/>
      <c r="F513" s="28"/>
    </row>
    <row r="514">
      <c r="E514" s="28"/>
      <c r="F514" s="28"/>
    </row>
    <row r="515">
      <c r="E515" s="28"/>
      <c r="F515" s="28"/>
    </row>
    <row r="516">
      <c r="E516" s="28"/>
      <c r="F516" s="28"/>
    </row>
    <row r="517">
      <c r="E517" s="28"/>
      <c r="F517" s="28"/>
    </row>
    <row r="518">
      <c r="E518" s="28"/>
      <c r="F518" s="28"/>
    </row>
    <row r="519">
      <c r="E519" s="28"/>
      <c r="F519" s="28"/>
    </row>
    <row r="520">
      <c r="E520" s="28"/>
      <c r="F520" s="28"/>
    </row>
    <row r="521">
      <c r="E521" s="28"/>
      <c r="F521" s="28"/>
    </row>
    <row r="522">
      <c r="E522" s="28"/>
      <c r="F522" s="28"/>
    </row>
    <row r="523">
      <c r="E523" s="28"/>
      <c r="F523" s="28"/>
    </row>
    <row r="524">
      <c r="E524" s="28"/>
      <c r="F524" s="28"/>
    </row>
    <row r="525">
      <c r="E525" s="28"/>
      <c r="F525" s="28"/>
    </row>
    <row r="526">
      <c r="E526" s="28"/>
      <c r="F526" s="28"/>
    </row>
    <row r="527">
      <c r="E527" s="28"/>
      <c r="F527" s="28"/>
    </row>
    <row r="528">
      <c r="E528" s="28"/>
      <c r="F528" s="28"/>
    </row>
    <row r="529">
      <c r="E529" s="28"/>
      <c r="F529" s="28"/>
    </row>
    <row r="530">
      <c r="E530" s="28"/>
      <c r="F530" s="28"/>
    </row>
    <row r="531">
      <c r="E531" s="28"/>
      <c r="F531" s="28"/>
    </row>
    <row r="532">
      <c r="E532" s="28"/>
      <c r="F532" s="28"/>
    </row>
    <row r="533">
      <c r="E533" s="28"/>
      <c r="F533" s="28"/>
    </row>
    <row r="534">
      <c r="E534" s="28"/>
      <c r="F534" s="28"/>
    </row>
    <row r="535">
      <c r="E535" s="28"/>
      <c r="F535" s="28"/>
    </row>
    <row r="536">
      <c r="E536" s="28"/>
      <c r="F536" s="28"/>
    </row>
    <row r="537">
      <c r="E537" s="28"/>
      <c r="F537" s="28"/>
    </row>
    <row r="538">
      <c r="E538" s="28"/>
      <c r="F538" s="28"/>
    </row>
    <row r="539">
      <c r="E539" s="28"/>
      <c r="F539" s="28"/>
    </row>
    <row r="540">
      <c r="E540" s="28"/>
      <c r="F540" s="28"/>
    </row>
    <row r="541">
      <c r="E541" s="28"/>
      <c r="F541" s="28"/>
    </row>
    <row r="542">
      <c r="E542" s="28"/>
      <c r="F542" s="28"/>
    </row>
    <row r="543">
      <c r="E543" s="28"/>
      <c r="F543" s="28"/>
    </row>
    <row r="544">
      <c r="E544" s="28"/>
      <c r="F544" s="28"/>
    </row>
    <row r="545">
      <c r="E545" s="28"/>
      <c r="F545" s="28"/>
    </row>
    <row r="546">
      <c r="E546" s="28"/>
      <c r="F546" s="28"/>
    </row>
    <row r="547">
      <c r="E547" s="28"/>
      <c r="F547" s="28"/>
    </row>
    <row r="548">
      <c r="E548" s="28"/>
      <c r="F548" s="28"/>
    </row>
    <row r="549">
      <c r="E549" s="28"/>
      <c r="F549" s="28"/>
    </row>
    <row r="550">
      <c r="E550" s="28"/>
      <c r="F550" s="28"/>
    </row>
    <row r="551">
      <c r="E551" s="28"/>
      <c r="F551" s="28"/>
    </row>
    <row r="552">
      <c r="E552" s="28"/>
      <c r="F552" s="28"/>
    </row>
    <row r="553">
      <c r="E553" s="28"/>
      <c r="F553" s="28"/>
    </row>
    <row r="554">
      <c r="E554" s="28"/>
      <c r="F554" s="28"/>
    </row>
    <row r="555">
      <c r="E555" s="28"/>
      <c r="F555" s="28"/>
    </row>
    <row r="556">
      <c r="E556" s="28"/>
      <c r="F556" s="28"/>
    </row>
    <row r="557">
      <c r="E557" s="28"/>
      <c r="F557" s="28"/>
    </row>
    <row r="558">
      <c r="E558" s="28"/>
      <c r="F558" s="28"/>
    </row>
    <row r="559">
      <c r="E559" s="28"/>
      <c r="F559" s="28"/>
    </row>
    <row r="560">
      <c r="E560" s="28"/>
      <c r="F560" s="28"/>
    </row>
    <row r="561">
      <c r="E561" s="28"/>
      <c r="F561" s="28"/>
    </row>
    <row r="562">
      <c r="E562" s="28"/>
      <c r="F562" s="28"/>
    </row>
    <row r="563">
      <c r="E563" s="28"/>
      <c r="F563" s="28"/>
    </row>
    <row r="564">
      <c r="E564" s="28"/>
      <c r="F564" s="28"/>
    </row>
    <row r="565">
      <c r="E565" s="28"/>
      <c r="F565" s="28"/>
    </row>
    <row r="566">
      <c r="E566" s="28"/>
      <c r="F566" s="28"/>
    </row>
    <row r="567">
      <c r="E567" s="28"/>
      <c r="F567" s="28"/>
    </row>
    <row r="568">
      <c r="E568" s="28"/>
      <c r="F568" s="28"/>
    </row>
    <row r="569">
      <c r="E569" s="28"/>
      <c r="F569" s="28"/>
    </row>
    <row r="570">
      <c r="E570" s="28"/>
      <c r="F570" s="28"/>
    </row>
    <row r="571">
      <c r="E571" s="28"/>
      <c r="F571" s="28"/>
    </row>
    <row r="572">
      <c r="E572" s="28"/>
      <c r="F572" s="28"/>
    </row>
    <row r="573">
      <c r="E573" s="28"/>
      <c r="F573" s="28"/>
    </row>
    <row r="574">
      <c r="E574" s="28"/>
      <c r="F574" s="28"/>
    </row>
    <row r="575">
      <c r="E575" s="28"/>
      <c r="F575" s="28"/>
    </row>
    <row r="576">
      <c r="E576" s="28"/>
      <c r="F576" s="28"/>
    </row>
    <row r="577">
      <c r="E577" s="28"/>
      <c r="F577" s="28"/>
    </row>
    <row r="578">
      <c r="E578" s="28"/>
      <c r="F578" s="28"/>
    </row>
    <row r="579">
      <c r="E579" s="28"/>
      <c r="F579" s="28"/>
    </row>
    <row r="580">
      <c r="E580" s="28"/>
      <c r="F580" s="28"/>
    </row>
    <row r="581">
      <c r="E581" s="28"/>
      <c r="F581" s="28"/>
    </row>
    <row r="582">
      <c r="E582" s="28"/>
      <c r="F582" s="28"/>
    </row>
    <row r="583">
      <c r="E583" s="28"/>
      <c r="F583" s="28"/>
    </row>
    <row r="584">
      <c r="E584" s="28"/>
      <c r="F584" s="28"/>
    </row>
    <row r="585">
      <c r="E585" s="28"/>
      <c r="F585" s="28"/>
    </row>
    <row r="586">
      <c r="E586" s="28"/>
      <c r="F586" s="28"/>
    </row>
    <row r="587">
      <c r="E587" s="28"/>
      <c r="F587" s="28"/>
    </row>
    <row r="588">
      <c r="E588" s="28"/>
      <c r="F588" s="28"/>
    </row>
    <row r="589">
      <c r="E589" s="28"/>
      <c r="F589" s="28"/>
    </row>
    <row r="590">
      <c r="E590" s="28"/>
      <c r="F590" s="28"/>
    </row>
  </sheetData>
  <dataValidations>
    <dataValidation type="list" allowBlank="1" showErrorMessage="1" sqref="F2:F590">
      <formula1>"Not a research paper,Not in peer reviewed journal,Not about LLMs,Not about Sycophancy,Not about either LLMs or Sycophancy,Other (Explanation -&gt;)"</formula1>
    </dataValidation>
    <dataValidation type="list" allowBlank="1" showErrorMessage="1" sqref="E2:E590">
      <formula1>"Include,Exclude"</formula1>
    </dataValidation>
  </dataValidations>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 r:id="rId55" ref="A53"/>
    <hyperlink r:id="rId56" ref="A54"/>
    <hyperlink r:id="rId57" ref="A55"/>
    <hyperlink r:id="rId58" ref="A56"/>
    <hyperlink r:id="rId59" ref="A57"/>
    <hyperlink r:id="rId60" ref="A58"/>
    <hyperlink r:id="rId61" ref="A59"/>
    <hyperlink r:id="rId62" ref="A60"/>
    <hyperlink r:id="rId63" ref="A61"/>
    <hyperlink r:id="rId64" ref="A62"/>
    <hyperlink r:id="rId65" ref="A63"/>
    <hyperlink r:id="rId66" ref="A64"/>
    <hyperlink r:id="rId67" ref="A65"/>
    <hyperlink r:id="rId68" ref="A66"/>
    <hyperlink r:id="rId69" ref="A67"/>
    <hyperlink r:id="rId70" ref="A68"/>
    <hyperlink r:id="rId71" ref="A69"/>
    <hyperlink r:id="rId72" ref="A70"/>
    <hyperlink r:id="rId73" ref="A71"/>
    <hyperlink r:id="rId74" ref="A72"/>
    <hyperlink r:id="rId75" ref="A73"/>
    <hyperlink r:id="rId76" ref="A74"/>
    <hyperlink r:id="rId77" ref="A75"/>
    <hyperlink r:id="rId78" ref="A76"/>
    <hyperlink r:id="rId79" ref="A77"/>
    <hyperlink r:id="rId80" ref="A78"/>
    <hyperlink r:id="rId81" ref="A79"/>
    <hyperlink r:id="rId82" ref="A80"/>
    <hyperlink r:id="rId83" ref="A81"/>
    <hyperlink r:id="rId84" ref="A82"/>
    <hyperlink r:id="rId85" ref="A83"/>
    <hyperlink r:id="rId86" ref="A84"/>
    <hyperlink r:id="rId87" ref="A85"/>
    <hyperlink r:id="rId88" ref="A86"/>
    <hyperlink r:id="rId89" ref="A87"/>
    <hyperlink r:id="rId90" ref="A88"/>
    <hyperlink r:id="rId91" ref="A89"/>
    <hyperlink r:id="rId92" ref="A90"/>
    <hyperlink r:id="rId93" ref="A91"/>
    <hyperlink r:id="rId94" ref="A92"/>
    <hyperlink r:id="rId95" ref="A93"/>
    <hyperlink r:id="rId96" ref="A94"/>
    <hyperlink r:id="rId97" ref="A95"/>
    <hyperlink r:id="rId98" ref="A96"/>
    <hyperlink r:id="rId99" ref="A97"/>
    <hyperlink r:id="rId100" ref="A98"/>
    <hyperlink r:id="rId101" ref="A99"/>
    <hyperlink r:id="rId102" ref="A100"/>
    <hyperlink r:id="rId103" ref="A101"/>
    <hyperlink r:id="rId104" ref="A102"/>
    <hyperlink r:id="rId105" ref="A103"/>
    <hyperlink r:id="rId106" ref="A104"/>
    <hyperlink r:id="rId107" ref="A105"/>
    <hyperlink r:id="rId108" ref="A106"/>
    <hyperlink r:id="rId109" ref="A107"/>
    <hyperlink r:id="rId110" ref="A108"/>
    <hyperlink r:id="rId111" ref="A109"/>
    <hyperlink r:id="rId112" ref="A110"/>
    <hyperlink r:id="rId113" ref="A111"/>
    <hyperlink r:id="rId114" ref="A112"/>
    <hyperlink r:id="rId115" ref="A113"/>
    <hyperlink r:id="rId116" ref="A114"/>
    <hyperlink r:id="rId117" ref="A115"/>
    <hyperlink r:id="rId118" ref="A116"/>
    <hyperlink r:id="rId119" ref="A117"/>
    <hyperlink r:id="rId120" ref="A118"/>
    <hyperlink r:id="rId121" ref="A119"/>
    <hyperlink r:id="rId122" ref="A120"/>
    <hyperlink r:id="rId123" ref="A121"/>
    <hyperlink r:id="rId124" ref="A122"/>
    <hyperlink r:id="rId125" ref="A123"/>
    <hyperlink r:id="rId126" ref="A124"/>
    <hyperlink r:id="rId127" ref="A125"/>
    <hyperlink r:id="rId128" ref="A126"/>
    <hyperlink r:id="rId129" ref="A127"/>
    <hyperlink r:id="rId130" ref="A128"/>
    <hyperlink r:id="rId131" ref="A129"/>
    <hyperlink r:id="rId132" ref="A130"/>
    <hyperlink r:id="rId133" ref="A131"/>
    <hyperlink r:id="rId134" ref="A132"/>
    <hyperlink r:id="rId135" ref="A133"/>
    <hyperlink r:id="rId136" ref="A134"/>
    <hyperlink r:id="rId137" ref="A135"/>
    <hyperlink r:id="rId138" ref="A136"/>
    <hyperlink r:id="rId139" ref="A137"/>
    <hyperlink r:id="rId140" ref="A138"/>
    <hyperlink r:id="rId141" ref="A139"/>
    <hyperlink r:id="rId142" ref="A140"/>
    <hyperlink r:id="rId143" ref="A141"/>
    <hyperlink r:id="rId144" ref="A142"/>
    <hyperlink r:id="rId145" ref="A143"/>
    <hyperlink r:id="rId146" ref="A144"/>
    <hyperlink r:id="rId147" ref="A145"/>
    <hyperlink r:id="rId148" ref="A146"/>
    <hyperlink r:id="rId149" ref="A147"/>
    <hyperlink r:id="rId150" ref="A148"/>
    <hyperlink r:id="rId151" ref="A149"/>
    <hyperlink r:id="rId152" ref="A150"/>
    <hyperlink r:id="rId153" ref="A151"/>
    <hyperlink r:id="rId154" ref="A152"/>
    <hyperlink r:id="rId155" ref="A153"/>
    <hyperlink r:id="rId156" ref="A154"/>
    <hyperlink r:id="rId157" ref="A155"/>
    <hyperlink r:id="rId158" ref="A156"/>
    <hyperlink r:id="rId159" ref="A157"/>
    <hyperlink r:id="rId160" ref="A158"/>
    <hyperlink r:id="rId161" ref="A159"/>
    <hyperlink r:id="rId162" ref="A160"/>
    <hyperlink r:id="rId163" ref="A161"/>
    <hyperlink r:id="rId164" ref="A162"/>
    <hyperlink r:id="rId165" ref="A163"/>
    <hyperlink r:id="rId166" ref="A164"/>
    <hyperlink r:id="rId167" ref="A165"/>
    <hyperlink r:id="rId168" ref="A166"/>
    <hyperlink r:id="rId169" ref="A167"/>
    <hyperlink r:id="rId170" ref="A168"/>
    <hyperlink r:id="rId171" ref="A169"/>
    <hyperlink r:id="rId172" ref="A170"/>
    <hyperlink r:id="rId173" ref="A171"/>
    <hyperlink r:id="rId174" ref="A172"/>
    <hyperlink r:id="rId175" ref="A173"/>
    <hyperlink r:id="rId176" ref="A174"/>
    <hyperlink r:id="rId177" ref="A175"/>
    <hyperlink r:id="rId178" ref="A176"/>
    <hyperlink r:id="rId179" ref="A177"/>
    <hyperlink r:id="rId180" ref="A178"/>
    <hyperlink r:id="rId181" ref="A179"/>
    <hyperlink r:id="rId182" ref="A180"/>
    <hyperlink r:id="rId183" ref="A181"/>
    <hyperlink r:id="rId184" ref="A182"/>
    <hyperlink r:id="rId185" ref="A183"/>
    <hyperlink r:id="rId186" ref="A184"/>
    <hyperlink r:id="rId187" ref="A185"/>
    <hyperlink r:id="rId188" ref="A186"/>
    <hyperlink r:id="rId189" ref="A187"/>
    <hyperlink r:id="rId190" ref="A188"/>
    <hyperlink r:id="rId191" ref="A189"/>
    <hyperlink r:id="rId192" ref="A190"/>
    <hyperlink r:id="rId193" ref="A191"/>
    <hyperlink r:id="rId194" ref="A192"/>
    <hyperlink r:id="rId195" ref="A193"/>
    <hyperlink r:id="rId196" ref="A194"/>
    <hyperlink r:id="rId197" ref="A195"/>
    <hyperlink r:id="rId198" ref="A196"/>
    <hyperlink r:id="rId199" ref="A197"/>
    <hyperlink r:id="rId200" ref="A198"/>
    <hyperlink r:id="rId201" ref="A199"/>
    <hyperlink r:id="rId202" ref="A200"/>
    <hyperlink r:id="rId203" ref="A201"/>
    <hyperlink r:id="rId204" ref="A202"/>
    <hyperlink r:id="rId205" ref="A203"/>
    <hyperlink r:id="rId206" ref="A204"/>
    <hyperlink r:id="rId207" ref="A205"/>
    <hyperlink r:id="rId208" ref="A206"/>
    <hyperlink r:id="rId209" ref="A207"/>
    <hyperlink r:id="rId210" ref="A208"/>
    <hyperlink r:id="rId211" ref="A209"/>
    <hyperlink r:id="rId212" ref="A210"/>
    <hyperlink r:id="rId213" ref="A211"/>
    <hyperlink r:id="rId214" ref="A212"/>
    <hyperlink r:id="rId215" ref="A213"/>
    <hyperlink r:id="rId216" ref="A214"/>
    <hyperlink r:id="rId217" ref="A215"/>
    <hyperlink r:id="rId218" ref="A216"/>
    <hyperlink r:id="rId219" ref="A217"/>
    <hyperlink r:id="rId220" ref="A218"/>
    <hyperlink r:id="rId221" ref="A219"/>
    <hyperlink r:id="rId222" ref="A220"/>
    <hyperlink r:id="rId223" ref="A221"/>
    <hyperlink r:id="rId224" ref="A222"/>
    <hyperlink r:id="rId225" ref="A223"/>
    <hyperlink r:id="rId226" ref="A224"/>
    <hyperlink r:id="rId227" ref="A225"/>
    <hyperlink r:id="rId228" ref="A226"/>
    <hyperlink r:id="rId229" ref="A227"/>
    <hyperlink r:id="rId230" ref="A228"/>
    <hyperlink r:id="rId231" ref="A229"/>
    <hyperlink r:id="rId232" ref="A230"/>
    <hyperlink r:id="rId233" ref="A231"/>
    <hyperlink r:id="rId234" ref="A232"/>
    <hyperlink r:id="rId235" ref="A233"/>
    <hyperlink r:id="rId236" ref="A234"/>
    <hyperlink r:id="rId237" ref="A235"/>
    <hyperlink r:id="rId238" ref="A236"/>
    <hyperlink r:id="rId239" ref="A237"/>
    <hyperlink r:id="rId240" ref="A238"/>
    <hyperlink r:id="rId241" ref="A239"/>
    <hyperlink r:id="rId242" ref="A240"/>
    <hyperlink r:id="rId243" ref="A241"/>
    <hyperlink r:id="rId244" ref="A242"/>
    <hyperlink r:id="rId245" ref="A243"/>
    <hyperlink r:id="rId246" ref="A244"/>
    <hyperlink r:id="rId247" ref="A245"/>
    <hyperlink r:id="rId248" ref="A246"/>
    <hyperlink r:id="rId249" ref="A247"/>
    <hyperlink r:id="rId250" ref="A248"/>
    <hyperlink r:id="rId251" ref="A249"/>
    <hyperlink r:id="rId252" ref="A250"/>
    <hyperlink r:id="rId253" ref="A251"/>
    <hyperlink r:id="rId254" ref="A252"/>
    <hyperlink r:id="rId255" ref="A253"/>
    <hyperlink r:id="rId256" ref="A254"/>
    <hyperlink r:id="rId257" ref="A255"/>
    <hyperlink r:id="rId258" ref="A256"/>
    <hyperlink r:id="rId259" ref="A257"/>
    <hyperlink r:id="rId260" ref="A258"/>
    <hyperlink r:id="rId261" ref="A259"/>
    <hyperlink r:id="rId262" ref="A260"/>
    <hyperlink r:id="rId263" ref="A261"/>
    <hyperlink r:id="rId264" ref="A262"/>
    <hyperlink r:id="rId265" ref="A263"/>
    <hyperlink r:id="rId266" ref="A264"/>
    <hyperlink r:id="rId267" ref="A265"/>
    <hyperlink r:id="rId268" ref="A266"/>
    <hyperlink r:id="rId269" ref="A267"/>
    <hyperlink r:id="rId270" ref="A268"/>
    <hyperlink r:id="rId271" ref="A269"/>
    <hyperlink r:id="rId272" ref="A270"/>
    <hyperlink r:id="rId273" ref="A271"/>
    <hyperlink r:id="rId274" ref="A272"/>
    <hyperlink r:id="rId275" ref="A273"/>
    <hyperlink r:id="rId276" ref="A274"/>
    <hyperlink r:id="rId277" ref="A275"/>
    <hyperlink r:id="rId278" ref="A276"/>
    <hyperlink r:id="rId279" ref="A277"/>
    <hyperlink r:id="rId280" ref="A278"/>
    <hyperlink r:id="rId281" ref="A279"/>
    <hyperlink r:id="rId282" ref="A280"/>
    <hyperlink r:id="rId283" ref="A281"/>
    <hyperlink r:id="rId284" ref="A282"/>
    <hyperlink r:id="rId285" ref="A283"/>
    <hyperlink r:id="rId286" ref="A284"/>
    <hyperlink r:id="rId287" ref="A285"/>
    <hyperlink r:id="rId288" ref="A286"/>
    <hyperlink r:id="rId289" ref="A287"/>
    <hyperlink r:id="rId290" ref="A288"/>
    <hyperlink r:id="rId291" ref="A289"/>
    <hyperlink r:id="rId292" ref="A290"/>
    <hyperlink r:id="rId293" ref="A291"/>
    <hyperlink r:id="rId294" ref="A292"/>
    <hyperlink r:id="rId295" ref="A293"/>
    <hyperlink r:id="rId296" ref="A294"/>
    <hyperlink r:id="rId297" ref="A295"/>
    <hyperlink r:id="rId298" ref="A296"/>
    <hyperlink r:id="rId299" ref="A297"/>
    <hyperlink r:id="rId300" ref="A298"/>
    <hyperlink r:id="rId301" ref="A299"/>
    <hyperlink r:id="rId302" ref="A300"/>
    <hyperlink r:id="rId303" ref="A301"/>
    <hyperlink r:id="rId304" ref="A302"/>
    <hyperlink r:id="rId305" ref="A303"/>
    <hyperlink r:id="rId306" ref="A304"/>
    <hyperlink r:id="rId307" ref="A305"/>
    <hyperlink r:id="rId308" ref="A306"/>
    <hyperlink r:id="rId309" ref="A307"/>
    <hyperlink r:id="rId310" ref="A308"/>
    <hyperlink r:id="rId311" ref="A309"/>
    <hyperlink r:id="rId312" ref="A310"/>
    <hyperlink r:id="rId313" ref="A311"/>
    <hyperlink r:id="rId314" ref="A312"/>
    <hyperlink r:id="rId315" ref="A313"/>
    <hyperlink r:id="rId316" ref="A314"/>
    <hyperlink r:id="rId317" ref="A315"/>
    <hyperlink r:id="rId318" ref="A316"/>
    <hyperlink r:id="rId319" ref="A317"/>
    <hyperlink r:id="rId320" ref="A318"/>
    <hyperlink r:id="rId321" ref="A319"/>
    <hyperlink r:id="rId322" ref="A320"/>
    <hyperlink r:id="rId323" ref="A321"/>
    <hyperlink r:id="rId324" ref="A322"/>
    <hyperlink r:id="rId325" ref="A323"/>
    <hyperlink r:id="rId326" ref="A324"/>
    <hyperlink r:id="rId327" ref="A325"/>
    <hyperlink r:id="rId328" ref="A326"/>
    <hyperlink r:id="rId329" ref="A327"/>
    <hyperlink r:id="rId330" ref="A328"/>
    <hyperlink r:id="rId331" ref="A329"/>
    <hyperlink r:id="rId332" ref="A330"/>
    <hyperlink r:id="rId333" ref="A331"/>
    <hyperlink r:id="rId334" ref="A332"/>
    <hyperlink r:id="rId335" ref="A333"/>
    <hyperlink r:id="rId336" ref="A334"/>
    <hyperlink r:id="rId337" ref="A335"/>
    <hyperlink r:id="rId338" ref="A336"/>
    <hyperlink r:id="rId339" ref="A337"/>
    <hyperlink r:id="rId340" ref="A338"/>
    <hyperlink r:id="rId341" ref="A339"/>
    <hyperlink r:id="rId342" ref="A340"/>
    <hyperlink r:id="rId343" ref="A341"/>
    <hyperlink r:id="rId344" ref="A342"/>
    <hyperlink r:id="rId345" ref="A343"/>
    <hyperlink r:id="rId346" ref="A344"/>
    <hyperlink r:id="rId347" ref="A345"/>
    <hyperlink r:id="rId348" ref="A346"/>
    <hyperlink r:id="rId349" ref="A347"/>
    <hyperlink r:id="rId350" ref="A348"/>
    <hyperlink r:id="rId351" ref="A349"/>
    <hyperlink r:id="rId352" ref="A350"/>
    <hyperlink r:id="rId353" ref="A351"/>
    <hyperlink r:id="rId354" ref="A352"/>
    <hyperlink r:id="rId355" ref="A353"/>
    <hyperlink r:id="rId356" ref="A354"/>
    <hyperlink r:id="rId357" ref="A355"/>
    <hyperlink r:id="rId358" ref="A356"/>
    <hyperlink r:id="rId359" ref="A357"/>
    <hyperlink r:id="rId360" ref="A358"/>
    <hyperlink r:id="rId361" ref="A359"/>
    <hyperlink r:id="rId362" ref="A360"/>
    <hyperlink r:id="rId363" ref="A361"/>
    <hyperlink r:id="rId364" ref="A362"/>
    <hyperlink r:id="rId365" ref="A363"/>
    <hyperlink r:id="rId366" ref="A364"/>
    <hyperlink r:id="rId367" ref="A365"/>
    <hyperlink r:id="rId368" ref="A366"/>
    <hyperlink r:id="rId369" ref="A367"/>
    <hyperlink r:id="rId370" ref="A368"/>
    <hyperlink r:id="rId371" ref="A369"/>
    <hyperlink r:id="rId372" ref="A370"/>
    <hyperlink r:id="rId373" ref="A371"/>
    <hyperlink r:id="rId374" ref="A372"/>
    <hyperlink r:id="rId375" ref="A373"/>
    <hyperlink r:id="rId376" ref="A374"/>
    <hyperlink r:id="rId377" ref="A375"/>
    <hyperlink r:id="rId378" ref="A376"/>
    <hyperlink r:id="rId379" ref="A377"/>
    <hyperlink r:id="rId380" ref="A378"/>
    <hyperlink r:id="rId381" ref="A379"/>
    <hyperlink r:id="rId382" ref="A380"/>
    <hyperlink r:id="rId383" ref="A381"/>
    <hyperlink r:id="rId384" ref="A382"/>
    <hyperlink r:id="rId385" ref="A383"/>
    <hyperlink r:id="rId386" ref="A384"/>
    <hyperlink r:id="rId387" ref="A385"/>
    <hyperlink r:id="rId388" ref="A386"/>
    <hyperlink r:id="rId389" ref="A387"/>
    <hyperlink r:id="rId390" ref="A388"/>
    <hyperlink r:id="rId391" ref="A389"/>
    <hyperlink r:id="rId392" ref="A390"/>
    <hyperlink r:id="rId393" ref="A391"/>
    <hyperlink r:id="rId394" ref="A392"/>
    <hyperlink r:id="rId395" ref="A393"/>
    <hyperlink r:id="rId396" ref="A394"/>
    <hyperlink r:id="rId397" ref="A395"/>
    <hyperlink r:id="rId398" ref="A396"/>
  </hyperlinks>
  <drawing r:id="rId399"/>
  <legacyDrawing r:id="rId40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1.38"/>
    <col customWidth="1" min="3" max="3" width="18.5"/>
    <col customWidth="1" min="4" max="4" width="80.0"/>
  </cols>
  <sheetData>
    <row r="1">
      <c r="A1" s="19" t="s">
        <v>1365</v>
      </c>
      <c r="B1" s="19" t="s">
        <v>1366</v>
      </c>
      <c r="C1" s="19" t="s">
        <v>1367</v>
      </c>
      <c r="D1" s="19" t="s">
        <v>1368</v>
      </c>
      <c r="E1" s="19" t="s">
        <v>1369</v>
      </c>
      <c r="F1" s="19" t="s">
        <v>1370</v>
      </c>
      <c r="G1" s="19" t="s">
        <v>1371</v>
      </c>
    </row>
    <row r="2" hidden="1">
      <c r="A2" s="30" t="s">
        <v>1372</v>
      </c>
      <c r="B2" s="19" t="s">
        <v>1373</v>
      </c>
      <c r="C2" s="19" t="s">
        <v>1374</v>
      </c>
    </row>
    <row r="3" hidden="1">
      <c r="A3" s="30" t="s">
        <v>1375</v>
      </c>
      <c r="B3" s="19" t="s">
        <v>1373</v>
      </c>
      <c r="C3" s="19" t="s">
        <v>1374</v>
      </c>
    </row>
    <row r="4" hidden="1">
      <c r="A4" s="31" t="s">
        <v>1376</v>
      </c>
      <c r="B4" s="19" t="s">
        <v>1373</v>
      </c>
      <c r="C4" s="19" t="s">
        <v>1374</v>
      </c>
    </row>
    <row r="5" hidden="1">
      <c r="A5" s="30" t="s">
        <v>1377</v>
      </c>
      <c r="B5" s="19" t="s">
        <v>1373</v>
      </c>
      <c r="C5" s="19" t="s">
        <v>1374</v>
      </c>
    </row>
    <row r="6" hidden="1">
      <c r="A6" s="30" t="s">
        <v>1378</v>
      </c>
      <c r="B6" s="19" t="s">
        <v>1373</v>
      </c>
      <c r="C6" s="19" t="s">
        <v>1374</v>
      </c>
    </row>
    <row r="7" hidden="1">
      <c r="A7" s="30" t="s">
        <v>1379</v>
      </c>
      <c r="B7" s="19" t="s">
        <v>1373</v>
      </c>
      <c r="C7" s="19" t="s">
        <v>1374</v>
      </c>
    </row>
    <row r="8" hidden="1">
      <c r="A8" s="30" t="s">
        <v>1380</v>
      </c>
      <c r="B8" s="19" t="s">
        <v>1373</v>
      </c>
      <c r="C8" s="19" t="s">
        <v>1374</v>
      </c>
    </row>
    <row r="9" hidden="1">
      <c r="A9" s="30" t="s">
        <v>1381</v>
      </c>
      <c r="B9" s="19" t="s">
        <v>1373</v>
      </c>
      <c r="C9" s="19" t="s">
        <v>1374</v>
      </c>
    </row>
    <row r="10" hidden="1">
      <c r="A10" s="30" t="s">
        <v>1382</v>
      </c>
      <c r="B10" s="19" t="s">
        <v>1373</v>
      </c>
      <c r="C10" s="19" t="s">
        <v>1374</v>
      </c>
    </row>
    <row r="11" hidden="1">
      <c r="A11" s="30" t="s">
        <v>1383</v>
      </c>
      <c r="B11" s="19" t="s">
        <v>1373</v>
      </c>
      <c r="C11" s="19" t="s">
        <v>1374</v>
      </c>
    </row>
    <row r="12" hidden="1">
      <c r="A12" s="30" t="s">
        <v>1384</v>
      </c>
      <c r="B12" s="19" t="s">
        <v>1373</v>
      </c>
      <c r="C12" s="19" t="s">
        <v>1374</v>
      </c>
    </row>
    <row r="13" hidden="1">
      <c r="A13" s="30" t="s">
        <v>1385</v>
      </c>
      <c r="B13" s="19" t="s">
        <v>1373</v>
      </c>
      <c r="C13" s="19" t="s">
        <v>1374</v>
      </c>
    </row>
    <row r="14" hidden="1">
      <c r="A14" s="30" t="s">
        <v>1386</v>
      </c>
      <c r="B14" s="19" t="s">
        <v>1373</v>
      </c>
      <c r="C14" s="19" t="s">
        <v>1374</v>
      </c>
    </row>
    <row r="15" hidden="1">
      <c r="A15" s="30" t="s">
        <v>1387</v>
      </c>
      <c r="B15" s="19" t="s">
        <v>1373</v>
      </c>
      <c r="C15" s="19" t="s">
        <v>1374</v>
      </c>
    </row>
    <row r="16" hidden="1">
      <c r="A16" s="30" t="s">
        <v>1388</v>
      </c>
      <c r="B16" s="19" t="s">
        <v>1373</v>
      </c>
      <c r="C16" s="19" t="s">
        <v>1374</v>
      </c>
    </row>
    <row r="17" hidden="1">
      <c r="A17" s="30" t="s">
        <v>1389</v>
      </c>
      <c r="B17" s="19" t="s">
        <v>1373</v>
      </c>
      <c r="C17" s="19" t="s">
        <v>1374</v>
      </c>
    </row>
    <row r="18">
      <c r="A18" s="30" t="s">
        <v>1390</v>
      </c>
      <c r="B18" s="19" t="s">
        <v>1373</v>
      </c>
      <c r="C18" s="19" t="s">
        <v>1391</v>
      </c>
      <c r="D18" s="19" t="s">
        <v>1392</v>
      </c>
      <c r="F18" s="19" t="s">
        <v>1391</v>
      </c>
      <c r="G18" s="19" t="s">
        <v>1391</v>
      </c>
    </row>
    <row r="19" hidden="1">
      <c r="A19" s="30" t="s">
        <v>1393</v>
      </c>
      <c r="B19" s="19" t="s">
        <v>1373</v>
      </c>
      <c r="C19" s="19" t="s">
        <v>1374</v>
      </c>
      <c r="F19" s="28"/>
      <c r="G19" s="28"/>
    </row>
    <row r="20" hidden="1">
      <c r="A20" s="30" t="s">
        <v>1394</v>
      </c>
      <c r="B20" s="19" t="s">
        <v>1373</v>
      </c>
      <c r="C20" s="19" t="s">
        <v>1374</v>
      </c>
      <c r="F20" s="28"/>
      <c r="G20" s="28"/>
    </row>
    <row r="21" hidden="1">
      <c r="A21" s="30" t="s">
        <v>1395</v>
      </c>
      <c r="B21" s="19" t="s">
        <v>1373</v>
      </c>
      <c r="C21" s="19" t="s">
        <v>1374</v>
      </c>
      <c r="F21" s="28"/>
      <c r="G21" s="28"/>
    </row>
    <row r="22" hidden="1">
      <c r="A22" s="30" t="s">
        <v>1396</v>
      </c>
      <c r="B22" s="19" t="s">
        <v>1373</v>
      </c>
      <c r="C22" s="19" t="s">
        <v>1374</v>
      </c>
      <c r="F22" s="28"/>
      <c r="G22" s="28"/>
    </row>
    <row r="23" hidden="1">
      <c r="A23" s="30" t="s">
        <v>1397</v>
      </c>
      <c r="B23" s="19" t="s">
        <v>1373</v>
      </c>
      <c r="C23" s="19" t="s">
        <v>1374</v>
      </c>
      <c r="F23" s="28"/>
      <c r="G23" s="28"/>
    </row>
    <row r="24" hidden="1">
      <c r="A24" s="30" t="s">
        <v>1398</v>
      </c>
      <c r="B24" s="19" t="s">
        <v>1373</v>
      </c>
      <c r="C24" s="19" t="s">
        <v>1374</v>
      </c>
      <c r="F24" s="28"/>
      <c r="G24" s="28"/>
    </row>
    <row r="25" hidden="1">
      <c r="A25" s="30" t="s">
        <v>1399</v>
      </c>
      <c r="B25" s="19" t="s">
        <v>1373</v>
      </c>
      <c r="C25" s="19" t="s">
        <v>1374</v>
      </c>
      <c r="F25" s="28"/>
      <c r="G25" s="28"/>
    </row>
    <row r="26" hidden="1">
      <c r="A26" s="30" t="s">
        <v>1400</v>
      </c>
      <c r="B26" s="19" t="s">
        <v>1373</v>
      </c>
      <c r="C26" s="19" t="s">
        <v>1374</v>
      </c>
      <c r="F26" s="28"/>
      <c r="G26" s="28"/>
    </row>
    <row r="27" hidden="1">
      <c r="A27" s="30" t="s">
        <v>1401</v>
      </c>
      <c r="B27" s="19" t="s">
        <v>1373</v>
      </c>
      <c r="C27" s="19" t="s">
        <v>1374</v>
      </c>
      <c r="F27" s="28"/>
      <c r="G27" s="28"/>
    </row>
    <row r="28" hidden="1">
      <c r="A28" s="30" t="s">
        <v>1402</v>
      </c>
      <c r="B28" s="19" t="s">
        <v>1373</v>
      </c>
      <c r="C28" s="19" t="s">
        <v>1374</v>
      </c>
      <c r="F28" s="28"/>
      <c r="G28" s="28"/>
    </row>
    <row r="29" hidden="1">
      <c r="A29" s="30" t="s">
        <v>1403</v>
      </c>
      <c r="B29" s="19" t="s">
        <v>1373</v>
      </c>
      <c r="C29" s="19" t="s">
        <v>1374</v>
      </c>
      <c r="F29" s="28"/>
      <c r="G29" s="28"/>
    </row>
    <row r="30" hidden="1">
      <c r="A30" s="30" t="s">
        <v>1404</v>
      </c>
      <c r="B30" s="19" t="s">
        <v>1373</v>
      </c>
      <c r="C30" s="19" t="s">
        <v>1374</v>
      </c>
      <c r="F30" s="28"/>
      <c r="G30" s="28"/>
    </row>
    <row r="31" hidden="1">
      <c r="A31" s="30" t="s">
        <v>1405</v>
      </c>
      <c r="B31" s="19" t="s">
        <v>1373</v>
      </c>
      <c r="C31" s="19" t="s">
        <v>1374</v>
      </c>
      <c r="F31" s="28"/>
      <c r="G31" s="28"/>
    </row>
    <row r="32" hidden="1">
      <c r="A32" s="30" t="s">
        <v>1406</v>
      </c>
      <c r="B32" s="19" t="s">
        <v>1373</v>
      </c>
      <c r="C32" s="19" t="s">
        <v>1374</v>
      </c>
      <c r="F32" s="28"/>
      <c r="G32" s="28"/>
    </row>
    <row r="33" hidden="1">
      <c r="A33" s="30" t="s">
        <v>1407</v>
      </c>
      <c r="B33" s="19" t="s">
        <v>1373</v>
      </c>
      <c r="C33" s="19" t="s">
        <v>1374</v>
      </c>
      <c r="F33" s="28"/>
      <c r="G33" s="28"/>
    </row>
    <row r="34" hidden="1">
      <c r="A34" s="30" t="s">
        <v>1408</v>
      </c>
      <c r="B34" s="19" t="s">
        <v>1373</v>
      </c>
      <c r="C34" s="19" t="s">
        <v>1374</v>
      </c>
      <c r="F34" s="28"/>
      <c r="G34" s="28"/>
    </row>
    <row r="35" hidden="1">
      <c r="A35" s="30" t="s">
        <v>1409</v>
      </c>
      <c r="B35" s="19" t="s">
        <v>1373</v>
      </c>
      <c r="C35" s="19" t="s">
        <v>1374</v>
      </c>
      <c r="F35" s="28"/>
      <c r="G35" s="28"/>
    </row>
    <row r="36" hidden="1">
      <c r="A36" s="30" t="s">
        <v>1410</v>
      </c>
      <c r="B36" s="19" t="s">
        <v>1373</v>
      </c>
      <c r="C36" s="19" t="s">
        <v>1374</v>
      </c>
      <c r="F36" s="28"/>
      <c r="G36" s="28"/>
    </row>
    <row r="37" hidden="1">
      <c r="A37" s="30" t="s">
        <v>1411</v>
      </c>
      <c r="B37" s="19" t="s">
        <v>1373</v>
      </c>
      <c r="C37" s="19" t="s">
        <v>1374</v>
      </c>
      <c r="F37" s="28"/>
      <c r="G37" s="28"/>
    </row>
    <row r="38" hidden="1">
      <c r="A38" s="30" t="s">
        <v>1412</v>
      </c>
      <c r="B38" s="19" t="s">
        <v>1373</v>
      </c>
      <c r="C38" s="19" t="s">
        <v>1374</v>
      </c>
      <c r="F38" s="28"/>
      <c r="G38" s="28"/>
    </row>
    <row r="39" hidden="1">
      <c r="A39" s="30" t="s">
        <v>1413</v>
      </c>
      <c r="B39" s="19" t="s">
        <v>1373</v>
      </c>
      <c r="C39" s="19" t="s">
        <v>1374</v>
      </c>
      <c r="F39" s="28"/>
      <c r="G39" s="28"/>
    </row>
    <row r="40" hidden="1">
      <c r="A40" s="30" t="s">
        <v>1414</v>
      </c>
      <c r="B40" s="19" t="s">
        <v>1373</v>
      </c>
      <c r="C40" s="19" t="s">
        <v>1374</v>
      </c>
      <c r="F40" s="28"/>
      <c r="G40" s="28"/>
    </row>
    <row r="41" hidden="1">
      <c r="A41" s="30" t="s">
        <v>1415</v>
      </c>
      <c r="B41" s="19" t="s">
        <v>1373</v>
      </c>
      <c r="C41" s="19" t="s">
        <v>1374</v>
      </c>
      <c r="F41" s="28"/>
      <c r="G41" s="28"/>
    </row>
    <row r="42" hidden="1">
      <c r="A42" s="30" t="s">
        <v>1416</v>
      </c>
      <c r="B42" s="19" t="s">
        <v>1373</v>
      </c>
      <c r="C42" s="19" t="s">
        <v>1374</v>
      </c>
      <c r="F42" s="28"/>
      <c r="G42" s="28"/>
    </row>
    <row r="43" hidden="1">
      <c r="A43" s="30" t="s">
        <v>1417</v>
      </c>
      <c r="B43" s="19" t="s">
        <v>1373</v>
      </c>
      <c r="C43" s="19" t="s">
        <v>1374</v>
      </c>
      <c r="F43" s="28"/>
      <c r="G43" s="28"/>
    </row>
    <row r="44" hidden="1">
      <c r="A44" s="30" t="s">
        <v>1418</v>
      </c>
      <c r="B44" s="19" t="s">
        <v>1373</v>
      </c>
      <c r="C44" s="19" t="s">
        <v>1374</v>
      </c>
      <c r="F44" s="28"/>
      <c r="G44" s="28"/>
    </row>
    <row r="45" hidden="1">
      <c r="A45" s="30" t="s">
        <v>1419</v>
      </c>
      <c r="B45" s="19" t="s">
        <v>1373</v>
      </c>
      <c r="C45" s="19" t="s">
        <v>1374</v>
      </c>
      <c r="F45" s="28"/>
      <c r="G45" s="28"/>
    </row>
    <row r="46" hidden="1">
      <c r="A46" s="30" t="s">
        <v>1420</v>
      </c>
      <c r="B46" s="19" t="s">
        <v>1373</v>
      </c>
      <c r="C46" s="19" t="s">
        <v>1374</v>
      </c>
      <c r="F46" s="28"/>
      <c r="G46" s="28"/>
    </row>
    <row r="47" hidden="1">
      <c r="A47" s="30" t="s">
        <v>1421</v>
      </c>
      <c r="B47" s="19" t="s">
        <v>1373</v>
      </c>
      <c r="C47" s="19" t="s">
        <v>1374</v>
      </c>
      <c r="F47" s="28"/>
      <c r="G47" s="28"/>
    </row>
    <row r="48" hidden="1">
      <c r="A48" s="30" t="s">
        <v>1422</v>
      </c>
      <c r="B48" s="19" t="s">
        <v>1373</v>
      </c>
      <c r="C48" s="19" t="s">
        <v>1374</v>
      </c>
      <c r="F48" s="28"/>
      <c r="G48" s="28"/>
    </row>
    <row r="49" hidden="1">
      <c r="A49" s="30" t="s">
        <v>1423</v>
      </c>
      <c r="B49" s="19" t="s">
        <v>1373</v>
      </c>
      <c r="C49" s="19" t="s">
        <v>1374</v>
      </c>
      <c r="F49" s="28"/>
      <c r="G49" s="28"/>
    </row>
    <row r="50" hidden="1">
      <c r="A50" s="30" t="s">
        <v>1424</v>
      </c>
      <c r="B50" s="19" t="s">
        <v>1373</v>
      </c>
      <c r="C50" s="19" t="s">
        <v>1374</v>
      </c>
      <c r="F50" s="28"/>
      <c r="G50" s="28"/>
    </row>
    <row r="51" hidden="1">
      <c r="A51" s="30" t="s">
        <v>1425</v>
      </c>
      <c r="B51" s="19" t="s">
        <v>1373</v>
      </c>
      <c r="C51" s="19" t="s">
        <v>1374</v>
      </c>
      <c r="F51" s="28"/>
      <c r="G51" s="28"/>
    </row>
    <row r="52" hidden="1">
      <c r="A52" s="30" t="s">
        <v>1426</v>
      </c>
      <c r="B52" s="19" t="s">
        <v>1373</v>
      </c>
      <c r="C52" s="19" t="s">
        <v>1374</v>
      </c>
      <c r="F52" s="28"/>
      <c r="G52" s="28"/>
    </row>
    <row r="53" hidden="1">
      <c r="A53" s="30" t="s">
        <v>1427</v>
      </c>
      <c r="B53" s="19" t="s">
        <v>1373</v>
      </c>
      <c r="C53" s="19" t="s">
        <v>1374</v>
      </c>
      <c r="F53" s="28"/>
      <c r="G53" s="28"/>
    </row>
    <row r="54" hidden="1">
      <c r="A54" s="30" t="s">
        <v>1428</v>
      </c>
      <c r="B54" s="19" t="s">
        <v>1373</v>
      </c>
      <c r="C54" s="19" t="s">
        <v>1374</v>
      </c>
      <c r="F54" s="28"/>
      <c r="G54" s="28"/>
    </row>
    <row r="55">
      <c r="A55" s="30" t="s">
        <v>1429</v>
      </c>
      <c r="B55" s="19" t="s">
        <v>1373</v>
      </c>
      <c r="C55" s="19" t="s">
        <v>1391</v>
      </c>
      <c r="D55" s="19" t="s">
        <v>318</v>
      </c>
      <c r="F55" s="19" t="s">
        <v>1391</v>
      </c>
      <c r="G55" s="19" t="s">
        <v>1374</v>
      </c>
    </row>
    <row r="56" hidden="1">
      <c r="A56" s="30" t="s">
        <v>1430</v>
      </c>
      <c r="B56" s="19" t="s">
        <v>1373</v>
      </c>
      <c r="C56" s="19" t="s">
        <v>1374</v>
      </c>
      <c r="F56" s="28"/>
      <c r="G56" s="28"/>
    </row>
    <row r="57" hidden="1">
      <c r="A57" s="30" t="s">
        <v>1431</v>
      </c>
      <c r="B57" s="19" t="s">
        <v>1373</v>
      </c>
      <c r="C57" s="19" t="s">
        <v>1374</v>
      </c>
      <c r="F57" s="28"/>
      <c r="G57" s="28"/>
    </row>
    <row r="58" hidden="1">
      <c r="A58" s="30" t="s">
        <v>1432</v>
      </c>
      <c r="B58" s="19" t="s">
        <v>1373</v>
      </c>
      <c r="C58" s="19" t="s">
        <v>1374</v>
      </c>
      <c r="F58" s="28"/>
      <c r="G58" s="28"/>
    </row>
    <row r="59" hidden="1">
      <c r="A59" s="30" t="s">
        <v>1433</v>
      </c>
      <c r="B59" s="19" t="s">
        <v>1373</v>
      </c>
      <c r="C59" s="19" t="s">
        <v>1374</v>
      </c>
      <c r="F59" s="28"/>
      <c r="G59" s="28"/>
    </row>
    <row r="60" hidden="1">
      <c r="A60" s="30" t="s">
        <v>1434</v>
      </c>
      <c r="B60" s="19" t="s">
        <v>1373</v>
      </c>
      <c r="C60" s="19" t="s">
        <v>1374</v>
      </c>
      <c r="F60" s="28"/>
      <c r="G60" s="28"/>
    </row>
    <row r="61" hidden="1">
      <c r="A61" s="30" t="s">
        <v>1435</v>
      </c>
      <c r="B61" s="19" t="s">
        <v>1373</v>
      </c>
      <c r="C61" s="19" t="s">
        <v>1374</v>
      </c>
      <c r="F61" s="28"/>
      <c r="G61" s="28"/>
    </row>
    <row r="62" hidden="1">
      <c r="A62" s="30" t="s">
        <v>1436</v>
      </c>
      <c r="B62" s="19" t="s">
        <v>1373</v>
      </c>
      <c r="C62" s="19" t="s">
        <v>1374</v>
      </c>
      <c r="F62" s="28"/>
      <c r="G62" s="28"/>
    </row>
    <row r="63" hidden="1">
      <c r="A63" s="30" t="s">
        <v>1437</v>
      </c>
      <c r="B63" s="19" t="s">
        <v>1373</v>
      </c>
      <c r="C63" s="19" t="s">
        <v>1374</v>
      </c>
      <c r="F63" s="28"/>
      <c r="G63" s="28"/>
    </row>
    <row r="64" hidden="1">
      <c r="A64" s="30" t="s">
        <v>1438</v>
      </c>
      <c r="B64" s="19" t="s">
        <v>1373</v>
      </c>
      <c r="C64" s="19" t="s">
        <v>1374</v>
      </c>
      <c r="F64" s="28"/>
      <c r="G64" s="28"/>
    </row>
    <row r="65" hidden="1">
      <c r="A65" s="30" t="s">
        <v>1439</v>
      </c>
      <c r="B65" s="19" t="s">
        <v>1373</v>
      </c>
      <c r="C65" s="19" t="s">
        <v>1374</v>
      </c>
      <c r="F65" s="28"/>
      <c r="G65" s="28"/>
    </row>
    <row r="66" hidden="1">
      <c r="A66" s="30" t="s">
        <v>1440</v>
      </c>
      <c r="B66" s="19" t="s">
        <v>1373</v>
      </c>
      <c r="C66" s="19" t="s">
        <v>1374</v>
      </c>
      <c r="F66" s="28"/>
      <c r="G66" s="28"/>
    </row>
    <row r="67" hidden="1">
      <c r="A67" s="30" t="s">
        <v>1441</v>
      </c>
      <c r="B67" s="19" t="s">
        <v>1373</v>
      </c>
      <c r="C67" s="19" t="s">
        <v>1374</v>
      </c>
      <c r="F67" s="28"/>
      <c r="G67" s="28"/>
    </row>
    <row r="68" hidden="1">
      <c r="A68" s="30" t="s">
        <v>1442</v>
      </c>
      <c r="B68" s="19" t="s">
        <v>1373</v>
      </c>
      <c r="C68" s="19" t="s">
        <v>1374</v>
      </c>
      <c r="F68" s="28"/>
      <c r="G68" s="28"/>
    </row>
    <row r="69" hidden="1">
      <c r="A69" s="30" t="s">
        <v>1443</v>
      </c>
      <c r="B69" s="19" t="s">
        <v>1373</v>
      </c>
      <c r="C69" s="19" t="s">
        <v>1374</v>
      </c>
      <c r="F69" s="28"/>
      <c r="G69" s="28"/>
    </row>
    <row r="70" hidden="1">
      <c r="A70" s="30" t="s">
        <v>1444</v>
      </c>
      <c r="B70" s="19" t="s">
        <v>1373</v>
      </c>
      <c r="C70" s="19" t="s">
        <v>1374</v>
      </c>
      <c r="F70" s="28"/>
      <c r="G70" s="28"/>
    </row>
    <row r="71" hidden="1">
      <c r="A71" s="30" t="s">
        <v>1445</v>
      </c>
      <c r="B71" s="19" t="s">
        <v>1373</v>
      </c>
      <c r="C71" s="19" t="s">
        <v>1374</v>
      </c>
      <c r="F71" s="28"/>
      <c r="G71" s="28"/>
    </row>
    <row r="72" hidden="1">
      <c r="A72" s="30" t="s">
        <v>1446</v>
      </c>
      <c r="B72" s="19" t="s">
        <v>1373</v>
      </c>
      <c r="C72" s="19" t="s">
        <v>1374</v>
      </c>
      <c r="F72" s="28"/>
      <c r="G72" s="28"/>
    </row>
    <row r="73" hidden="1">
      <c r="A73" s="30" t="s">
        <v>1447</v>
      </c>
      <c r="B73" s="19" t="s">
        <v>1373</v>
      </c>
      <c r="C73" s="19" t="s">
        <v>1374</v>
      </c>
      <c r="F73" s="28"/>
      <c r="G73" s="28"/>
    </row>
    <row r="74" hidden="1">
      <c r="A74" s="30" t="s">
        <v>1448</v>
      </c>
      <c r="B74" s="19" t="s">
        <v>1373</v>
      </c>
      <c r="C74" s="19" t="s">
        <v>1374</v>
      </c>
      <c r="F74" s="28"/>
      <c r="G74" s="28"/>
    </row>
    <row r="75" hidden="1">
      <c r="A75" s="30" t="s">
        <v>1449</v>
      </c>
      <c r="B75" s="19" t="s">
        <v>1373</v>
      </c>
      <c r="C75" s="19" t="s">
        <v>1374</v>
      </c>
      <c r="F75" s="28"/>
      <c r="G75" s="28"/>
    </row>
    <row r="76" hidden="1">
      <c r="A76" s="30" t="s">
        <v>1450</v>
      </c>
      <c r="B76" s="19" t="s">
        <v>1373</v>
      </c>
      <c r="C76" s="19" t="s">
        <v>1374</v>
      </c>
      <c r="F76" s="28"/>
      <c r="G76" s="28"/>
    </row>
    <row r="77" hidden="1">
      <c r="A77" s="30" t="s">
        <v>1451</v>
      </c>
      <c r="B77" s="19" t="s">
        <v>1373</v>
      </c>
      <c r="C77" s="19" t="s">
        <v>1374</v>
      </c>
      <c r="F77" s="28"/>
      <c r="G77" s="28"/>
    </row>
    <row r="78" hidden="1">
      <c r="A78" s="30" t="s">
        <v>1452</v>
      </c>
      <c r="B78" s="19" t="s">
        <v>1373</v>
      </c>
      <c r="C78" s="19" t="s">
        <v>1374</v>
      </c>
      <c r="F78" s="28"/>
      <c r="G78" s="28"/>
    </row>
    <row r="79" hidden="1">
      <c r="A79" s="30" t="s">
        <v>1453</v>
      </c>
      <c r="B79" s="19" t="s">
        <v>1454</v>
      </c>
      <c r="C79" s="19" t="s">
        <v>1374</v>
      </c>
      <c r="F79" s="28"/>
      <c r="G79" s="28"/>
    </row>
    <row r="80" hidden="1">
      <c r="A80" s="30" t="s">
        <v>1455</v>
      </c>
      <c r="B80" s="19" t="s">
        <v>1454</v>
      </c>
      <c r="C80" s="19" t="s">
        <v>1374</v>
      </c>
      <c r="F80" s="28"/>
      <c r="G80" s="28"/>
    </row>
    <row r="81" hidden="1">
      <c r="A81" s="30" t="s">
        <v>1456</v>
      </c>
      <c r="B81" s="19" t="s">
        <v>1454</v>
      </c>
      <c r="C81" s="19" t="s">
        <v>1374</v>
      </c>
      <c r="F81" s="28"/>
      <c r="G81" s="28"/>
    </row>
    <row r="82" hidden="1">
      <c r="A82" s="30" t="s">
        <v>1457</v>
      </c>
      <c r="B82" s="19" t="s">
        <v>1454</v>
      </c>
      <c r="C82" s="19" t="s">
        <v>1374</v>
      </c>
      <c r="F82" s="28"/>
      <c r="G82" s="28"/>
    </row>
    <row r="83" hidden="1">
      <c r="A83" s="30" t="s">
        <v>1458</v>
      </c>
      <c r="B83" s="19" t="s">
        <v>1454</v>
      </c>
      <c r="C83" s="19" t="s">
        <v>1374</v>
      </c>
      <c r="F83" s="28"/>
      <c r="G83" s="28"/>
    </row>
    <row r="84" hidden="1">
      <c r="A84" s="30" t="s">
        <v>1459</v>
      </c>
      <c r="B84" s="19" t="s">
        <v>1454</v>
      </c>
      <c r="C84" s="19" t="s">
        <v>1374</v>
      </c>
      <c r="F84" s="28"/>
      <c r="G84" s="28"/>
    </row>
    <row r="85" hidden="1">
      <c r="A85" s="30" t="s">
        <v>1460</v>
      </c>
      <c r="B85" s="19" t="s">
        <v>1454</v>
      </c>
      <c r="C85" s="19" t="s">
        <v>1374</v>
      </c>
      <c r="F85" s="28"/>
      <c r="G85" s="28"/>
    </row>
    <row r="86" hidden="1">
      <c r="A86" s="30" t="s">
        <v>1461</v>
      </c>
      <c r="B86" s="19" t="s">
        <v>1454</v>
      </c>
      <c r="C86" s="19" t="s">
        <v>1374</v>
      </c>
      <c r="F86" s="28"/>
      <c r="G86" s="28"/>
    </row>
    <row r="87" hidden="1">
      <c r="A87" s="30" t="s">
        <v>1462</v>
      </c>
      <c r="B87" s="19" t="s">
        <v>1454</v>
      </c>
      <c r="C87" s="19" t="s">
        <v>1374</v>
      </c>
      <c r="F87" s="28"/>
      <c r="G87" s="28"/>
    </row>
    <row r="88" hidden="1">
      <c r="A88" s="30" t="s">
        <v>1463</v>
      </c>
      <c r="B88" s="19" t="s">
        <v>1454</v>
      </c>
      <c r="C88" s="19" t="s">
        <v>1374</v>
      </c>
      <c r="F88" s="28"/>
      <c r="G88" s="28"/>
    </row>
    <row r="89" hidden="1">
      <c r="A89" s="30" t="s">
        <v>1464</v>
      </c>
      <c r="B89" s="19" t="s">
        <v>1454</v>
      </c>
      <c r="C89" s="19" t="s">
        <v>1374</v>
      </c>
      <c r="F89" s="28"/>
      <c r="G89" s="28"/>
    </row>
    <row r="90" hidden="1">
      <c r="A90" s="30" t="s">
        <v>1465</v>
      </c>
      <c r="B90" s="19" t="s">
        <v>1454</v>
      </c>
      <c r="C90" s="19" t="s">
        <v>1374</v>
      </c>
      <c r="F90" s="28"/>
      <c r="G90" s="28"/>
    </row>
    <row r="91" hidden="1">
      <c r="A91" s="30" t="s">
        <v>1466</v>
      </c>
      <c r="B91" s="19" t="s">
        <v>1454</v>
      </c>
      <c r="C91" s="19" t="s">
        <v>1374</v>
      </c>
      <c r="F91" s="28"/>
      <c r="G91" s="28"/>
    </row>
    <row r="92" hidden="1">
      <c r="A92" s="30" t="s">
        <v>1467</v>
      </c>
      <c r="B92" s="19" t="s">
        <v>1454</v>
      </c>
      <c r="C92" s="19" t="s">
        <v>1374</v>
      </c>
      <c r="F92" s="28"/>
      <c r="G92" s="28"/>
    </row>
    <row r="93" hidden="1">
      <c r="A93" s="30" t="s">
        <v>1468</v>
      </c>
      <c r="B93" s="19" t="s">
        <v>1454</v>
      </c>
      <c r="C93" s="19" t="s">
        <v>1374</v>
      </c>
      <c r="F93" s="28"/>
      <c r="G93" s="28"/>
    </row>
    <row r="94" hidden="1">
      <c r="A94" s="30" t="s">
        <v>1469</v>
      </c>
      <c r="B94" s="19" t="s">
        <v>1454</v>
      </c>
      <c r="C94" s="19" t="s">
        <v>1374</v>
      </c>
      <c r="F94" s="28"/>
      <c r="G94" s="28"/>
    </row>
    <row r="95" hidden="1">
      <c r="A95" s="30" t="s">
        <v>1470</v>
      </c>
      <c r="B95" s="19" t="s">
        <v>1454</v>
      </c>
      <c r="C95" s="19" t="s">
        <v>1374</v>
      </c>
      <c r="F95" s="28"/>
      <c r="G95" s="28"/>
    </row>
    <row r="96" hidden="1">
      <c r="A96" s="30" t="s">
        <v>1471</v>
      </c>
      <c r="B96" s="19" t="s">
        <v>1454</v>
      </c>
      <c r="C96" s="19" t="s">
        <v>1374</v>
      </c>
      <c r="F96" s="28"/>
      <c r="G96" s="28"/>
    </row>
    <row r="97" hidden="1">
      <c r="A97" s="30" t="s">
        <v>1472</v>
      </c>
      <c r="B97" s="19" t="s">
        <v>1454</v>
      </c>
      <c r="C97" s="19" t="s">
        <v>1374</v>
      </c>
      <c r="F97" s="28"/>
      <c r="G97" s="28"/>
    </row>
    <row r="98" hidden="1">
      <c r="A98" s="30" t="s">
        <v>1473</v>
      </c>
      <c r="B98" s="19" t="s">
        <v>1454</v>
      </c>
      <c r="C98" s="19" t="s">
        <v>1374</v>
      </c>
      <c r="F98" s="28"/>
      <c r="G98" s="28"/>
    </row>
    <row r="99" hidden="1">
      <c r="A99" s="30" t="s">
        <v>1474</v>
      </c>
      <c r="B99" s="19" t="s">
        <v>1454</v>
      </c>
      <c r="C99" s="19" t="s">
        <v>1374</v>
      </c>
      <c r="F99" s="28"/>
      <c r="G99" s="28"/>
    </row>
    <row r="100" hidden="1">
      <c r="A100" s="30" t="s">
        <v>1475</v>
      </c>
      <c r="B100" s="19" t="s">
        <v>1454</v>
      </c>
      <c r="C100" s="19" t="s">
        <v>1374</v>
      </c>
      <c r="F100" s="28"/>
      <c r="G100" s="28"/>
    </row>
    <row r="101" hidden="1">
      <c r="A101" s="30" t="s">
        <v>1476</v>
      </c>
      <c r="B101" s="19" t="s">
        <v>1454</v>
      </c>
      <c r="C101" s="19" t="s">
        <v>1374</v>
      </c>
      <c r="D101" s="32"/>
      <c r="F101" s="28"/>
      <c r="G101" s="28"/>
    </row>
    <row r="102" hidden="1">
      <c r="A102" s="30" t="s">
        <v>1477</v>
      </c>
      <c r="B102" s="19" t="s">
        <v>1454</v>
      </c>
      <c r="C102" s="19" t="s">
        <v>1374</v>
      </c>
      <c r="F102" s="28"/>
      <c r="G102" s="28"/>
    </row>
    <row r="103" hidden="1">
      <c r="A103" s="30" t="s">
        <v>1478</v>
      </c>
      <c r="B103" s="19" t="s">
        <v>1454</v>
      </c>
      <c r="C103" s="19" t="s">
        <v>1374</v>
      </c>
      <c r="F103" s="28"/>
      <c r="G103" s="28"/>
    </row>
    <row r="104" hidden="1">
      <c r="A104" s="30" t="s">
        <v>1479</v>
      </c>
      <c r="B104" s="19" t="s">
        <v>1454</v>
      </c>
      <c r="C104" s="19" t="s">
        <v>1374</v>
      </c>
      <c r="F104" s="28"/>
      <c r="G104" s="28"/>
    </row>
    <row r="105" hidden="1">
      <c r="A105" s="30" t="s">
        <v>1480</v>
      </c>
      <c r="B105" s="19" t="s">
        <v>1454</v>
      </c>
      <c r="C105" s="19" t="s">
        <v>1374</v>
      </c>
      <c r="F105" s="28"/>
      <c r="G105" s="28"/>
    </row>
    <row r="106" hidden="1">
      <c r="A106" s="30" t="s">
        <v>1481</v>
      </c>
      <c r="B106" s="19" t="s">
        <v>1454</v>
      </c>
      <c r="C106" s="19" t="s">
        <v>1374</v>
      </c>
      <c r="F106" s="28"/>
      <c r="G106" s="28"/>
    </row>
    <row r="107" hidden="1">
      <c r="A107" s="30" t="s">
        <v>1482</v>
      </c>
      <c r="B107" s="19" t="s">
        <v>1454</v>
      </c>
      <c r="C107" s="19" t="s">
        <v>1374</v>
      </c>
      <c r="F107" s="28"/>
      <c r="G107" s="28"/>
    </row>
    <row r="108" hidden="1">
      <c r="A108" s="30" t="s">
        <v>1483</v>
      </c>
      <c r="B108" s="19" t="s">
        <v>1454</v>
      </c>
      <c r="C108" s="19" t="s">
        <v>1374</v>
      </c>
      <c r="F108" s="28"/>
      <c r="G108" s="28"/>
    </row>
    <row r="109" hidden="1">
      <c r="A109" s="30" t="s">
        <v>1484</v>
      </c>
      <c r="B109" s="19" t="s">
        <v>1454</v>
      </c>
      <c r="C109" s="19" t="s">
        <v>1374</v>
      </c>
      <c r="F109" s="28"/>
      <c r="G109" s="28"/>
    </row>
    <row r="110" hidden="1">
      <c r="A110" s="30" t="s">
        <v>1485</v>
      </c>
      <c r="B110" s="19" t="s">
        <v>1454</v>
      </c>
      <c r="C110" s="19" t="s">
        <v>1374</v>
      </c>
      <c r="F110" s="28"/>
      <c r="G110" s="28"/>
    </row>
    <row r="111" hidden="1">
      <c r="A111" s="30" t="s">
        <v>1486</v>
      </c>
      <c r="B111" s="19" t="s">
        <v>1454</v>
      </c>
      <c r="C111" s="19" t="s">
        <v>1374</v>
      </c>
      <c r="F111" s="28"/>
      <c r="G111" s="28"/>
    </row>
    <row r="112" hidden="1">
      <c r="A112" s="30" t="s">
        <v>1487</v>
      </c>
      <c r="B112" s="19" t="s">
        <v>1454</v>
      </c>
      <c r="C112" s="19" t="s">
        <v>1374</v>
      </c>
      <c r="F112" s="28"/>
      <c r="G112" s="28"/>
    </row>
    <row r="113" hidden="1">
      <c r="A113" s="30" t="s">
        <v>1488</v>
      </c>
      <c r="B113" s="19" t="s">
        <v>1454</v>
      </c>
      <c r="C113" s="19" t="s">
        <v>1374</v>
      </c>
      <c r="F113" s="28"/>
      <c r="G113" s="28"/>
    </row>
    <row r="114">
      <c r="A114" s="30" t="s">
        <v>1489</v>
      </c>
      <c r="B114" s="19" t="s">
        <v>1454</v>
      </c>
      <c r="C114" s="19" t="s">
        <v>1391</v>
      </c>
      <c r="D114" s="33" t="s">
        <v>104</v>
      </c>
      <c r="F114" s="19" t="s">
        <v>1391</v>
      </c>
      <c r="G114" s="19" t="s">
        <v>1391</v>
      </c>
    </row>
    <row r="115" hidden="1">
      <c r="A115" s="30" t="s">
        <v>1490</v>
      </c>
      <c r="B115" s="19" t="s">
        <v>1454</v>
      </c>
      <c r="C115" s="19" t="s">
        <v>1374</v>
      </c>
      <c r="F115" s="28"/>
      <c r="G115" s="28"/>
    </row>
    <row r="116">
      <c r="A116" s="30" t="s">
        <v>1491</v>
      </c>
      <c r="B116" s="19" t="s">
        <v>1454</v>
      </c>
      <c r="C116" s="19" t="s">
        <v>1391</v>
      </c>
      <c r="D116" s="19" t="s">
        <v>83</v>
      </c>
      <c r="F116" s="19" t="s">
        <v>1391</v>
      </c>
      <c r="G116" s="19" t="s">
        <v>1391</v>
      </c>
    </row>
    <row r="117" hidden="1">
      <c r="A117" s="30" t="s">
        <v>1492</v>
      </c>
      <c r="B117" s="19" t="s">
        <v>1454</v>
      </c>
      <c r="C117" s="19" t="s">
        <v>1374</v>
      </c>
      <c r="D117" s="34"/>
      <c r="F117" s="28"/>
      <c r="G117" s="28"/>
    </row>
    <row r="118" hidden="1">
      <c r="A118" s="30" t="s">
        <v>1493</v>
      </c>
      <c r="B118" s="19" t="s">
        <v>1454</v>
      </c>
      <c r="C118" s="19" t="s">
        <v>1374</v>
      </c>
      <c r="F118" s="28"/>
      <c r="G118" s="28"/>
    </row>
    <row r="119" hidden="1">
      <c r="A119" s="30" t="s">
        <v>1494</v>
      </c>
      <c r="B119" s="19" t="s">
        <v>1454</v>
      </c>
      <c r="C119" s="19" t="s">
        <v>1374</v>
      </c>
      <c r="F119" s="28"/>
      <c r="G119" s="28"/>
    </row>
    <row r="120" hidden="1">
      <c r="A120" s="30" t="s">
        <v>1495</v>
      </c>
      <c r="B120" s="19" t="s">
        <v>1454</v>
      </c>
      <c r="C120" s="19" t="s">
        <v>1374</v>
      </c>
      <c r="F120" s="28"/>
      <c r="G120" s="28"/>
    </row>
    <row r="121" hidden="1">
      <c r="A121" s="30" t="s">
        <v>1496</v>
      </c>
      <c r="B121" s="19" t="s">
        <v>1454</v>
      </c>
      <c r="C121" s="19" t="s">
        <v>1374</v>
      </c>
      <c r="F121" s="28"/>
      <c r="G121" s="28"/>
    </row>
    <row r="122" hidden="1">
      <c r="A122" s="30" t="s">
        <v>1497</v>
      </c>
      <c r="B122" s="19" t="s">
        <v>1454</v>
      </c>
      <c r="C122" s="19" t="s">
        <v>1374</v>
      </c>
      <c r="F122" s="28"/>
      <c r="G122" s="28"/>
    </row>
    <row r="123" hidden="1">
      <c r="A123" s="30" t="s">
        <v>1498</v>
      </c>
      <c r="B123" s="19" t="s">
        <v>1454</v>
      </c>
      <c r="C123" s="19" t="s">
        <v>1374</v>
      </c>
      <c r="F123" s="28"/>
      <c r="G123" s="28"/>
    </row>
    <row r="124" hidden="1">
      <c r="A124" s="30" t="s">
        <v>1499</v>
      </c>
      <c r="B124" s="19" t="s">
        <v>1454</v>
      </c>
      <c r="C124" s="19" t="s">
        <v>1374</v>
      </c>
      <c r="F124" s="28"/>
      <c r="G124" s="28"/>
    </row>
    <row r="125" hidden="1">
      <c r="A125" s="30" t="s">
        <v>1500</v>
      </c>
      <c r="B125" s="19" t="s">
        <v>1454</v>
      </c>
      <c r="C125" s="19" t="s">
        <v>1374</v>
      </c>
      <c r="F125" s="28"/>
      <c r="G125" s="28"/>
    </row>
    <row r="126" hidden="1">
      <c r="A126" s="30" t="s">
        <v>1501</v>
      </c>
      <c r="B126" s="19" t="s">
        <v>1454</v>
      </c>
      <c r="C126" s="19" t="s">
        <v>1374</v>
      </c>
      <c r="F126" s="28"/>
      <c r="G126" s="28"/>
    </row>
    <row r="127" hidden="1">
      <c r="A127" s="30" t="s">
        <v>1502</v>
      </c>
      <c r="B127" s="19" t="s">
        <v>1454</v>
      </c>
      <c r="C127" s="19" t="s">
        <v>1374</v>
      </c>
      <c r="F127" s="28"/>
      <c r="G127" s="28"/>
    </row>
    <row r="128" hidden="1">
      <c r="A128" s="30" t="s">
        <v>1503</v>
      </c>
      <c r="B128" s="19" t="s">
        <v>1454</v>
      </c>
      <c r="C128" s="19" t="s">
        <v>1374</v>
      </c>
      <c r="F128" s="28"/>
      <c r="G128" s="28"/>
    </row>
    <row r="129" hidden="1">
      <c r="A129" s="30" t="s">
        <v>1504</v>
      </c>
      <c r="B129" s="19" t="s">
        <v>1454</v>
      </c>
      <c r="C129" s="19" t="s">
        <v>1374</v>
      </c>
      <c r="F129" s="28"/>
      <c r="G129" s="28"/>
    </row>
    <row r="130" hidden="1">
      <c r="A130" s="30" t="s">
        <v>1505</v>
      </c>
      <c r="B130" s="19" t="s">
        <v>1454</v>
      </c>
      <c r="C130" s="19" t="s">
        <v>1374</v>
      </c>
      <c r="F130" s="28"/>
      <c r="G130" s="28"/>
    </row>
    <row r="131" hidden="1">
      <c r="A131" s="30" t="s">
        <v>1506</v>
      </c>
      <c r="B131" s="19" t="s">
        <v>1454</v>
      </c>
      <c r="C131" s="19" t="s">
        <v>1374</v>
      </c>
      <c r="F131" s="28"/>
      <c r="G131" s="28"/>
    </row>
    <row r="132" hidden="1">
      <c r="A132" s="30" t="s">
        <v>1507</v>
      </c>
      <c r="B132" s="19" t="s">
        <v>1454</v>
      </c>
      <c r="C132" s="19" t="s">
        <v>1374</v>
      </c>
      <c r="F132" s="28"/>
      <c r="G132" s="28"/>
    </row>
    <row r="133" hidden="1">
      <c r="A133" s="30" t="s">
        <v>1508</v>
      </c>
      <c r="B133" s="19" t="s">
        <v>1454</v>
      </c>
      <c r="C133" s="19" t="s">
        <v>1374</v>
      </c>
      <c r="F133" s="28"/>
      <c r="G133" s="28"/>
    </row>
    <row r="134" hidden="1">
      <c r="A134" s="30" t="s">
        <v>1509</v>
      </c>
      <c r="B134" s="19" t="s">
        <v>1454</v>
      </c>
      <c r="C134" s="19" t="s">
        <v>1374</v>
      </c>
      <c r="F134" s="28"/>
      <c r="G134" s="28"/>
    </row>
    <row r="135" hidden="1">
      <c r="A135" s="30" t="s">
        <v>1510</v>
      </c>
      <c r="B135" s="19" t="s">
        <v>1454</v>
      </c>
      <c r="C135" s="19" t="s">
        <v>1374</v>
      </c>
      <c r="F135" s="28"/>
      <c r="G135" s="28"/>
    </row>
    <row r="136" hidden="1">
      <c r="A136" s="30" t="s">
        <v>1511</v>
      </c>
      <c r="B136" s="19" t="s">
        <v>1454</v>
      </c>
      <c r="C136" s="19" t="s">
        <v>1374</v>
      </c>
      <c r="F136" s="28"/>
      <c r="G136" s="28"/>
    </row>
    <row r="137" hidden="1">
      <c r="A137" s="30" t="s">
        <v>1512</v>
      </c>
      <c r="B137" s="19" t="s">
        <v>1454</v>
      </c>
      <c r="C137" s="19" t="s">
        <v>1374</v>
      </c>
      <c r="F137" s="28"/>
      <c r="G137" s="28"/>
    </row>
    <row r="138" hidden="1">
      <c r="A138" s="30" t="s">
        <v>1513</v>
      </c>
      <c r="B138" s="19" t="s">
        <v>1454</v>
      </c>
      <c r="C138" s="19" t="s">
        <v>1374</v>
      </c>
      <c r="F138" s="28"/>
      <c r="G138" s="28"/>
    </row>
    <row r="139" hidden="1">
      <c r="A139" s="30" t="s">
        <v>1514</v>
      </c>
      <c r="B139" s="19" t="s">
        <v>1454</v>
      </c>
      <c r="C139" s="19" t="s">
        <v>1374</v>
      </c>
      <c r="F139" s="28"/>
      <c r="G139" s="28"/>
    </row>
    <row r="140" hidden="1">
      <c r="A140" s="30" t="s">
        <v>1515</v>
      </c>
      <c r="B140" s="19" t="s">
        <v>1454</v>
      </c>
      <c r="C140" s="19" t="s">
        <v>1374</v>
      </c>
      <c r="F140" s="28"/>
      <c r="G140" s="28"/>
    </row>
    <row r="141" hidden="1">
      <c r="A141" s="30" t="s">
        <v>1516</v>
      </c>
      <c r="B141" s="19" t="s">
        <v>1454</v>
      </c>
      <c r="C141" s="19" t="s">
        <v>1374</v>
      </c>
      <c r="F141" s="28"/>
      <c r="G141" s="28"/>
    </row>
    <row r="142" hidden="1">
      <c r="A142" s="30" t="s">
        <v>1517</v>
      </c>
      <c r="B142" s="19" t="s">
        <v>1454</v>
      </c>
      <c r="C142" s="19" t="s">
        <v>1374</v>
      </c>
      <c r="F142" s="28"/>
      <c r="G142" s="28"/>
    </row>
    <row r="143" hidden="1">
      <c r="A143" s="30" t="s">
        <v>1518</v>
      </c>
      <c r="B143" s="19" t="s">
        <v>1454</v>
      </c>
      <c r="C143" s="19" t="s">
        <v>1374</v>
      </c>
      <c r="F143" s="28"/>
      <c r="G143" s="28"/>
    </row>
    <row r="144" hidden="1">
      <c r="A144" s="30" t="s">
        <v>1519</v>
      </c>
      <c r="B144" s="19" t="s">
        <v>1454</v>
      </c>
      <c r="C144" s="19" t="s">
        <v>1374</v>
      </c>
      <c r="F144" s="28"/>
      <c r="G144" s="28"/>
    </row>
    <row r="145" hidden="1">
      <c r="A145" s="30" t="s">
        <v>1520</v>
      </c>
      <c r="B145" s="19" t="s">
        <v>1454</v>
      </c>
      <c r="C145" s="19" t="s">
        <v>1374</v>
      </c>
      <c r="F145" s="28"/>
      <c r="G145" s="28"/>
    </row>
    <row r="146" hidden="1">
      <c r="A146" s="30" t="s">
        <v>1521</v>
      </c>
      <c r="B146" s="19" t="s">
        <v>1454</v>
      </c>
      <c r="C146" s="19" t="s">
        <v>1374</v>
      </c>
      <c r="F146" s="28"/>
      <c r="G146" s="28"/>
    </row>
    <row r="147" hidden="1">
      <c r="A147" s="30" t="s">
        <v>1522</v>
      </c>
      <c r="B147" s="19" t="s">
        <v>1454</v>
      </c>
      <c r="C147" s="19" t="s">
        <v>1374</v>
      </c>
      <c r="F147" s="28"/>
      <c r="G147" s="28"/>
    </row>
    <row r="148" hidden="1">
      <c r="A148" s="30" t="s">
        <v>1523</v>
      </c>
      <c r="B148" s="19" t="s">
        <v>1454</v>
      </c>
      <c r="C148" s="19" t="s">
        <v>1374</v>
      </c>
      <c r="F148" s="28"/>
      <c r="G148" s="28"/>
    </row>
    <row r="149" hidden="1">
      <c r="A149" s="30" t="s">
        <v>1524</v>
      </c>
      <c r="B149" s="19" t="s">
        <v>1454</v>
      </c>
      <c r="C149" s="19" t="s">
        <v>1374</v>
      </c>
      <c r="F149" s="28"/>
      <c r="G149" s="28"/>
    </row>
    <row r="150" hidden="1">
      <c r="A150" s="30" t="s">
        <v>1525</v>
      </c>
      <c r="B150" s="19" t="s">
        <v>1454</v>
      </c>
      <c r="C150" s="19" t="s">
        <v>1374</v>
      </c>
      <c r="F150" s="28"/>
      <c r="G150" s="28"/>
    </row>
    <row r="151" hidden="1">
      <c r="A151" s="30" t="s">
        <v>1526</v>
      </c>
      <c r="B151" s="19" t="s">
        <v>1454</v>
      </c>
      <c r="C151" s="19" t="s">
        <v>1374</v>
      </c>
      <c r="F151" s="28"/>
      <c r="G151" s="28"/>
    </row>
    <row r="152" hidden="1">
      <c r="A152" s="30" t="s">
        <v>1527</v>
      </c>
      <c r="B152" s="19" t="s">
        <v>1454</v>
      </c>
      <c r="C152" s="19" t="s">
        <v>1374</v>
      </c>
      <c r="F152" s="28"/>
      <c r="G152" s="28"/>
    </row>
    <row r="153" hidden="1">
      <c r="A153" s="30" t="s">
        <v>1528</v>
      </c>
      <c r="B153" s="19" t="s">
        <v>1454</v>
      </c>
      <c r="C153" s="19" t="s">
        <v>1374</v>
      </c>
      <c r="F153" s="28"/>
      <c r="G153" s="28"/>
    </row>
    <row r="154" hidden="1">
      <c r="A154" s="30" t="s">
        <v>1529</v>
      </c>
      <c r="B154" s="19" t="s">
        <v>1454</v>
      </c>
      <c r="C154" s="19" t="s">
        <v>1374</v>
      </c>
      <c r="F154" s="28"/>
      <c r="G154" s="28"/>
    </row>
    <row r="155" hidden="1">
      <c r="A155" s="30" t="s">
        <v>1530</v>
      </c>
      <c r="B155" s="19" t="s">
        <v>1454</v>
      </c>
      <c r="C155" s="19" t="s">
        <v>1374</v>
      </c>
      <c r="F155" s="28"/>
      <c r="G155" s="28"/>
    </row>
    <row r="156" hidden="1">
      <c r="A156" s="30" t="s">
        <v>1531</v>
      </c>
      <c r="B156" s="19" t="s">
        <v>1454</v>
      </c>
      <c r="C156" s="19" t="s">
        <v>1374</v>
      </c>
      <c r="F156" s="28"/>
      <c r="G156" s="28"/>
    </row>
    <row r="157" hidden="1">
      <c r="A157" s="30" t="s">
        <v>1532</v>
      </c>
      <c r="B157" s="19" t="s">
        <v>1533</v>
      </c>
      <c r="C157" s="19" t="s">
        <v>1374</v>
      </c>
      <c r="F157" s="28"/>
      <c r="G157" s="28"/>
    </row>
    <row r="158" hidden="1">
      <c r="A158" s="30" t="s">
        <v>1534</v>
      </c>
      <c r="B158" s="19" t="s">
        <v>1533</v>
      </c>
      <c r="C158" s="19" t="s">
        <v>1374</v>
      </c>
      <c r="F158" s="28"/>
      <c r="G158" s="28"/>
    </row>
    <row r="159" hidden="1">
      <c r="A159" s="30" t="s">
        <v>1535</v>
      </c>
      <c r="B159" s="19" t="s">
        <v>1533</v>
      </c>
      <c r="C159" s="19" t="s">
        <v>1374</v>
      </c>
      <c r="F159" s="28"/>
      <c r="G159" s="28"/>
    </row>
    <row r="160" hidden="1">
      <c r="A160" s="30" t="s">
        <v>1536</v>
      </c>
      <c r="B160" s="19" t="s">
        <v>1533</v>
      </c>
      <c r="C160" s="19" t="s">
        <v>1374</v>
      </c>
      <c r="F160" s="28"/>
      <c r="G160" s="28"/>
    </row>
    <row r="161" hidden="1">
      <c r="A161" s="30" t="s">
        <v>1537</v>
      </c>
      <c r="B161" s="19" t="s">
        <v>1533</v>
      </c>
      <c r="C161" s="19" t="s">
        <v>1374</v>
      </c>
      <c r="F161" s="28"/>
      <c r="G161" s="28"/>
    </row>
    <row r="162" hidden="1">
      <c r="A162" s="30" t="s">
        <v>1538</v>
      </c>
      <c r="B162" s="19" t="s">
        <v>1533</v>
      </c>
      <c r="C162" s="19" t="s">
        <v>1374</v>
      </c>
      <c r="F162" s="28"/>
      <c r="G162" s="28"/>
    </row>
    <row r="163" hidden="1">
      <c r="A163" s="30" t="s">
        <v>1539</v>
      </c>
      <c r="B163" s="19" t="s">
        <v>1533</v>
      </c>
      <c r="C163" s="19" t="s">
        <v>1374</v>
      </c>
      <c r="F163" s="28"/>
      <c r="G163" s="28"/>
    </row>
    <row r="164" hidden="1">
      <c r="A164" s="30" t="s">
        <v>1540</v>
      </c>
      <c r="B164" s="19" t="s">
        <v>1533</v>
      </c>
      <c r="C164" s="19" t="s">
        <v>1374</v>
      </c>
      <c r="F164" s="28"/>
      <c r="G164" s="28"/>
    </row>
    <row r="165" hidden="1">
      <c r="A165" s="30" t="s">
        <v>1541</v>
      </c>
      <c r="B165" s="19" t="s">
        <v>1533</v>
      </c>
      <c r="C165" s="19" t="s">
        <v>1374</v>
      </c>
      <c r="F165" s="28"/>
      <c r="G165" s="28"/>
    </row>
    <row r="166" hidden="1">
      <c r="A166" s="30" t="s">
        <v>1542</v>
      </c>
      <c r="B166" s="19" t="s">
        <v>1533</v>
      </c>
      <c r="C166" s="19" t="s">
        <v>1374</v>
      </c>
      <c r="F166" s="28"/>
      <c r="G166" s="28"/>
    </row>
    <row r="167" hidden="1">
      <c r="A167" s="30" t="s">
        <v>1543</v>
      </c>
      <c r="B167" s="19" t="s">
        <v>1533</v>
      </c>
      <c r="C167" s="19" t="s">
        <v>1374</v>
      </c>
      <c r="F167" s="28"/>
      <c r="G167" s="28"/>
    </row>
    <row r="168" hidden="1">
      <c r="A168" s="30" t="s">
        <v>1544</v>
      </c>
      <c r="B168" s="19" t="s">
        <v>1533</v>
      </c>
      <c r="C168" s="19" t="s">
        <v>1374</v>
      </c>
      <c r="F168" s="28"/>
      <c r="G168" s="28"/>
    </row>
    <row r="169" hidden="1">
      <c r="A169" s="30" t="s">
        <v>1545</v>
      </c>
      <c r="B169" s="19" t="s">
        <v>1533</v>
      </c>
      <c r="C169" s="19" t="s">
        <v>1374</v>
      </c>
      <c r="F169" s="28"/>
      <c r="G169" s="28"/>
    </row>
    <row r="170" hidden="1">
      <c r="A170" s="30" t="s">
        <v>1546</v>
      </c>
      <c r="B170" s="19" t="s">
        <v>1533</v>
      </c>
      <c r="C170" s="19" t="s">
        <v>1374</v>
      </c>
      <c r="F170" s="28"/>
      <c r="G170" s="28"/>
    </row>
    <row r="171" hidden="1">
      <c r="A171" s="30" t="s">
        <v>1547</v>
      </c>
      <c r="B171" s="19" t="s">
        <v>1533</v>
      </c>
      <c r="C171" s="19" t="s">
        <v>1374</v>
      </c>
      <c r="F171" s="28"/>
      <c r="G171" s="28"/>
    </row>
    <row r="172" hidden="1">
      <c r="A172" s="30" t="s">
        <v>1548</v>
      </c>
      <c r="B172" s="19" t="s">
        <v>1533</v>
      </c>
      <c r="C172" s="19" t="s">
        <v>1374</v>
      </c>
      <c r="F172" s="28"/>
      <c r="G172" s="28"/>
    </row>
    <row r="173" hidden="1">
      <c r="A173" s="30" t="s">
        <v>1549</v>
      </c>
      <c r="B173" s="19" t="s">
        <v>1533</v>
      </c>
      <c r="C173" s="19" t="s">
        <v>1374</v>
      </c>
      <c r="F173" s="28"/>
      <c r="G173" s="28"/>
    </row>
    <row r="174" hidden="1">
      <c r="A174" s="30" t="s">
        <v>1550</v>
      </c>
      <c r="B174" s="19" t="s">
        <v>1533</v>
      </c>
      <c r="C174" s="19" t="s">
        <v>1374</v>
      </c>
      <c r="F174" s="28"/>
      <c r="G174" s="28"/>
    </row>
    <row r="175" hidden="1">
      <c r="A175" s="30" t="s">
        <v>1551</v>
      </c>
      <c r="B175" s="19" t="s">
        <v>1533</v>
      </c>
      <c r="C175" s="19" t="s">
        <v>1374</v>
      </c>
      <c r="F175" s="28"/>
      <c r="G175" s="28"/>
    </row>
    <row r="176" hidden="1">
      <c r="A176" s="30" t="s">
        <v>1552</v>
      </c>
      <c r="B176" s="19" t="s">
        <v>1533</v>
      </c>
      <c r="C176" s="19" t="s">
        <v>1374</v>
      </c>
      <c r="F176" s="28"/>
      <c r="G176" s="28"/>
    </row>
    <row r="177" hidden="1">
      <c r="A177" s="30" t="s">
        <v>1553</v>
      </c>
      <c r="B177" s="19" t="s">
        <v>1533</v>
      </c>
      <c r="C177" s="19" t="s">
        <v>1374</v>
      </c>
      <c r="F177" s="28"/>
      <c r="G177" s="28"/>
    </row>
    <row r="178" hidden="1">
      <c r="A178" s="30" t="s">
        <v>1554</v>
      </c>
      <c r="B178" s="19" t="s">
        <v>1533</v>
      </c>
      <c r="C178" s="19" t="s">
        <v>1374</v>
      </c>
      <c r="F178" s="28"/>
      <c r="G178" s="28"/>
    </row>
    <row r="179" hidden="1">
      <c r="A179" s="30" t="s">
        <v>1555</v>
      </c>
      <c r="B179" s="19" t="s">
        <v>1533</v>
      </c>
      <c r="C179" s="19" t="s">
        <v>1374</v>
      </c>
      <c r="F179" s="28"/>
      <c r="G179" s="28"/>
    </row>
    <row r="180" hidden="1">
      <c r="A180" s="30" t="s">
        <v>1556</v>
      </c>
      <c r="B180" s="19" t="s">
        <v>1533</v>
      </c>
      <c r="C180" s="19" t="s">
        <v>1374</v>
      </c>
      <c r="F180" s="28"/>
      <c r="G180" s="28"/>
    </row>
    <row r="181">
      <c r="A181" s="30" t="s">
        <v>1557</v>
      </c>
      <c r="B181" s="19" t="s">
        <v>1533</v>
      </c>
      <c r="C181" s="19" t="s">
        <v>1391</v>
      </c>
      <c r="D181" s="19" t="s">
        <v>1558</v>
      </c>
      <c r="F181" s="19" t="s">
        <v>1391</v>
      </c>
      <c r="G181" s="19" t="s">
        <v>1391</v>
      </c>
    </row>
    <row r="182" hidden="1">
      <c r="A182" s="30" t="s">
        <v>1559</v>
      </c>
      <c r="B182" s="19" t="s">
        <v>1533</v>
      </c>
      <c r="C182" s="19" t="s">
        <v>1374</v>
      </c>
      <c r="F182" s="28"/>
      <c r="G182" s="28"/>
    </row>
    <row r="183" hidden="1">
      <c r="A183" s="30" t="s">
        <v>1560</v>
      </c>
      <c r="B183" s="19" t="s">
        <v>1533</v>
      </c>
      <c r="C183" s="19" t="s">
        <v>1374</v>
      </c>
      <c r="F183" s="28"/>
      <c r="G183" s="28"/>
    </row>
    <row r="184" hidden="1">
      <c r="A184" s="30" t="s">
        <v>1561</v>
      </c>
      <c r="B184" s="19" t="s">
        <v>1533</v>
      </c>
      <c r="C184" s="19" t="s">
        <v>1374</v>
      </c>
      <c r="F184" s="28"/>
      <c r="G184" s="28"/>
    </row>
    <row r="185" hidden="1">
      <c r="A185" s="30" t="s">
        <v>1562</v>
      </c>
      <c r="B185" s="19" t="s">
        <v>1533</v>
      </c>
      <c r="C185" s="19" t="s">
        <v>1374</v>
      </c>
      <c r="F185" s="28"/>
      <c r="G185" s="28"/>
    </row>
    <row r="186" hidden="1">
      <c r="A186" s="30" t="s">
        <v>1563</v>
      </c>
      <c r="B186" s="19" t="s">
        <v>1533</v>
      </c>
      <c r="C186" s="19" t="s">
        <v>1374</v>
      </c>
      <c r="F186" s="28"/>
      <c r="G186" s="28"/>
    </row>
    <row r="187" hidden="1">
      <c r="A187" s="30" t="s">
        <v>1564</v>
      </c>
      <c r="B187" s="19" t="s">
        <v>1533</v>
      </c>
      <c r="C187" s="19" t="s">
        <v>1374</v>
      </c>
      <c r="F187" s="28"/>
      <c r="G187" s="28"/>
    </row>
    <row r="188" hidden="1">
      <c r="A188" s="30" t="s">
        <v>1565</v>
      </c>
      <c r="B188" s="19" t="s">
        <v>1533</v>
      </c>
      <c r="C188" s="19" t="s">
        <v>1374</v>
      </c>
      <c r="F188" s="28"/>
      <c r="G188" s="28"/>
    </row>
    <row r="189" hidden="1">
      <c r="A189" s="30" t="s">
        <v>1566</v>
      </c>
      <c r="B189" s="19" t="s">
        <v>1533</v>
      </c>
      <c r="C189" s="19" t="s">
        <v>1374</v>
      </c>
      <c r="F189" s="28"/>
      <c r="G189" s="28"/>
    </row>
    <row r="190" hidden="1">
      <c r="A190" s="30" t="s">
        <v>1567</v>
      </c>
      <c r="B190" s="19" t="s">
        <v>1533</v>
      </c>
      <c r="C190" s="19" t="s">
        <v>1374</v>
      </c>
      <c r="F190" s="28"/>
      <c r="G190" s="28"/>
    </row>
    <row r="191" hidden="1">
      <c r="A191" s="30" t="s">
        <v>1568</v>
      </c>
      <c r="B191" s="19" t="s">
        <v>1533</v>
      </c>
      <c r="C191" s="19" t="s">
        <v>1374</v>
      </c>
      <c r="F191" s="28"/>
      <c r="G191" s="28"/>
    </row>
    <row r="192" hidden="1">
      <c r="A192" s="30" t="s">
        <v>1569</v>
      </c>
      <c r="B192" s="19" t="s">
        <v>1533</v>
      </c>
      <c r="C192" s="19" t="s">
        <v>1374</v>
      </c>
      <c r="F192" s="28"/>
      <c r="G192" s="28"/>
    </row>
    <row r="193" hidden="1">
      <c r="A193" s="30" t="s">
        <v>1570</v>
      </c>
      <c r="B193" s="19" t="s">
        <v>1533</v>
      </c>
      <c r="C193" s="19" t="s">
        <v>1374</v>
      </c>
      <c r="F193" s="28"/>
      <c r="G193" s="28"/>
    </row>
    <row r="194" hidden="1">
      <c r="A194" s="30" t="s">
        <v>1571</v>
      </c>
      <c r="B194" s="19" t="s">
        <v>1533</v>
      </c>
      <c r="C194" s="19" t="s">
        <v>1374</v>
      </c>
      <c r="F194" s="28"/>
      <c r="G194" s="28"/>
    </row>
    <row r="195" hidden="1">
      <c r="A195" s="30" t="s">
        <v>1572</v>
      </c>
      <c r="B195" s="19" t="s">
        <v>1533</v>
      </c>
      <c r="C195" s="19" t="s">
        <v>1374</v>
      </c>
      <c r="F195" s="28"/>
      <c r="G195" s="28"/>
    </row>
    <row r="196" hidden="1">
      <c r="A196" s="30" t="s">
        <v>1573</v>
      </c>
      <c r="B196" s="19" t="s">
        <v>1533</v>
      </c>
      <c r="C196" s="19" t="s">
        <v>1374</v>
      </c>
      <c r="F196" s="28"/>
      <c r="G196" s="28"/>
    </row>
    <row r="197" hidden="1">
      <c r="A197" s="30" t="s">
        <v>1574</v>
      </c>
      <c r="B197" s="19" t="s">
        <v>1533</v>
      </c>
      <c r="C197" s="19" t="s">
        <v>1374</v>
      </c>
      <c r="F197" s="28"/>
      <c r="G197" s="28"/>
    </row>
    <row r="198" hidden="1">
      <c r="A198" s="30" t="s">
        <v>1575</v>
      </c>
      <c r="B198" s="19" t="s">
        <v>1533</v>
      </c>
      <c r="C198" s="19" t="s">
        <v>1374</v>
      </c>
      <c r="F198" s="28"/>
      <c r="G198" s="28"/>
    </row>
    <row r="199" hidden="1">
      <c r="A199" s="30" t="s">
        <v>1576</v>
      </c>
      <c r="B199" s="19" t="s">
        <v>1533</v>
      </c>
      <c r="C199" s="19" t="s">
        <v>1374</v>
      </c>
      <c r="F199" s="28"/>
      <c r="G199" s="28"/>
    </row>
    <row r="200" hidden="1">
      <c r="A200" s="30" t="s">
        <v>1577</v>
      </c>
      <c r="B200" s="19" t="s">
        <v>1533</v>
      </c>
      <c r="C200" s="19" t="s">
        <v>1374</v>
      </c>
      <c r="F200" s="28"/>
      <c r="G200" s="28"/>
    </row>
    <row r="201" hidden="1">
      <c r="A201" s="30" t="s">
        <v>1578</v>
      </c>
      <c r="B201" s="19" t="s">
        <v>1533</v>
      </c>
      <c r="C201" s="19" t="s">
        <v>1374</v>
      </c>
      <c r="F201" s="28"/>
      <c r="G201" s="28"/>
    </row>
    <row r="202" hidden="1">
      <c r="A202" s="30" t="s">
        <v>1579</v>
      </c>
      <c r="B202" s="19" t="s">
        <v>1533</v>
      </c>
      <c r="C202" s="19" t="s">
        <v>1374</v>
      </c>
      <c r="F202" s="28"/>
      <c r="G202" s="28"/>
    </row>
    <row r="203" hidden="1">
      <c r="A203" s="30" t="s">
        <v>1580</v>
      </c>
      <c r="B203" s="19" t="s">
        <v>1533</v>
      </c>
      <c r="C203" s="19" t="s">
        <v>1374</v>
      </c>
      <c r="F203" s="28"/>
      <c r="G203" s="28"/>
    </row>
    <row r="204" hidden="1">
      <c r="A204" s="30" t="s">
        <v>1581</v>
      </c>
      <c r="B204" s="19" t="s">
        <v>1533</v>
      </c>
      <c r="C204" s="19" t="s">
        <v>1374</v>
      </c>
      <c r="F204" s="28"/>
      <c r="G204" s="28"/>
    </row>
    <row r="205" hidden="1">
      <c r="A205" s="30" t="s">
        <v>1582</v>
      </c>
      <c r="B205" s="19" t="s">
        <v>1533</v>
      </c>
      <c r="C205" s="19" t="s">
        <v>1374</v>
      </c>
      <c r="F205" s="28"/>
      <c r="G205" s="28"/>
    </row>
    <row r="206" hidden="1">
      <c r="A206" s="30" t="s">
        <v>1583</v>
      </c>
      <c r="B206" s="19" t="s">
        <v>1533</v>
      </c>
      <c r="C206" s="19" t="s">
        <v>1374</v>
      </c>
      <c r="F206" s="28"/>
      <c r="G206" s="28"/>
    </row>
    <row r="207" hidden="1">
      <c r="A207" s="30" t="s">
        <v>1584</v>
      </c>
      <c r="B207" s="19" t="s">
        <v>1533</v>
      </c>
      <c r="C207" s="19" t="s">
        <v>1374</v>
      </c>
      <c r="F207" s="28"/>
      <c r="G207" s="28"/>
    </row>
    <row r="208" hidden="1">
      <c r="A208" s="30" t="s">
        <v>1585</v>
      </c>
      <c r="B208" s="19" t="s">
        <v>1533</v>
      </c>
      <c r="C208" s="19" t="s">
        <v>1374</v>
      </c>
      <c r="F208" s="28"/>
      <c r="G208" s="28"/>
    </row>
    <row r="209" hidden="1">
      <c r="A209" s="30" t="s">
        <v>1586</v>
      </c>
      <c r="B209" s="19" t="s">
        <v>1533</v>
      </c>
      <c r="C209" s="19" t="s">
        <v>1374</v>
      </c>
      <c r="F209" s="28"/>
      <c r="G209" s="28"/>
    </row>
    <row r="210" hidden="1">
      <c r="A210" s="30" t="s">
        <v>1587</v>
      </c>
      <c r="B210" s="19" t="s">
        <v>1533</v>
      </c>
      <c r="C210" s="19" t="s">
        <v>1374</v>
      </c>
      <c r="F210" s="28"/>
      <c r="G210" s="28"/>
    </row>
    <row r="211" hidden="1">
      <c r="A211" s="30" t="s">
        <v>1588</v>
      </c>
      <c r="B211" s="19" t="s">
        <v>1533</v>
      </c>
      <c r="C211" s="19" t="s">
        <v>1374</v>
      </c>
      <c r="F211" s="28"/>
      <c r="G211" s="28"/>
    </row>
    <row r="212" hidden="1">
      <c r="A212" s="30" t="s">
        <v>1589</v>
      </c>
      <c r="B212" s="19" t="s">
        <v>1533</v>
      </c>
      <c r="C212" s="19" t="s">
        <v>1374</v>
      </c>
      <c r="F212" s="28"/>
      <c r="G212" s="28"/>
    </row>
    <row r="213" hidden="1">
      <c r="A213" s="30" t="s">
        <v>1590</v>
      </c>
      <c r="B213" s="19" t="s">
        <v>1533</v>
      </c>
      <c r="C213" s="19" t="s">
        <v>1374</v>
      </c>
      <c r="F213" s="28"/>
      <c r="G213" s="28"/>
    </row>
    <row r="214" hidden="1">
      <c r="A214" s="30" t="s">
        <v>1591</v>
      </c>
      <c r="B214" s="19" t="s">
        <v>1533</v>
      </c>
      <c r="C214" s="19" t="s">
        <v>1374</v>
      </c>
      <c r="F214" s="28"/>
      <c r="G214" s="28"/>
    </row>
    <row r="215" hidden="1">
      <c r="A215" s="30" t="s">
        <v>1592</v>
      </c>
      <c r="B215" s="19" t="s">
        <v>1533</v>
      </c>
      <c r="C215" s="19" t="s">
        <v>1374</v>
      </c>
      <c r="F215" s="28"/>
      <c r="G215" s="28"/>
    </row>
    <row r="216" hidden="1">
      <c r="A216" s="30" t="s">
        <v>1593</v>
      </c>
      <c r="B216" s="19" t="s">
        <v>1533</v>
      </c>
      <c r="C216" s="19" t="s">
        <v>1374</v>
      </c>
      <c r="F216" s="28"/>
      <c r="G216" s="28"/>
    </row>
    <row r="217" hidden="1">
      <c r="A217" s="30" t="s">
        <v>1594</v>
      </c>
      <c r="B217" s="19" t="s">
        <v>1533</v>
      </c>
      <c r="C217" s="19" t="s">
        <v>1374</v>
      </c>
      <c r="F217" s="28"/>
      <c r="G217" s="28"/>
    </row>
    <row r="218" hidden="1">
      <c r="A218" s="30" t="s">
        <v>1595</v>
      </c>
      <c r="B218" s="19" t="s">
        <v>1533</v>
      </c>
      <c r="C218" s="19" t="s">
        <v>1374</v>
      </c>
      <c r="F218" s="28"/>
      <c r="G218" s="28"/>
    </row>
    <row r="219" hidden="1">
      <c r="A219" s="30" t="s">
        <v>1596</v>
      </c>
      <c r="B219" s="19" t="s">
        <v>1533</v>
      </c>
      <c r="C219" s="19" t="s">
        <v>1374</v>
      </c>
      <c r="F219" s="28"/>
      <c r="G219" s="28"/>
    </row>
    <row r="220" hidden="1">
      <c r="A220" s="30" t="s">
        <v>1597</v>
      </c>
      <c r="B220" s="19" t="s">
        <v>1533</v>
      </c>
      <c r="C220" s="19" t="s">
        <v>1374</v>
      </c>
      <c r="F220" s="28"/>
      <c r="G220" s="28"/>
    </row>
    <row r="221" hidden="1">
      <c r="A221" s="30" t="s">
        <v>1598</v>
      </c>
      <c r="B221" s="19" t="s">
        <v>1533</v>
      </c>
      <c r="C221" s="19" t="s">
        <v>1374</v>
      </c>
      <c r="F221" s="28"/>
      <c r="G221" s="28"/>
    </row>
    <row r="222">
      <c r="A222" s="30" t="s">
        <v>1599</v>
      </c>
      <c r="B222" s="19" t="s">
        <v>1533</v>
      </c>
      <c r="C222" s="19" t="s">
        <v>1391</v>
      </c>
      <c r="D222" s="19" t="s">
        <v>1600</v>
      </c>
      <c r="F222" s="19" t="s">
        <v>1374</v>
      </c>
      <c r="G222" s="19" t="s">
        <v>1374</v>
      </c>
    </row>
    <row r="223" hidden="1">
      <c r="A223" s="30" t="s">
        <v>1601</v>
      </c>
      <c r="B223" s="19" t="s">
        <v>1533</v>
      </c>
      <c r="C223" s="19" t="s">
        <v>1374</v>
      </c>
    </row>
    <row r="224" hidden="1">
      <c r="A224" s="30" t="s">
        <v>1602</v>
      </c>
      <c r="B224" s="19" t="s">
        <v>1533</v>
      </c>
      <c r="C224" s="19" t="s">
        <v>1374</v>
      </c>
    </row>
    <row r="225" hidden="1">
      <c r="A225" s="30" t="s">
        <v>1603</v>
      </c>
      <c r="B225" s="19" t="s">
        <v>1533</v>
      </c>
      <c r="C225" s="19" t="s">
        <v>1374</v>
      </c>
    </row>
    <row r="226" hidden="1">
      <c r="A226" s="30" t="s">
        <v>1604</v>
      </c>
      <c r="B226" s="19" t="s">
        <v>1533</v>
      </c>
      <c r="C226" s="19" t="s">
        <v>1374</v>
      </c>
    </row>
    <row r="227" hidden="1">
      <c r="A227" s="30" t="s">
        <v>1605</v>
      </c>
      <c r="B227" s="19" t="s">
        <v>1533</v>
      </c>
      <c r="C227" s="19" t="s">
        <v>1374</v>
      </c>
    </row>
    <row r="228" hidden="1">
      <c r="A228" s="30" t="s">
        <v>1606</v>
      </c>
      <c r="B228" s="19" t="s">
        <v>1533</v>
      </c>
      <c r="C228" s="19" t="s">
        <v>1374</v>
      </c>
    </row>
    <row r="229" hidden="1">
      <c r="A229" s="30" t="s">
        <v>1607</v>
      </c>
      <c r="B229" s="19" t="s">
        <v>1533</v>
      </c>
      <c r="C229" s="19" t="s">
        <v>1374</v>
      </c>
    </row>
    <row r="230" hidden="1">
      <c r="A230" s="30" t="s">
        <v>1608</v>
      </c>
      <c r="B230" s="19" t="s">
        <v>1533</v>
      </c>
      <c r="C230" s="19" t="s">
        <v>1374</v>
      </c>
    </row>
    <row r="231" hidden="1">
      <c r="A231" s="30" t="s">
        <v>1609</v>
      </c>
      <c r="B231" s="19" t="s">
        <v>1533</v>
      </c>
      <c r="C231" s="19" t="s">
        <v>1374</v>
      </c>
    </row>
    <row r="232" hidden="1">
      <c r="A232" s="30" t="s">
        <v>1610</v>
      </c>
      <c r="B232" s="19" t="s">
        <v>1533</v>
      </c>
      <c r="C232" s="19" t="s">
        <v>1374</v>
      </c>
    </row>
    <row r="233" hidden="1">
      <c r="A233" s="30" t="s">
        <v>1611</v>
      </c>
      <c r="B233" s="19" t="s">
        <v>1533</v>
      </c>
      <c r="C233" s="19" t="s">
        <v>1374</v>
      </c>
    </row>
  </sheetData>
  <autoFilter ref="$C$1:$C$1000">
    <filterColumn colId="0">
      <filters blank="1">
        <filter val="Yes"/>
      </filters>
    </filterColumn>
  </autoFilter>
  <dataValidations>
    <dataValidation type="list" allowBlank="1" showErrorMessage="1" sqref="F18:G222 C2:C233">
      <formula1>"Yes,No"</formula1>
    </dataValidation>
  </dataValidations>
  <hyperlinks>
    <hyperlink r:id="rId1" location="heading1" ref="A2"/>
    <hyperlink r:id="rId2" location="heading2" ref="A3"/>
    <hyperlink r:id="rId3" location="heading3" ref="A4"/>
    <hyperlink r:id="rId4" location="heading4" ref="A5"/>
    <hyperlink r:id="rId5" location="heading5" ref="A6"/>
    <hyperlink r:id="rId6" location="heading6" ref="A7"/>
    <hyperlink r:id="rId7" location="heading7" ref="A8"/>
    <hyperlink r:id="rId8" location="heading8" ref="A9"/>
    <hyperlink r:id="rId9" location="heading9" ref="A10"/>
    <hyperlink r:id="rId10" location="heading10" ref="A11"/>
    <hyperlink r:id="rId11" location="heading11" ref="A12"/>
    <hyperlink r:id="rId12" location="heading12" ref="A13"/>
    <hyperlink r:id="rId13" location="heading13" ref="A14"/>
    <hyperlink r:id="rId14" location="heading14" ref="A15"/>
    <hyperlink r:id="rId15" location="heading15" ref="A16"/>
    <hyperlink r:id="rId16" location="heading16" ref="A17"/>
    <hyperlink r:id="rId17" location="heading17" ref="A18"/>
    <hyperlink r:id="rId18" location="heading18" ref="A19"/>
    <hyperlink r:id="rId19" location="heading19" ref="A20"/>
    <hyperlink r:id="rId20" location="heading20" ref="A21"/>
    <hyperlink r:id="rId21" location="heading21" ref="A22"/>
    <hyperlink r:id="rId22" location="heading22" ref="A23"/>
    <hyperlink r:id="rId23" location="heading23" ref="A24"/>
    <hyperlink r:id="rId24" location="heading24" ref="A25"/>
    <hyperlink r:id="rId25" location="heading25" ref="A26"/>
    <hyperlink r:id="rId26" location="heading26" ref="A27"/>
    <hyperlink r:id="rId27" location="heading27" ref="A28"/>
    <hyperlink r:id="rId28" location="heading28" ref="A29"/>
    <hyperlink r:id="rId29" location="heading29" ref="A30"/>
    <hyperlink r:id="rId30" location="heading30" ref="A31"/>
    <hyperlink r:id="rId31" location="heading31" ref="A32"/>
    <hyperlink r:id="rId32" location="heading32" ref="A33"/>
    <hyperlink r:id="rId33" location="heading33" ref="A34"/>
    <hyperlink r:id="rId34" location="heading34" ref="A35"/>
    <hyperlink r:id="rId35" location="heading35" ref="A36"/>
    <hyperlink r:id="rId36" location="heading36" ref="A37"/>
    <hyperlink r:id="rId37" location="heading37" ref="A38"/>
    <hyperlink r:id="rId38" location="heading38" ref="A39"/>
    <hyperlink r:id="rId39" location="heading39" ref="A40"/>
    <hyperlink r:id="rId40" location="heading40" ref="A41"/>
    <hyperlink r:id="rId41" location="heading41" ref="A42"/>
    <hyperlink r:id="rId42" location="heading42" ref="A43"/>
    <hyperlink r:id="rId43" location="heading43" ref="A44"/>
    <hyperlink r:id="rId44" location="heading44" ref="A45"/>
    <hyperlink r:id="rId45" location="heading45" ref="A46"/>
    <hyperlink r:id="rId46" location="heading46" ref="A47"/>
    <hyperlink r:id="rId47" location="heading47" ref="A48"/>
    <hyperlink r:id="rId48" location="heading48" ref="A49"/>
    <hyperlink r:id="rId49" location="heading49" ref="A50"/>
    <hyperlink r:id="rId50" location="heading50" ref="A51"/>
    <hyperlink r:id="rId51" location="heading51" ref="A52"/>
    <hyperlink r:id="rId52" location="heading52" ref="A53"/>
    <hyperlink r:id="rId53" location="heading53" ref="A54"/>
    <hyperlink r:id="rId54" location="heading54" ref="A55"/>
    <hyperlink r:id="rId55" location="heading55" ref="A56"/>
    <hyperlink r:id="rId56" location="heading56" ref="A57"/>
    <hyperlink r:id="rId57" location="heading57" ref="A58"/>
    <hyperlink r:id="rId58" location="heading58" ref="A59"/>
    <hyperlink r:id="rId59" location="heading59" ref="A60"/>
    <hyperlink r:id="rId60" location="heading60" ref="A61"/>
    <hyperlink r:id="rId61" location="heading61" ref="A62"/>
    <hyperlink r:id="rId62" location="heading62" ref="A63"/>
    <hyperlink r:id="rId63" location="heading63" ref="A64"/>
    <hyperlink r:id="rId64" location="heading64" ref="A65"/>
    <hyperlink r:id="rId65" location="heading65" ref="A66"/>
    <hyperlink r:id="rId66" location="heading66" ref="A67"/>
    <hyperlink r:id="rId67" location="heading67" ref="A68"/>
    <hyperlink r:id="rId68" location="heading68" ref="A69"/>
    <hyperlink r:id="rId69" location="heading69" ref="A70"/>
    <hyperlink r:id="rId70" location="heading70" ref="A71"/>
    <hyperlink r:id="rId71" location="heading71" ref="A72"/>
    <hyperlink r:id="rId72" location="heading72" ref="A73"/>
    <hyperlink r:id="rId73" location="heading73" ref="A74"/>
    <hyperlink r:id="rId74" location="heading74" ref="A75"/>
    <hyperlink r:id="rId75" location="heading75" ref="A76"/>
    <hyperlink r:id="rId76" location="heading76" ref="A77"/>
    <hyperlink r:id="rId77" location="heading77" ref="A78"/>
    <hyperlink r:id="rId78" location="heading78" ref="A79"/>
    <hyperlink r:id="rId79" location="heading79" ref="A80"/>
    <hyperlink r:id="rId80" location="heading80" ref="A81"/>
    <hyperlink r:id="rId81" location="heading81" ref="A82"/>
    <hyperlink r:id="rId82" location="heading82" ref="A83"/>
    <hyperlink r:id="rId83" location="heading83" ref="A84"/>
    <hyperlink r:id="rId84" location="heading84" ref="A85"/>
    <hyperlink r:id="rId85" location="heading85" ref="A86"/>
    <hyperlink r:id="rId86" location="heading86" ref="A87"/>
    <hyperlink r:id="rId87" location="heading87" ref="A88"/>
    <hyperlink r:id="rId88" location="heading88" ref="A89"/>
    <hyperlink r:id="rId89" location="heading89" ref="A90"/>
    <hyperlink r:id="rId90" location="heading90" ref="A91"/>
    <hyperlink r:id="rId91" location="heading91" ref="A92"/>
    <hyperlink r:id="rId92" location="heading92" ref="A93"/>
    <hyperlink r:id="rId93" location="heading93" ref="A94"/>
    <hyperlink r:id="rId94" location="heading94" ref="A95"/>
    <hyperlink r:id="rId95" location="heading95" ref="A96"/>
    <hyperlink r:id="rId96" location="heading96" ref="A97"/>
    <hyperlink r:id="rId97" location="heading97" ref="A98"/>
    <hyperlink r:id="rId98" location="heading98" ref="A99"/>
    <hyperlink r:id="rId99" location="heading99" ref="A100"/>
    <hyperlink r:id="rId100" location="heading100" ref="A101"/>
    <hyperlink r:id="rId101" location="heading101" ref="A102"/>
    <hyperlink r:id="rId102" location="heading102" ref="A103"/>
    <hyperlink r:id="rId103" location="heading103" ref="A104"/>
    <hyperlink r:id="rId104" location="heading104" ref="A105"/>
    <hyperlink r:id="rId105" location="heading105" ref="A106"/>
    <hyperlink r:id="rId106" location="heading106" ref="A107"/>
    <hyperlink r:id="rId107" location="heading107" ref="A108"/>
    <hyperlink r:id="rId108" location="heading108" ref="A109"/>
    <hyperlink r:id="rId109" location="heading109" ref="A110"/>
    <hyperlink r:id="rId110" location="heading110" ref="A111"/>
    <hyperlink r:id="rId111" location="heading111" ref="A112"/>
    <hyperlink r:id="rId112" location="heading112" ref="A113"/>
    <hyperlink r:id="rId113" location="heading113" ref="A114"/>
    <hyperlink r:id="rId114" location="heading114" ref="A115"/>
    <hyperlink r:id="rId115" location="heading115" ref="A116"/>
    <hyperlink r:id="rId116" location="heading116" ref="A117"/>
    <hyperlink r:id="rId117" location="heading117" ref="A118"/>
    <hyperlink r:id="rId118" location="heading118" ref="A119"/>
    <hyperlink r:id="rId119" location="heading119" ref="A120"/>
    <hyperlink r:id="rId120" location="heading120" ref="A121"/>
    <hyperlink r:id="rId121" location="heading121" ref="A122"/>
    <hyperlink r:id="rId122" location="heading122" ref="A123"/>
    <hyperlink r:id="rId123" location="heading123" ref="A124"/>
    <hyperlink r:id="rId124" location="heading124" ref="A125"/>
    <hyperlink r:id="rId125" location="heading125" ref="A126"/>
    <hyperlink r:id="rId126" location="heading126" ref="A127"/>
    <hyperlink r:id="rId127" location="heading127" ref="A128"/>
    <hyperlink r:id="rId128" location="heading128" ref="A129"/>
    <hyperlink r:id="rId129" location="heading129" ref="A130"/>
    <hyperlink r:id="rId130" location="heading130" ref="A131"/>
    <hyperlink r:id="rId131" location="heading131" ref="A132"/>
    <hyperlink r:id="rId132" location="heading132" ref="A133"/>
    <hyperlink r:id="rId133" location="heading133" ref="A134"/>
    <hyperlink r:id="rId134" location="heading134" ref="A135"/>
    <hyperlink r:id="rId135" location="heading135" ref="A136"/>
    <hyperlink r:id="rId136" location="heading136" ref="A137"/>
    <hyperlink r:id="rId137" location="heading137" ref="A138"/>
    <hyperlink r:id="rId138" location="heading138" ref="A139"/>
    <hyperlink r:id="rId139" location="heading139" ref="A140"/>
    <hyperlink r:id="rId140" location="heading140" ref="A141"/>
    <hyperlink r:id="rId141" location="heading141" ref="A142"/>
    <hyperlink r:id="rId142" location="heading142" ref="A143"/>
    <hyperlink r:id="rId143" location="heading143" ref="A144"/>
    <hyperlink r:id="rId144" location="heading144" ref="A145"/>
    <hyperlink r:id="rId145" location="heading145" ref="A146"/>
    <hyperlink r:id="rId146" location="heading146" ref="A147"/>
    <hyperlink r:id="rId147" location="heading147" ref="A148"/>
    <hyperlink r:id="rId148" location="heading148" ref="A149"/>
    <hyperlink r:id="rId149" location="heading149" ref="A150"/>
    <hyperlink r:id="rId150" location="heading150" ref="A151"/>
    <hyperlink r:id="rId151" location="heading151" ref="A152"/>
    <hyperlink r:id="rId152" location="heading152" ref="A153"/>
    <hyperlink r:id="rId153" location="heading153" ref="A154"/>
    <hyperlink r:id="rId154" location="heading154" ref="A155"/>
    <hyperlink r:id="rId155" location="heading155" ref="A156"/>
    <hyperlink r:id="rId156" location="heading156" ref="A157"/>
    <hyperlink r:id="rId157" location="heading157" ref="A158"/>
    <hyperlink r:id="rId158" location="heading158" ref="A159"/>
    <hyperlink r:id="rId159" location="heading159" ref="A160"/>
    <hyperlink r:id="rId160" location="heading160" ref="A161"/>
    <hyperlink r:id="rId161" location="heading161" ref="A162"/>
    <hyperlink r:id="rId162" location="heading162" ref="A163"/>
    <hyperlink r:id="rId163" location="heading163" ref="A164"/>
    <hyperlink r:id="rId164" location="heading164" ref="A165"/>
    <hyperlink r:id="rId165" location="heading165" ref="A166"/>
    <hyperlink r:id="rId166" location="heading166" ref="A167"/>
    <hyperlink r:id="rId167" location="heading167" ref="A168"/>
    <hyperlink r:id="rId168" location="heading168" ref="A169"/>
    <hyperlink r:id="rId169" location="heading169" ref="A170"/>
    <hyperlink r:id="rId170" location="heading170" ref="A171"/>
    <hyperlink r:id="rId171" location="heading171" ref="A172"/>
    <hyperlink r:id="rId172" location="heading172" ref="A173"/>
    <hyperlink r:id="rId173" location="heading173" ref="A174"/>
    <hyperlink r:id="rId174" location="heading174" ref="A175"/>
    <hyperlink r:id="rId175" location="heading175" ref="A176"/>
    <hyperlink r:id="rId176" location="heading176" ref="A177"/>
    <hyperlink r:id="rId177" location="heading177" ref="A178"/>
    <hyperlink r:id="rId178" location="heading178" ref="A179"/>
    <hyperlink r:id="rId179" location="heading179" ref="A180"/>
    <hyperlink r:id="rId180" location="heading180" ref="A181"/>
    <hyperlink r:id="rId181" location="heading181" ref="A182"/>
    <hyperlink r:id="rId182" location="heading182" ref="A183"/>
    <hyperlink r:id="rId183" location="heading183" ref="A184"/>
    <hyperlink r:id="rId184" location="heading184" ref="A185"/>
    <hyperlink r:id="rId185" location="heading185" ref="A186"/>
    <hyperlink r:id="rId186" location="heading186" ref="A187"/>
    <hyperlink r:id="rId187" location="heading187" ref="A188"/>
    <hyperlink r:id="rId188" location="heading188" ref="A189"/>
    <hyperlink r:id="rId189" location="heading189" ref="A190"/>
    <hyperlink r:id="rId190" location="heading190" ref="A191"/>
    <hyperlink r:id="rId191" location="heading191" ref="A192"/>
    <hyperlink r:id="rId192" location="heading192" ref="A193"/>
    <hyperlink r:id="rId193" location="heading193" ref="A194"/>
    <hyperlink r:id="rId194" location="heading194" ref="A195"/>
    <hyperlink r:id="rId195" location="heading195" ref="A196"/>
    <hyperlink r:id="rId196" location="heading196" ref="A197"/>
    <hyperlink r:id="rId197" location="heading197" ref="A198"/>
    <hyperlink r:id="rId198" location="heading198" ref="A199"/>
    <hyperlink r:id="rId199" location="heading199" ref="A200"/>
    <hyperlink r:id="rId200" location="heading200" ref="A201"/>
    <hyperlink r:id="rId201" location="heading201" ref="A202"/>
    <hyperlink r:id="rId202" location="heading202" ref="A203"/>
    <hyperlink r:id="rId203" location="heading203" ref="A204"/>
    <hyperlink r:id="rId204" location="heading204" ref="A205"/>
    <hyperlink r:id="rId205" location="heading205" ref="A206"/>
    <hyperlink r:id="rId206" location="heading206" ref="A207"/>
    <hyperlink r:id="rId207" location="heading207" ref="A208"/>
    <hyperlink r:id="rId208" location="heading208" ref="A209"/>
    <hyperlink r:id="rId209" location="heading209" ref="A210"/>
    <hyperlink r:id="rId210" location="heading210" ref="A211"/>
    <hyperlink r:id="rId211" location="heading211" ref="A212"/>
    <hyperlink r:id="rId212" location="heading212" ref="A213"/>
    <hyperlink r:id="rId213" location="heading213" ref="A214"/>
    <hyperlink r:id="rId214" location="heading214" ref="A215"/>
    <hyperlink r:id="rId215" location="heading215" ref="A216"/>
    <hyperlink r:id="rId216" location="heading216" ref="A217"/>
    <hyperlink r:id="rId217" location="heading217" ref="A218"/>
    <hyperlink r:id="rId218" location="heading218" ref="A219"/>
    <hyperlink r:id="rId219" location="heading219" ref="A220"/>
    <hyperlink r:id="rId220" location="heading220" ref="A221"/>
    <hyperlink r:id="rId221" location="heading221" ref="A222"/>
    <hyperlink r:id="rId222" location="heading222" ref="A223"/>
    <hyperlink r:id="rId223" location="heading223" ref="A224"/>
    <hyperlink r:id="rId224" location="heading224" ref="A225"/>
    <hyperlink r:id="rId225" location="heading225" ref="A226"/>
    <hyperlink r:id="rId226" location="heading226" ref="A227"/>
    <hyperlink r:id="rId227" location="heading227" ref="A228"/>
    <hyperlink r:id="rId228" location="heading228" ref="A229"/>
    <hyperlink r:id="rId229" location="heading229" ref="A230"/>
    <hyperlink r:id="rId230" location="heading230" ref="A231"/>
    <hyperlink r:id="rId231" location="heading231" ref="A232"/>
    <hyperlink r:id="rId232" location="heading232" ref="A233"/>
  </hyperlinks>
  <drawing r:id="rId23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2.25"/>
    <col customWidth="1" min="2" max="2" width="4.88"/>
  </cols>
  <sheetData>
    <row r="1">
      <c r="C1" s="19" t="s">
        <v>1612</v>
      </c>
      <c r="D1" s="19" t="s">
        <v>2</v>
      </c>
      <c r="E1" s="19" t="s">
        <v>1</v>
      </c>
      <c r="F1" s="19" t="s">
        <v>1613</v>
      </c>
      <c r="G1" s="19" t="s">
        <v>1614</v>
      </c>
      <c r="H1" s="19" t="s">
        <v>1615</v>
      </c>
      <c r="I1" s="19" t="s">
        <v>1616</v>
      </c>
      <c r="J1" s="19" t="s">
        <v>1617</v>
      </c>
      <c r="K1" s="19" t="s">
        <v>1618</v>
      </c>
    </row>
    <row r="2" hidden="1">
      <c r="A2" s="35" t="str">
        <f>'INCEXC A'!A2</f>
        <v>https://doi.org/10.1007/978-3-642-24322-6_15</v>
      </c>
      <c r="B2" s="35" t="str">
        <f>'INCEXC B'!A2</f>
        <v>https://doi.org/10.1007/978-3-642-24322-6_15</v>
      </c>
      <c r="C2" s="28" t="b">
        <f t="shared" ref="C2:C396" si="1">A2=B2</f>
        <v>1</v>
      </c>
      <c r="D2" s="28" t="str">
        <f>'INCEXC A'!B2</f>
        <v>10.1007/978-3-642-24322-6_15</v>
      </c>
      <c r="E2" s="28" t="str">
        <f>'INCEXC A'!C2</f>
        <v>The search for energy-efficient building blocks for the data center</v>
      </c>
      <c r="F2" s="28" t="str">
        <f>'INCEXC A'!D2</f>
        <v>Jonathan</v>
      </c>
      <c r="G2" s="28" t="str">
        <f>'INCEXC B'!D2</f>
        <v>Taylor</v>
      </c>
      <c r="H2" s="28" t="str">
        <f>'INCEXC A'!E2</f>
        <v>Exclude</v>
      </c>
      <c r="I2" s="28" t="str">
        <f>'INCEXC B'!E2</f>
        <v>Exclude</v>
      </c>
      <c r="J2" s="28" t="b">
        <f t="shared" ref="J2:J396" si="2">H2=I2</f>
        <v>1</v>
      </c>
      <c r="K2" s="28" t="b">
        <f t="shared" ref="K2:K396" si="3">AND(H2="Include",J2)</f>
        <v>0</v>
      </c>
    </row>
    <row r="3" hidden="1">
      <c r="A3" s="35" t="str">
        <f>'INCEXC A'!A3</f>
        <v>https://doi.org/10.1007/978-3-642-24322-6_16</v>
      </c>
      <c r="B3" s="35" t="str">
        <f>'INCEXC B'!A3</f>
        <v>https://doi.org/10.1007/978-3-642-24322-6_16</v>
      </c>
      <c r="C3" s="28" t="b">
        <f t="shared" si="1"/>
        <v>1</v>
      </c>
      <c r="D3" s="28" t="str">
        <f>'INCEXC A'!B3</f>
        <v>10.1007/978-3-642-24322-6_16</v>
      </c>
      <c r="E3" s="28" t="str">
        <f>'INCEXC A'!C3</f>
        <v>KnightShift: shifting the I/O burden in datacenters to management processor for energy efficiency</v>
      </c>
      <c r="F3" s="28" t="str">
        <f>'INCEXC A'!D3</f>
        <v>Marilyn</v>
      </c>
      <c r="G3" s="28" t="str">
        <f>'INCEXC B'!D3</f>
        <v>Taylor</v>
      </c>
      <c r="H3" s="28" t="str">
        <f>'INCEXC A'!E3</f>
        <v>Exclude</v>
      </c>
      <c r="I3" s="28" t="str">
        <f>'INCEXC B'!E3</f>
        <v>Exclude</v>
      </c>
      <c r="J3" s="28" t="b">
        <f t="shared" si="2"/>
        <v>1</v>
      </c>
      <c r="K3" s="28" t="b">
        <f t="shared" si="3"/>
        <v>0</v>
      </c>
      <c r="L3" s="28" t="str">
        <f>'INCEXC A'!L3</f>
        <v/>
      </c>
      <c r="M3" s="28" t="str">
        <f>'INCEXC B'!L3</f>
        <v/>
      </c>
      <c r="O3" s="28" t="str">
        <f>'INCEXC A'!M3</f>
        <v/>
      </c>
      <c r="P3" s="28" t="str">
        <f>'INCEXC A'!N3</f>
        <v/>
      </c>
      <c r="Q3" s="28" t="str">
        <f>'INCEXC A'!O3</f>
        <v/>
      </c>
      <c r="R3" s="28" t="str">
        <f>'INCEXC B'!O3</f>
        <v/>
      </c>
      <c r="S3" s="28" t="str">
        <f>'INCEXC A'!P3</f>
        <v/>
      </c>
      <c r="T3" s="28" t="str">
        <f>'INCEXC B'!P3</f>
        <v/>
      </c>
      <c r="U3" s="28" t="b">
        <f t="shared" ref="U3:U396" si="4">S3=T3</f>
        <v>1</v>
      </c>
      <c r="V3" s="28" t="b">
        <f t="shared" ref="V3:V396" si="5">AND(S3="Include",U3)</f>
        <v>0</v>
      </c>
    </row>
    <row r="4" hidden="1">
      <c r="A4" s="35" t="str">
        <f>'INCEXC A'!A4</f>
        <v>https://doi.org/10.1007/978-3-642-24322-6_19</v>
      </c>
      <c r="B4" s="35" t="str">
        <f>'INCEXC B'!A4</f>
        <v>https://doi.org/10.1007/978-3-642-24322-6_19</v>
      </c>
      <c r="C4" s="28" t="b">
        <f t="shared" si="1"/>
        <v>1</v>
      </c>
      <c r="D4" s="28" t="str">
        <f>'INCEXC A'!B4</f>
        <v>10.1007/978-3-642-24322-6_19</v>
      </c>
      <c r="E4" s="28" t="str">
        <f>'INCEXC A'!C4</f>
        <v>Achieving power-efficiency in clusters without distributed file system complexity</v>
      </c>
      <c r="F4" s="28" t="str">
        <f>'INCEXC A'!D4</f>
        <v>Marilyn</v>
      </c>
      <c r="G4" s="28" t="str">
        <f>'INCEXC B'!D4</f>
        <v>Taylor</v>
      </c>
      <c r="H4" s="28" t="str">
        <f>'INCEXC A'!E4</f>
        <v>Exclude</v>
      </c>
      <c r="I4" s="28" t="str">
        <f>'INCEXC B'!E4</f>
        <v>Exclude</v>
      </c>
      <c r="J4" s="28" t="b">
        <f t="shared" si="2"/>
        <v>1</v>
      </c>
      <c r="K4" s="28" t="b">
        <f t="shared" si="3"/>
        <v>0</v>
      </c>
      <c r="L4" s="28" t="str">
        <f>'INCEXC A'!L4</f>
        <v/>
      </c>
      <c r="M4" s="28" t="str">
        <f>'INCEXC B'!L4</f>
        <v/>
      </c>
      <c r="O4" s="28" t="str">
        <f>'INCEXC A'!M4</f>
        <v/>
      </c>
      <c r="P4" s="28" t="str">
        <f>'INCEXC A'!N4</f>
        <v/>
      </c>
      <c r="Q4" s="28" t="str">
        <f>'INCEXC A'!O4</f>
        <v/>
      </c>
      <c r="R4" s="28" t="str">
        <f>'INCEXC B'!O4</f>
        <v/>
      </c>
      <c r="S4" s="28" t="str">
        <f>'INCEXC A'!P4</f>
        <v/>
      </c>
      <c r="T4" s="28" t="str">
        <f>'INCEXC B'!P4</f>
        <v/>
      </c>
      <c r="U4" s="28" t="b">
        <f t="shared" si="4"/>
        <v>1</v>
      </c>
      <c r="V4" s="28" t="b">
        <f t="shared" si="5"/>
        <v>0</v>
      </c>
    </row>
    <row r="5" hidden="1">
      <c r="A5" s="35" t="str">
        <f>'INCEXC A'!A5</f>
        <v>https://ieeexplore.ieee.org/stamp/stamp.jsp?arnumber=8372225</v>
      </c>
      <c r="B5" s="35" t="str">
        <f>'INCEXC B'!A5</f>
        <v>https://ieeexplore.ieee.org/stamp/stamp.jsp?arnumber=8372225</v>
      </c>
      <c r="C5" s="28" t="b">
        <f t="shared" si="1"/>
        <v>1</v>
      </c>
      <c r="D5" s="28" t="str">
        <f>'INCEXC A'!B5</f>
        <v>10.1049/cp.2016.1548</v>
      </c>
      <c r="E5" s="28" t="str">
        <f>'INCEXC A'!C5</f>
        <v>A SOFC based autonomous microgrid performance analysis using adaptive PI and PI controller</v>
      </c>
      <c r="F5" s="28" t="str">
        <f>'INCEXC A'!D5</f>
        <v>Marilyn</v>
      </c>
      <c r="G5" s="28" t="str">
        <f>'INCEXC B'!D5</f>
        <v>Danni</v>
      </c>
      <c r="H5" s="28" t="str">
        <f>'INCEXC A'!E5</f>
        <v>Exclude</v>
      </c>
      <c r="I5" s="28" t="str">
        <f>'INCEXC B'!E5</f>
        <v>Exclude</v>
      </c>
      <c r="J5" s="28" t="b">
        <f t="shared" si="2"/>
        <v>1</v>
      </c>
      <c r="K5" s="28" t="b">
        <f t="shared" si="3"/>
        <v>0</v>
      </c>
      <c r="L5" s="28" t="str">
        <f>'INCEXC A'!L5</f>
        <v/>
      </c>
      <c r="M5" s="28" t="str">
        <f>'INCEXC B'!L5</f>
        <v/>
      </c>
      <c r="O5" s="28" t="str">
        <f>'INCEXC A'!M5</f>
        <v/>
      </c>
      <c r="P5" s="28" t="str">
        <f>'INCEXC A'!N5</f>
        <v/>
      </c>
      <c r="Q5" s="28" t="str">
        <f>'INCEXC A'!O5</f>
        <v/>
      </c>
      <c r="R5" s="28" t="str">
        <f>'INCEXC B'!O5</f>
        <v/>
      </c>
      <c r="S5" s="28" t="str">
        <f>'INCEXC A'!P5</f>
        <v/>
      </c>
      <c r="T5" s="28" t="str">
        <f>'INCEXC B'!P5</f>
        <v/>
      </c>
      <c r="U5" s="28" t="b">
        <f t="shared" si="4"/>
        <v>1</v>
      </c>
      <c r="V5" s="28" t="b">
        <f t="shared" si="5"/>
        <v>0</v>
      </c>
    </row>
    <row r="6" hidden="1">
      <c r="A6" s="35" t="str">
        <f>'INCEXC A'!A6</f>
        <v>https://ieeexplore.ieee.org/stamp/stamp.jsp?arnumber=735370</v>
      </c>
      <c r="B6" s="35" t="str">
        <f>'INCEXC B'!A6</f>
        <v>https://ieeexplore.ieee.org/stamp/stamp.jsp?arnumber=735370</v>
      </c>
      <c r="C6" s="28" t="b">
        <f t="shared" si="1"/>
        <v>1</v>
      </c>
      <c r="D6" s="28" t="str">
        <f>'INCEXC A'!B6</f>
        <v>10.1109/47.735370</v>
      </c>
      <c r="E6" s="28" t="str">
        <f>'INCEXC A'!C6</f>
        <v>The letter of submission: avoiding the promotional genre</v>
      </c>
      <c r="F6" s="28" t="str">
        <f>'INCEXC A'!D6</f>
        <v>Jonathan</v>
      </c>
      <c r="G6" s="28" t="str">
        <f>'INCEXC B'!D6</f>
        <v>Ceren</v>
      </c>
      <c r="H6" s="28" t="str">
        <f>'INCEXC A'!E6</f>
        <v>Exclude</v>
      </c>
      <c r="I6" s="28" t="str">
        <f>'INCEXC B'!E6</f>
        <v>Exclude</v>
      </c>
      <c r="J6" s="28" t="b">
        <f t="shared" si="2"/>
        <v>1</v>
      </c>
      <c r="K6" s="28" t="b">
        <f t="shared" si="3"/>
        <v>0</v>
      </c>
      <c r="L6" s="28" t="str">
        <f>'INCEXC A'!L6</f>
        <v/>
      </c>
      <c r="M6" s="28" t="str">
        <f>'INCEXC B'!L6</f>
        <v/>
      </c>
      <c r="O6" s="28" t="str">
        <f>'INCEXC A'!M6</f>
        <v/>
      </c>
      <c r="P6" s="28" t="str">
        <f>'INCEXC A'!N6</f>
        <v/>
      </c>
      <c r="Q6" s="28" t="str">
        <f>'INCEXC A'!O6</f>
        <v/>
      </c>
      <c r="R6" s="28" t="str">
        <f>'INCEXC B'!O6</f>
        <v/>
      </c>
      <c r="S6" s="28" t="str">
        <f>'INCEXC A'!P6</f>
        <v/>
      </c>
      <c r="T6" s="28" t="str">
        <f>'INCEXC B'!P6</f>
        <v/>
      </c>
      <c r="U6" s="28" t="b">
        <f t="shared" si="4"/>
        <v>1</v>
      </c>
      <c r="V6" s="28" t="b">
        <f t="shared" si="5"/>
        <v>0</v>
      </c>
    </row>
    <row r="7">
      <c r="A7" s="35" t="str">
        <f>'INCEXC A'!A7</f>
        <v>https://ieeexplore.ieee.org/stamp/stamp.jsp?arnumber=11467909</v>
      </c>
      <c r="B7" s="35" t="str">
        <f>'INCEXC B'!A7</f>
        <v>https://ieeexplore.ieee.org/stamp/stamp.jsp?arnumber=11467909</v>
      </c>
      <c r="C7" s="28" t="b">
        <f t="shared" si="1"/>
        <v>1</v>
      </c>
      <c r="D7" s="28" t="str">
        <f>'INCEXC A'!B7</f>
        <v>10.1109/ACDSA67686.2026.11467909</v>
      </c>
      <c r="E7" s="28" t="str">
        <f>'INCEXC A'!C7</f>
        <v>Evaluating LLM-Induced Investment Biases via Persona Design and Prompt Analysis: A Quantitative Study of Post-Retirement Asset Depletion Risk Through Social Simulation</v>
      </c>
      <c r="F7" s="28" t="str">
        <f>'INCEXC A'!D7</f>
        <v>Marilyn</v>
      </c>
      <c r="G7" s="28" t="str">
        <f>'INCEXC B'!D7</f>
        <v>Ceren</v>
      </c>
      <c r="H7" s="28" t="str">
        <f>'INCEXC A'!E7</f>
        <v>Include</v>
      </c>
      <c r="I7" s="28" t="str">
        <f>'INCEXC B'!E7</f>
        <v>Include</v>
      </c>
      <c r="J7" s="28" t="b">
        <f t="shared" si="2"/>
        <v>1</v>
      </c>
      <c r="K7" s="28" t="b">
        <f t="shared" si="3"/>
        <v>1</v>
      </c>
      <c r="L7" s="28" t="str">
        <f>'INCEXC A'!L7</f>
        <v/>
      </c>
      <c r="M7" s="28" t="str">
        <f>'INCEXC B'!L7</f>
        <v/>
      </c>
      <c r="O7" s="28" t="str">
        <f>'INCEXC A'!M7</f>
        <v/>
      </c>
      <c r="P7" s="28" t="str">
        <f>'INCEXC A'!N7</f>
        <v/>
      </c>
      <c r="Q7" s="28" t="str">
        <f>'INCEXC A'!O7</f>
        <v/>
      </c>
      <c r="R7" s="28" t="str">
        <f>'INCEXC B'!O7</f>
        <v/>
      </c>
      <c r="S7" s="28" t="str">
        <f>'INCEXC A'!P7</f>
        <v/>
      </c>
      <c r="T7" s="28" t="str">
        <f>'INCEXC B'!P7</f>
        <v/>
      </c>
      <c r="U7" s="28" t="b">
        <f t="shared" si="4"/>
        <v>1</v>
      </c>
      <c r="V7" s="28" t="b">
        <f t="shared" si="5"/>
        <v>0</v>
      </c>
    </row>
    <row r="8" hidden="1">
      <c r="A8" s="35" t="str">
        <f>'INCEXC A'!A8</f>
        <v>https://ieeexplore.ieee.org/stamp/stamp.jsp?arnumber=10771051</v>
      </c>
      <c r="B8" s="35" t="str">
        <f>'INCEXC B'!A8</f>
        <v>https://ieeexplore.ieee.org/stamp/stamp.jsp?arnumber=10771051</v>
      </c>
      <c r="C8" s="28" t="b">
        <f t="shared" si="1"/>
        <v>1</v>
      </c>
      <c r="D8" s="28" t="str">
        <f>'INCEXC A'!B8</f>
        <v>10.1109/AIxSET62544.2024.00047</v>
      </c>
      <c r="E8" s="28" t="str">
        <f>'INCEXC A'!C8</f>
        <v>Towards Transparent Artificial Intelligence: Exploring Modern Approaches and Future Directions</v>
      </c>
      <c r="F8" s="28" t="str">
        <f>'INCEXC A'!D8</f>
        <v>Kaiser</v>
      </c>
      <c r="G8" s="28" t="str">
        <f>'INCEXC B'!D8</f>
        <v>Danni</v>
      </c>
      <c r="H8" s="28" t="str">
        <f>'INCEXC A'!E8</f>
        <v>Exclude</v>
      </c>
      <c r="I8" s="28" t="str">
        <f>'INCEXC B'!E8</f>
        <v>Exclude</v>
      </c>
      <c r="J8" s="28" t="b">
        <f t="shared" si="2"/>
        <v>1</v>
      </c>
      <c r="K8" s="28" t="b">
        <f t="shared" si="3"/>
        <v>0</v>
      </c>
      <c r="L8" s="28" t="str">
        <f>'INCEXC A'!L8</f>
        <v/>
      </c>
      <c r="M8" s="28" t="str">
        <f>'INCEXC B'!L8</f>
        <v/>
      </c>
      <c r="O8" s="28" t="str">
        <f>'INCEXC A'!M8</f>
        <v/>
      </c>
      <c r="P8" s="28" t="str">
        <f>'INCEXC A'!N8</f>
        <v/>
      </c>
      <c r="Q8" s="28" t="str">
        <f>'INCEXC A'!O8</f>
        <v/>
      </c>
      <c r="R8" s="28" t="str">
        <f>'INCEXC B'!O8</f>
        <v/>
      </c>
      <c r="S8" s="28" t="str">
        <f>'INCEXC A'!P8</f>
        <v/>
      </c>
      <c r="T8" s="28" t="str">
        <f>'INCEXC B'!P8</f>
        <v/>
      </c>
      <c r="U8" s="28" t="b">
        <f t="shared" si="4"/>
        <v>1</v>
      </c>
      <c r="V8" s="28" t="b">
        <f t="shared" si="5"/>
        <v>0</v>
      </c>
    </row>
    <row r="9">
      <c r="A9" s="35" t="str">
        <f>'INCEXC A'!A9</f>
        <v>https://ieeexplore.ieee.org/stamp/stamp.jsp?arnumber=11449950</v>
      </c>
      <c r="B9" s="35" t="str">
        <f>'INCEXC B'!A9</f>
        <v>https://ieeexplore.ieee.org/stamp/stamp.jsp?arnumber=11449950</v>
      </c>
      <c r="C9" s="28" t="b">
        <f t="shared" si="1"/>
        <v>1</v>
      </c>
      <c r="D9" s="28" t="str">
        <f>'INCEXC A'!B9</f>
        <v>10.1109/AIxVR67263.2026.00026</v>
      </c>
      <c r="E9" s="28" t="str">
        <f>'INCEXC A'!C9</f>
        <v>Too Positive to Be True? Sentiment Analysis of AI-Guided vs. Human-Led Debriefings in Virtual Reality Counseling Training</v>
      </c>
      <c r="F9" s="28" t="str">
        <f>'INCEXC A'!D9</f>
        <v>Kaiser</v>
      </c>
      <c r="G9" s="28" t="str">
        <f>'INCEXC B'!D9</f>
        <v>Taylor</v>
      </c>
      <c r="H9" s="28" t="str">
        <f>'INCEXC A'!E9</f>
        <v>Include</v>
      </c>
      <c r="I9" s="28" t="str">
        <f>'INCEXC B'!E9</f>
        <v>Include</v>
      </c>
      <c r="J9" s="28" t="b">
        <f t="shared" si="2"/>
        <v>1</v>
      </c>
      <c r="K9" s="28" t="b">
        <f t="shared" si="3"/>
        <v>1</v>
      </c>
      <c r="L9" s="28" t="str">
        <f>'INCEXC A'!L9</f>
        <v/>
      </c>
      <c r="M9" s="28" t="str">
        <f>'INCEXC B'!L9</f>
        <v/>
      </c>
      <c r="O9" s="28" t="str">
        <f>'INCEXC A'!M9</f>
        <v/>
      </c>
      <c r="P9" s="28" t="str">
        <f>'INCEXC A'!N9</f>
        <v/>
      </c>
      <c r="Q9" s="28" t="str">
        <f>'INCEXC A'!O9</f>
        <v/>
      </c>
      <c r="R9" s="28" t="str">
        <f>'INCEXC B'!O9</f>
        <v/>
      </c>
      <c r="S9" s="28" t="str">
        <f>'INCEXC A'!P9</f>
        <v/>
      </c>
      <c r="T9" s="28" t="str">
        <f>'INCEXC B'!P9</f>
        <v/>
      </c>
      <c r="U9" s="28" t="b">
        <f t="shared" si="4"/>
        <v>1</v>
      </c>
      <c r="V9" s="28" t="b">
        <f t="shared" si="5"/>
        <v>0</v>
      </c>
    </row>
    <row r="10" hidden="1">
      <c r="A10" s="35" t="str">
        <f>'INCEXC A'!A10</f>
        <v>https://ieeexplore.ieee.org/stamp/stamp.jsp?arnumber=11334577</v>
      </c>
      <c r="B10" s="35" t="str">
        <f>'INCEXC B'!A10</f>
        <v>https://ieeexplore.ieee.org/stamp/stamp.jsp?arnumber=11334577</v>
      </c>
      <c r="C10" s="28" t="b">
        <f t="shared" si="1"/>
        <v>1</v>
      </c>
      <c r="D10" s="28" t="str">
        <f>'INCEXC A'!B10</f>
        <v>10.1109/ASE63991.2025.00043</v>
      </c>
      <c r="E10" s="28" t="str">
        <f>'INCEXC A'!C10</f>
        <v>Why AI Agents Still Need You: Findings from Developer-Agent Collaborations in the Wild</v>
      </c>
      <c r="F10" s="28" t="str">
        <f>'INCEXC A'!D10</f>
        <v>Kaiser</v>
      </c>
      <c r="G10" s="28" t="str">
        <f>'INCEXC B'!D10</f>
        <v>Taylor</v>
      </c>
      <c r="H10" s="28" t="str">
        <f>'INCEXC A'!E10</f>
        <v>Exclude</v>
      </c>
      <c r="I10" s="28" t="str">
        <f>'INCEXC B'!E10</f>
        <v>Exclude</v>
      </c>
      <c r="J10" s="28" t="b">
        <f t="shared" si="2"/>
        <v>1</v>
      </c>
      <c r="K10" s="28" t="b">
        <f t="shared" si="3"/>
        <v>0</v>
      </c>
      <c r="L10" s="28" t="str">
        <f>'INCEXC A'!L10</f>
        <v/>
      </c>
      <c r="M10" s="28" t="str">
        <f>'INCEXC B'!L10</f>
        <v/>
      </c>
      <c r="O10" s="28" t="str">
        <f>'INCEXC A'!M10</f>
        <v/>
      </c>
      <c r="P10" s="28" t="str">
        <f>'INCEXC A'!N10</f>
        <v/>
      </c>
      <c r="Q10" s="28" t="str">
        <f>'INCEXC A'!O10</f>
        <v/>
      </c>
      <c r="R10" s="28" t="str">
        <f>'INCEXC B'!O10</f>
        <v/>
      </c>
      <c r="S10" s="28" t="str">
        <f>'INCEXC A'!P10</f>
        <v/>
      </c>
      <c r="T10" s="28" t="str">
        <f>'INCEXC B'!P10</f>
        <v/>
      </c>
      <c r="U10" s="28" t="b">
        <f t="shared" si="4"/>
        <v>1</v>
      </c>
      <c r="V10" s="28" t="b">
        <f t="shared" si="5"/>
        <v>0</v>
      </c>
    </row>
    <row r="11" hidden="1">
      <c r="A11" s="35" t="str">
        <f>'INCEXC A'!A11</f>
        <v>https://ieeexplore.ieee.org/stamp/stamp.jsp?arnumber=9381292</v>
      </c>
      <c r="B11" s="35" t="str">
        <f>'INCEXC B'!A11</f>
        <v>https://doi.org/10.1109/ASONAM49781.2020.9381292</v>
      </c>
      <c r="C11" s="28" t="b">
        <f t="shared" si="1"/>
        <v>0</v>
      </c>
      <c r="D11" s="28" t="str">
        <f>'INCEXC A'!B11</f>
        <v>10.1109/ASONAM49781.2020.9381292</v>
      </c>
      <c r="E11" s="28" t="str">
        <f>'INCEXC A'!C11</f>
        <v>Aspect Based Abusive Sentiment Detection in Nepali Social Media Texts</v>
      </c>
      <c r="F11" s="28" t="str">
        <f>'INCEXC A'!D11</f>
        <v>Jonathan</v>
      </c>
      <c r="G11" s="28" t="str">
        <f>'INCEXC B'!D11</f>
        <v>Danni</v>
      </c>
      <c r="H11" s="28" t="str">
        <f>'INCEXC A'!E11</f>
        <v>Exclude</v>
      </c>
      <c r="I11" s="28" t="str">
        <f>'INCEXC B'!E11</f>
        <v>Exclude</v>
      </c>
      <c r="J11" s="28" t="b">
        <f t="shared" si="2"/>
        <v>1</v>
      </c>
      <c r="K11" s="28" t="b">
        <f t="shared" si="3"/>
        <v>0</v>
      </c>
      <c r="L11" s="28" t="str">
        <f>'INCEXC A'!L11</f>
        <v/>
      </c>
      <c r="M11" s="28" t="str">
        <f>'INCEXC B'!L11</f>
        <v/>
      </c>
      <c r="O11" s="28" t="str">
        <f>'INCEXC A'!M11</f>
        <v/>
      </c>
      <c r="P11" s="28" t="str">
        <f>'INCEXC A'!N11</f>
        <v/>
      </c>
      <c r="Q11" s="28" t="str">
        <f>'INCEXC A'!O11</f>
        <v/>
      </c>
      <c r="R11" s="28" t="str">
        <f>'INCEXC B'!O11</f>
        <v/>
      </c>
      <c r="S11" s="28" t="str">
        <f>'INCEXC A'!P11</f>
        <v/>
      </c>
      <c r="T11" s="28" t="str">
        <f>'INCEXC B'!P11</f>
        <v/>
      </c>
      <c r="U11" s="28" t="b">
        <f t="shared" si="4"/>
        <v>1</v>
      </c>
      <c r="V11" s="28" t="b">
        <f t="shared" si="5"/>
        <v>0</v>
      </c>
    </row>
    <row r="12" hidden="1">
      <c r="A12" s="35" t="str">
        <f>'INCEXC A'!A12</f>
        <v>https://doi.org/10.1109/ASONAM49781.2020.9381292</v>
      </c>
      <c r="B12" s="35" t="str">
        <f>'INCEXC B'!A12</f>
        <v>https://ieeexplore.ieee.org/stamp/stamp.jsp?arnumber=9381292</v>
      </c>
      <c r="C12" s="28" t="b">
        <f t="shared" si="1"/>
        <v>0</v>
      </c>
      <c r="D12" s="28" t="str">
        <f>'INCEXC A'!B12</f>
        <v>10.1109/asonam49781.2020.9381292</v>
      </c>
      <c r="E12" s="28" t="str">
        <f>'INCEXC A'!C12</f>
        <v>Aspect based abusive sentiment detection in nepali social media texts</v>
      </c>
      <c r="F12" s="28" t="str">
        <f>'INCEXC A'!D12</f>
        <v>Marilyn</v>
      </c>
      <c r="G12" s="28" t="str">
        <f>'INCEXC B'!D12</f>
        <v>Taylor</v>
      </c>
      <c r="H12" s="28" t="str">
        <f>'INCEXC A'!E12</f>
        <v>Exclude</v>
      </c>
      <c r="I12" s="28" t="str">
        <f>'INCEXC B'!E12</f>
        <v>Exclude</v>
      </c>
      <c r="J12" s="28" t="b">
        <f t="shared" si="2"/>
        <v>1</v>
      </c>
      <c r="K12" s="28" t="b">
        <f t="shared" si="3"/>
        <v>0</v>
      </c>
      <c r="L12" s="28" t="str">
        <f>'INCEXC A'!L12</f>
        <v/>
      </c>
      <c r="M12" s="28" t="str">
        <f>'INCEXC B'!L12</f>
        <v/>
      </c>
      <c r="O12" s="28" t="str">
        <f>'INCEXC A'!M12</f>
        <v/>
      </c>
      <c r="P12" s="28" t="str">
        <f>'INCEXC A'!N12</f>
        <v/>
      </c>
      <c r="Q12" s="28" t="str">
        <f>'INCEXC A'!O12</f>
        <v/>
      </c>
      <c r="R12" s="28" t="str">
        <f>'INCEXC B'!O12</f>
        <v/>
      </c>
      <c r="S12" s="28" t="str">
        <f>'INCEXC A'!P12</f>
        <v/>
      </c>
      <c r="T12" s="28" t="str">
        <f>'INCEXC B'!P12</f>
        <v/>
      </c>
      <c r="U12" s="28" t="b">
        <f t="shared" si="4"/>
        <v>1</v>
      </c>
      <c r="V12" s="28" t="b">
        <f t="shared" si="5"/>
        <v>0</v>
      </c>
    </row>
    <row r="13">
      <c r="A13" s="35" t="str">
        <f>'INCEXC A'!A13</f>
        <v>https://ieeexplore.ieee.org/stamp/stamp.jsp?arnumber=10825538</v>
      </c>
      <c r="B13" s="35" t="str">
        <f>'INCEXC B'!A13</f>
        <v>https://ieeexplore.ieee.org/stamp/stamp.jsp?arnumber=10825538</v>
      </c>
      <c r="C13" s="28" t="b">
        <f t="shared" si="1"/>
        <v>1</v>
      </c>
      <c r="D13" s="28" t="str">
        <f>'INCEXC A'!B13</f>
        <v>10.1109/BigData62323.2024.10825538</v>
      </c>
      <c r="E13" s="28" t="str">
        <f>'INCEXC A'!C13</f>
        <v>Mitigating Sycophancy in Large Language Models via Direct Preference Optimization</v>
      </c>
      <c r="F13" s="28" t="str">
        <f>'INCEXC A'!D13</f>
        <v>Kaiser</v>
      </c>
      <c r="G13" s="28" t="str">
        <f>'INCEXC B'!D13</f>
        <v>Taylor</v>
      </c>
      <c r="H13" s="28" t="str">
        <f>'INCEXC A'!E13</f>
        <v>Include</v>
      </c>
      <c r="I13" s="28" t="str">
        <f>'INCEXC B'!E13</f>
        <v>Include</v>
      </c>
      <c r="J13" s="28" t="b">
        <f t="shared" si="2"/>
        <v>1</v>
      </c>
      <c r="K13" s="28" t="b">
        <f t="shared" si="3"/>
        <v>1</v>
      </c>
      <c r="L13" s="28" t="str">
        <f>'INCEXC A'!L13</f>
        <v/>
      </c>
      <c r="M13" s="28" t="str">
        <f>'INCEXC B'!L13</f>
        <v/>
      </c>
      <c r="O13" s="28" t="str">
        <f>'INCEXC A'!M13</f>
        <v/>
      </c>
      <c r="P13" s="28" t="str">
        <f>'INCEXC A'!N13</f>
        <v/>
      </c>
      <c r="Q13" s="28" t="str">
        <f>'INCEXC A'!O13</f>
        <v/>
      </c>
      <c r="R13" s="28" t="str">
        <f>'INCEXC B'!O13</f>
        <v/>
      </c>
      <c r="S13" s="28" t="str">
        <f>'INCEXC A'!P13</f>
        <v/>
      </c>
      <c r="T13" s="28" t="str">
        <f>'INCEXC B'!P13</f>
        <v/>
      </c>
      <c r="U13" s="28" t="b">
        <f t="shared" si="4"/>
        <v>1</v>
      </c>
      <c r="V13" s="28" t="b">
        <f t="shared" si="5"/>
        <v>0</v>
      </c>
    </row>
    <row r="14" hidden="1">
      <c r="A14" s="35" t="str">
        <f>'INCEXC A'!A14</f>
        <v>https://ieeexplore.ieee.org/stamp/stamp.jsp?arnumber=11400739</v>
      </c>
      <c r="B14" s="35" t="str">
        <f>'INCEXC B'!A14</f>
        <v>https://ieeexplore.ieee.org/stamp/stamp.jsp?arnumber=11400739</v>
      </c>
      <c r="C14" s="28" t="b">
        <f t="shared" si="1"/>
        <v>1</v>
      </c>
      <c r="D14" s="28" t="str">
        <f>'INCEXC A'!B14</f>
        <v>10.1109/BigData66926.2025.11400739</v>
      </c>
      <c r="E14" s="28" t="str">
        <f>'INCEXC A'!C14</f>
        <v>Towards Uncertainty-Aware Low-Bit Quantized LLMs for On-Device Inference</v>
      </c>
      <c r="F14" s="28" t="str">
        <f>'INCEXC A'!D14</f>
        <v>Kaiser</v>
      </c>
      <c r="G14" s="28" t="str">
        <f>'INCEXC B'!D14</f>
        <v>Ceren</v>
      </c>
      <c r="H14" s="28" t="str">
        <f>'INCEXC A'!E14</f>
        <v>Exclude</v>
      </c>
      <c r="I14" s="28" t="str">
        <f>'INCEXC B'!E14</f>
        <v>Exclude</v>
      </c>
      <c r="J14" s="28" t="b">
        <f t="shared" si="2"/>
        <v>1</v>
      </c>
      <c r="K14" s="28" t="b">
        <f t="shared" si="3"/>
        <v>0</v>
      </c>
      <c r="L14" s="28" t="str">
        <f>'INCEXC A'!L14</f>
        <v/>
      </c>
      <c r="M14" s="28" t="str">
        <f>'INCEXC B'!L14</f>
        <v/>
      </c>
      <c r="O14" s="28" t="str">
        <f>'INCEXC A'!M14</f>
        <v/>
      </c>
      <c r="P14" s="28" t="str">
        <f>'INCEXC A'!N14</f>
        <v/>
      </c>
      <c r="Q14" s="28" t="str">
        <f>'INCEXC A'!O14</f>
        <v/>
      </c>
      <c r="R14" s="28" t="str">
        <f>'INCEXC B'!O14</f>
        <v/>
      </c>
      <c r="S14" s="28" t="str">
        <f>'INCEXC A'!P14</f>
        <v/>
      </c>
      <c r="T14" s="28" t="str">
        <f>'INCEXC B'!P14</f>
        <v/>
      </c>
      <c r="U14" s="28" t="b">
        <f t="shared" si="4"/>
        <v>1</v>
      </c>
      <c r="V14" s="28" t="b">
        <f t="shared" si="5"/>
        <v>0</v>
      </c>
    </row>
    <row r="15" hidden="1">
      <c r="A15" s="35" t="str">
        <f>'INCEXC A'!A15</f>
        <v>https://doi.org/10.1109/CCGrid.2012.84</v>
      </c>
      <c r="B15" s="35" t="str">
        <f>'INCEXC B'!A15</f>
        <v>https://doi.org/10.1109/CCGrid.2012.84</v>
      </c>
      <c r="C15" s="28" t="b">
        <f t="shared" si="1"/>
        <v>1</v>
      </c>
      <c r="D15" s="28" t="str">
        <f>'INCEXC A'!B15</f>
        <v>10.1109/ccgrid.2012.84</v>
      </c>
      <c r="E15" s="28" t="str">
        <f>'INCEXC A'!C15</f>
        <v>Energy- and Cost-Efficiency Analysis of ARM-Based Clusters</v>
      </c>
      <c r="F15" s="28" t="str">
        <f>'INCEXC A'!D15</f>
        <v>Marilyn</v>
      </c>
      <c r="G15" s="28" t="str">
        <f>'INCEXC B'!D15</f>
        <v>Ceren</v>
      </c>
      <c r="H15" s="28" t="str">
        <f>'INCEXC A'!E15</f>
        <v>Exclude</v>
      </c>
      <c r="I15" s="28" t="str">
        <f>'INCEXC B'!E15</f>
        <v>Exclude</v>
      </c>
      <c r="J15" s="28" t="b">
        <f t="shared" si="2"/>
        <v>1</v>
      </c>
      <c r="K15" s="28" t="b">
        <f t="shared" si="3"/>
        <v>0</v>
      </c>
      <c r="L15" s="28" t="str">
        <f>'INCEXC A'!L15</f>
        <v/>
      </c>
      <c r="M15" s="28" t="str">
        <f>'INCEXC B'!L15</f>
        <v/>
      </c>
      <c r="O15" s="28" t="str">
        <f>'INCEXC A'!M15</f>
        <v/>
      </c>
      <c r="P15" s="28" t="str">
        <f>'INCEXC A'!N15</f>
        <v/>
      </c>
      <c r="Q15" s="28" t="str">
        <f>'INCEXC A'!O15</f>
        <v/>
      </c>
      <c r="R15" s="28" t="str">
        <f>'INCEXC B'!O15</f>
        <v/>
      </c>
      <c r="S15" s="28" t="str">
        <f>'INCEXC A'!P15</f>
        <v/>
      </c>
      <c r="T15" s="28" t="str">
        <f>'INCEXC B'!P15</f>
        <v/>
      </c>
      <c r="U15" s="28" t="b">
        <f t="shared" si="4"/>
        <v>1</v>
      </c>
      <c r="V15" s="28" t="b">
        <f t="shared" si="5"/>
        <v>0</v>
      </c>
    </row>
    <row r="16" hidden="1">
      <c r="A16" s="35" t="str">
        <f>'INCEXC A'!A16</f>
        <v>https://doi.org/10.1109/CCGrid.2015.115</v>
      </c>
      <c r="B16" s="35" t="str">
        <f>'INCEXC B'!A16</f>
        <v>https://doi.org/10.1109/CCGrid.2015.115</v>
      </c>
      <c r="C16" s="28" t="b">
        <f t="shared" si="1"/>
        <v>1</v>
      </c>
      <c r="D16" s="28" t="str">
        <f>'INCEXC A'!B16</f>
        <v>10.1109/ccgrid.2015.115</v>
      </c>
      <c r="E16" s="28" t="str">
        <f>'INCEXC A'!C16</f>
        <v>Quantitative musings on the feasibility of smartphone clouds</v>
      </c>
      <c r="F16" s="28" t="str">
        <f>'INCEXC A'!D16</f>
        <v>Jonathan</v>
      </c>
      <c r="G16" s="28" t="str">
        <f>'INCEXC B'!D16</f>
        <v>Taylor</v>
      </c>
      <c r="H16" s="28" t="str">
        <f>'INCEXC A'!E16</f>
        <v>Exclude</v>
      </c>
      <c r="I16" s="28" t="str">
        <f>'INCEXC B'!E16</f>
        <v>Exclude</v>
      </c>
      <c r="J16" s="28" t="b">
        <f t="shared" si="2"/>
        <v>1</v>
      </c>
      <c r="K16" s="28" t="b">
        <f t="shared" si="3"/>
        <v>0</v>
      </c>
      <c r="L16" s="28" t="str">
        <f>'INCEXC A'!L16</f>
        <v/>
      </c>
      <c r="M16" s="28" t="str">
        <f>'INCEXC B'!L16</f>
        <v/>
      </c>
      <c r="O16" s="28" t="str">
        <f>'INCEXC A'!M16</f>
        <v/>
      </c>
      <c r="P16" s="28" t="str">
        <f>'INCEXC A'!N16</f>
        <v/>
      </c>
      <c r="Q16" s="28" t="str">
        <f>'INCEXC A'!O16</f>
        <v/>
      </c>
      <c r="R16" s="28" t="str">
        <f>'INCEXC B'!O16</f>
        <v/>
      </c>
      <c r="S16" s="28" t="str">
        <f>'INCEXC A'!P16</f>
        <v/>
      </c>
      <c r="T16" s="28" t="str">
        <f>'INCEXC B'!P16</f>
        <v/>
      </c>
      <c r="U16" s="28" t="b">
        <f t="shared" si="4"/>
        <v>1</v>
      </c>
      <c r="V16" s="28" t="b">
        <f t="shared" si="5"/>
        <v>0</v>
      </c>
    </row>
    <row r="17" hidden="1">
      <c r="A17" s="35" t="str">
        <f>'INCEXC A'!A17</f>
        <v>https://doi.org/10.1109/CCGrid.2015.150</v>
      </c>
      <c r="B17" s="35" t="str">
        <f>'INCEXC B'!A17</f>
        <v>https://doi.org/10.1109/CCGrid.2015.150</v>
      </c>
      <c r="C17" s="28" t="b">
        <f t="shared" si="1"/>
        <v>1</v>
      </c>
      <c r="D17" s="28" t="str">
        <f>'INCEXC A'!B17</f>
        <v>10.1109/ccgrid.2015.150</v>
      </c>
      <c r="E17" s="28" t="str">
        <f>'INCEXC A'!C17</f>
        <v>Deferred lightweight indexing for log-structured key-value stores</v>
      </c>
      <c r="F17" s="28" t="str">
        <f>'INCEXC A'!D17</f>
        <v>Jonathan</v>
      </c>
      <c r="G17" s="28" t="str">
        <f>'INCEXC B'!D17</f>
        <v>Danni</v>
      </c>
      <c r="H17" s="28" t="str">
        <f>'INCEXC A'!E17</f>
        <v>Exclude</v>
      </c>
      <c r="I17" s="28" t="str">
        <f>'INCEXC B'!E17</f>
        <v>Exclude</v>
      </c>
      <c r="J17" s="28" t="b">
        <f t="shared" si="2"/>
        <v>1</v>
      </c>
      <c r="K17" s="28" t="b">
        <f t="shared" si="3"/>
        <v>0</v>
      </c>
      <c r="L17" s="28" t="str">
        <f>'INCEXC A'!L17</f>
        <v/>
      </c>
      <c r="M17" s="28" t="str">
        <f>'INCEXC B'!L17</f>
        <v/>
      </c>
      <c r="O17" s="28" t="str">
        <f>'INCEXC A'!M17</f>
        <v/>
      </c>
      <c r="P17" s="28" t="str">
        <f>'INCEXC A'!N17</f>
        <v/>
      </c>
      <c r="Q17" s="28" t="str">
        <f>'INCEXC A'!O17</f>
        <v/>
      </c>
      <c r="R17" s="28" t="str">
        <f>'INCEXC B'!O17</f>
        <v/>
      </c>
      <c r="S17" s="28" t="str">
        <f>'INCEXC A'!P17</f>
        <v/>
      </c>
      <c r="T17" s="28" t="str">
        <f>'INCEXC B'!P17</f>
        <v/>
      </c>
      <c r="U17" s="28" t="b">
        <f t="shared" si="4"/>
        <v>1</v>
      </c>
      <c r="V17" s="28" t="b">
        <f t="shared" si="5"/>
        <v>0</v>
      </c>
    </row>
    <row r="18" hidden="1">
      <c r="A18" s="35" t="str">
        <f>'INCEXC A'!A18</f>
        <v>https://doi.org/10.1109/CCGRID.2017.49</v>
      </c>
      <c r="B18" s="35" t="str">
        <f>'INCEXC B'!A18</f>
        <v>https://doi.org/10.1109/CCGRID.2017.49</v>
      </c>
      <c r="C18" s="28" t="b">
        <f t="shared" si="1"/>
        <v>1</v>
      </c>
      <c r="D18" s="28" t="str">
        <f>'INCEXC A'!B18</f>
        <v>10.1109/ccgrid.2017.49</v>
      </c>
      <c r="E18" s="28" t="str">
        <f>'INCEXC A'!C18</f>
        <v>High-Performance Key-Value Store On OpenSHMEM</v>
      </c>
      <c r="F18" s="28" t="str">
        <f>'INCEXC A'!D18</f>
        <v>Kaiser</v>
      </c>
      <c r="G18" s="28" t="str">
        <f>'INCEXC B'!D18</f>
        <v>Taylor</v>
      </c>
      <c r="H18" s="28" t="str">
        <f>'INCEXC A'!E18</f>
        <v>Exclude</v>
      </c>
      <c r="I18" s="28" t="str">
        <f>'INCEXC B'!E18</f>
        <v>Exclude</v>
      </c>
      <c r="J18" s="28" t="b">
        <f t="shared" si="2"/>
        <v>1</v>
      </c>
      <c r="K18" s="28" t="b">
        <f t="shared" si="3"/>
        <v>0</v>
      </c>
      <c r="L18" s="28" t="str">
        <f>'INCEXC A'!L18</f>
        <v/>
      </c>
      <c r="M18" s="28" t="str">
        <f>'INCEXC B'!L18</f>
        <v/>
      </c>
      <c r="O18" s="28" t="str">
        <f>'INCEXC A'!M18</f>
        <v/>
      </c>
      <c r="P18" s="28" t="str">
        <f>'INCEXC A'!N18</f>
        <v/>
      </c>
      <c r="Q18" s="28" t="str">
        <f>'INCEXC A'!O18</f>
        <v/>
      </c>
      <c r="R18" s="28" t="str">
        <f>'INCEXC B'!O18</f>
        <v/>
      </c>
      <c r="S18" s="28" t="str">
        <f>'INCEXC A'!P18</f>
        <v/>
      </c>
      <c r="T18" s="28" t="str">
        <f>'INCEXC B'!P18</f>
        <v/>
      </c>
      <c r="U18" s="28" t="b">
        <f t="shared" si="4"/>
        <v>1</v>
      </c>
      <c r="V18" s="28" t="b">
        <f t="shared" si="5"/>
        <v>0</v>
      </c>
    </row>
    <row r="19" hidden="1">
      <c r="A19" s="35" t="str">
        <f>'INCEXC A'!A19</f>
        <v>https://ieeexplore.ieee.org/stamp/stamp.jsp?arnumber=1554950</v>
      </c>
      <c r="B19" s="35" t="str">
        <f>'INCEXC B'!A19</f>
        <v>https://ieeexplore.ieee.org/stamp/stamp.jsp?arnumber=1554950</v>
      </c>
      <c r="C19" s="28" t="b">
        <f t="shared" si="1"/>
        <v>1</v>
      </c>
      <c r="D19" s="28" t="str">
        <f>'INCEXC A'!B19</f>
        <v>10.1109/CEC.2005.1554950</v>
      </c>
      <c r="E19" s="28" t="str">
        <f>'INCEXC A'!C19</f>
        <v>Learning classifier systems for user context learning</v>
      </c>
      <c r="F19" s="28" t="str">
        <f>'INCEXC A'!D19</f>
        <v>Jonathan</v>
      </c>
      <c r="G19" s="28" t="str">
        <f>'INCEXC B'!D19</f>
        <v>Taylor</v>
      </c>
      <c r="H19" s="28" t="str">
        <f>'INCEXC A'!E19</f>
        <v>Exclude</v>
      </c>
      <c r="I19" s="28" t="str">
        <f>'INCEXC B'!E19</f>
        <v>Exclude</v>
      </c>
      <c r="J19" s="28" t="b">
        <f t="shared" si="2"/>
        <v>1</v>
      </c>
      <c r="K19" s="28" t="b">
        <f t="shared" si="3"/>
        <v>0</v>
      </c>
      <c r="L19" s="28" t="str">
        <f>'INCEXC A'!L19</f>
        <v/>
      </c>
      <c r="M19" s="28" t="str">
        <f>'INCEXC B'!L19</f>
        <v/>
      </c>
      <c r="O19" s="28" t="str">
        <f>'INCEXC A'!M19</f>
        <v/>
      </c>
      <c r="P19" s="28" t="str">
        <f>'INCEXC A'!N19</f>
        <v/>
      </c>
      <c r="Q19" s="28" t="str">
        <f>'INCEXC A'!O19</f>
        <v/>
      </c>
      <c r="R19" s="28" t="str">
        <f>'INCEXC B'!O19</f>
        <v/>
      </c>
      <c r="S19" s="28" t="str">
        <f>'INCEXC A'!P19</f>
        <v/>
      </c>
      <c r="T19" s="28" t="str">
        <f>'INCEXC B'!P19</f>
        <v/>
      </c>
      <c r="U19" s="28" t="b">
        <f t="shared" si="4"/>
        <v>1</v>
      </c>
      <c r="V19" s="28" t="b">
        <f t="shared" si="5"/>
        <v>0</v>
      </c>
    </row>
    <row r="20" hidden="1">
      <c r="A20" s="35" t="str">
        <f>'INCEXC A'!A20</f>
        <v>https://ieeexplore.ieee.org/stamp/stamp.jsp?arnumber=11519295</v>
      </c>
      <c r="B20" s="35" t="str">
        <f>'INCEXC B'!A20</f>
        <v>https://ieeexplore.ieee.org/stamp/stamp.jsp?arnumber=11519295</v>
      </c>
      <c r="C20" s="28" t="b">
        <f t="shared" si="1"/>
        <v>1</v>
      </c>
      <c r="D20" s="28" t="str">
        <f>'INCEXC A'!B20</f>
        <v>10.1109/GAIIS69281.2026.11519295</v>
      </c>
      <c r="E20" s="28" t="str">
        <f>'INCEXC A'!C20</f>
        <v>PI-Embedding: Scientific Idea Representation Learning via Citation Intent and Paper Provenance</v>
      </c>
      <c r="F20" s="28" t="str">
        <f>'INCEXC A'!D20</f>
        <v>Jonathan</v>
      </c>
      <c r="G20" s="28" t="str">
        <f>'INCEXC B'!D20</f>
        <v>Ceren</v>
      </c>
      <c r="H20" s="28" t="str">
        <f>'INCEXC A'!E20</f>
        <v>Exclude</v>
      </c>
      <c r="I20" s="28" t="str">
        <f>'INCEXC B'!E20</f>
        <v>Exclude</v>
      </c>
      <c r="J20" s="28" t="b">
        <f t="shared" si="2"/>
        <v>1</v>
      </c>
      <c r="K20" s="28" t="b">
        <f t="shared" si="3"/>
        <v>0</v>
      </c>
      <c r="L20" s="28" t="str">
        <f>'INCEXC A'!L20</f>
        <v/>
      </c>
      <c r="M20" s="28" t="str">
        <f>'INCEXC B'!L20</f>
        <v/>
      </c>
      <c r="O20" s="28" t="str">
        <f>'INCEXC A'!M20</f>
        <v/>
      </c>
      <c r="P20" s="28" t="str">
        <f>'INCEXC A'!N20</f>
        <v/>
      </c>
      <c r="Q20" s="28" t="str">
        <f>'INCEXC A'!O20</f>
        <v/>
      </c>
      <c r="R20" s="28" t="str">
        <f>'INCEXC B'!O20</f>
        <v/>
      </c>
      <c r="S20" s="28" t="str">
        <f>'INCEXC A'!P20</f>
        <v/>
      </c>
      <c r="T20" s="28" t="str">
        <f>'INCEXC B'!P20</f>
        <v/>
      </c>
      <c r="U20" s="28" t="b">
        <f t="shared" si="4"/>
        <v>1</v>
      </c>
      <c r="V20" s="28" t="b">
        <f t="shared" si="5"/>
        <v>0</v>
      </c>
    </row>
    <row r="21" hidden="1">
      <c r="A21" s="35" t="str">
        <f>'INCEXC A'!A21</f>
        <v>https://ieeexplore.ieee.org/stamp/stamp.jsp?arnumber=10585495</v>
      </c>
      <c r="B21" s="35" t="str">
        <f>'INCEXC B'!A21</f>
        <v>https://ieeexplore.ieee.org/stamp/stamp.jsp?arnumber=10585495</v>
      </c>
      <c r="C21" s="28" t="b">
        <f t="shared" si="1"/>
        <v>1</v>
      </c>
      <c r="D21" s="28" t="str">
        <f>'INCEXC A'!B21</f>
        <v>10.1109/GEM61861.2024.10585495</v>
      </c>
      <c r="E21" s="28" t="str">
        <f>'INCEXC A'!C21</f>
        <v>Leveraging Large Language Models for Enhanced VR Development: Insights and Challenges</v>
      </c>
      <c r="F21" s="28" t="str">
        <f>'INCEXC A'!D21</f>
        <v>Marilyn</v>
      </c>
      <c r="G21" s="28" t="str">
        <f>'INCEXC B'!D21</f>
        <v>Taylor</v>
      </c>
      <c r="H21" s="28" t="str">
        <f>'INCEXC A'!E21</f>
        <v>Exclude</v>
      </c>
      <c r="I21" s="28" t="str">
        <f>'INCEXC B'!E21</f>
        <v>Exclude</v>
      </c>
      <c r="J21" s="28" t="b">
        <f t="shared" si="2"/>
        <v>1</v>
      </c>
      <c r="K21" s="28" t="b">
        <f t="shared" si="3"/>
        <v>0</v>
      </c>
      <c r="L21" s="28" t="str">
        <f>'INCEXC A'!L21</f>
        <v/>
      </c>
      <c r="M21" s="28" t="str">
        <f>'INCEXC B'!L21</f>
        <v/>
      </c>
      <c r="O21" s="28" t="str">
        <f>'INCEXC A'!M21</f>
        <v/>
      </c>
      <c r="P21" s="28" t="str">
        <f>'INCEXC A'!N21</f>
        <v/>
      </c>
      <c r="Q21" s="28" t="str">
        <f>'INCEXC A'!O21</f>
        <v/>
      </c>
      <c r="R21" s="28" t="str">
        <f>'INCEXC B'!O21</f>
        <v/>
      </c>
      <c r="S21" s="28" t="str">
        <f>'INCEXC A'!P21</f>
        <v/>
      </c>
      <c r="T21" s="28" t="str">
        <f>'INCEXC B'!P21</f>
        <v/>
      </c>
      <c r="U21" s="28" t="b">
        <f t="shared" si="4"/>
        <v>1</v>
      </c>
      <c r="V21" s="28" t="b">
        <f t="shared" si="5"/>
        <v>0</v>
      </c>
    </row>
    <row r="22" hidden="1">
      <c r="A22" s="35" t="str">
        <f>'INCEXC A'!A22</f>
        <v>https://ieeexplore.ieee.org/stamp/stamp.jsp?arnumber=10590666</v>
      </c>
      <c r="B22" s="35" t="str">
        <f>'INCEXC B'!A22</f>
        <v>https://ieeexplore.ieee.org/stamp/stamp.jsp?arnumber=10590666</v>
      </c>
      <c r="C22" s="28" t="b">
        <f t="shared" si="1"/>
        <v>1</v>
      </c>
      <c r="D22" s="28" t="str">
        <f>'INCEXC A'!B22</f>
        <v>10.1109/HPSC62738.2024.00012</v>
      </c>
      <c r="E22" s="28" t="str">
        <f>'INCEXC A'!C22</f>
        <v>Studying the Knowledge and Behavior of ChatGPT via Journey to the West</v>
      </c>
      <c r="F22" s="28" t="str">
        <f>'INCEXC A'!D22</f>
        <v>Marilyn</v>
      </c>
      <c r="G22" s="28" t="str">
        <f>'INCEXC B'!D22</f>
        <v>Ceren</v>
      </c>
      <c r="H22" s="28" t="str">
        <f>'INCEXC A'!E22</f>
        <v>Exclude</v>
      </c>
      <c r="I22" s="28" t="str">
        <f>'INCEXC B'!E22</f>
        <v>Exclude</v>
      </c>
      <c r="J22" s="28" t="b">
        <f t="shared" si="2"/>
        <v>1</v>
      </c>
      <c r="K22" s="28" t="b">
        <f t="shared" si="3"/>
        <v>0</v>
      </c>
      <c r="L22" s="28" t="str">
        <f>'INCEXC A'!L22</f>
        <v/>
      </c>
      <c r="M22" s="28" t="str">
        <f>'INCEXC B'!L22</f>
        <v/>
      </c>
      <c r="O22" s="28" t="str">
        <f>'INCEXC A'!M22</f>
        <v/>
      </c>
      <c r="P22" s="28" t="str">
        <f>'INCEXC A'!N22</f>
        <v/>
      </c>
      <c r="Q22" s="28" t="str">
        <f>'INCEXC A'!O22</f>
        <v/>
      </c>
      <c r="R22" s="28" t="str">
        <f>'INCEXC B'!O22</f>
        <v/>
      </c>
      <c r="S22" s="28" t="str">
        <f>'INCEXC A'!P22</f>
        <v/>
      </c>
      <c r="T22" s="28" t="str">
        <f>'INCEXC B'!P22</f>
        <v/>
      </c>
      <c r="U22" s="28" t="b">
        <f t="shared" si="4"/>
        <v>1</v>
      </c>
      <c r="V22" s="28" t="b">
        <f t="shared" si="5"/>
        <v>0</v>
      </c>
    </row>
    <row r="23" hidden="1">
      <c r="A23" s="35" t="str">
        <f>'INCEXC A'!A23</f>
        <v>https://ieeexplore.ieee.org/stamp/stamp.jsp?arnumber=11508939</v>
      </c>
      <c r="B23" s="35" t="str">
        <f>'INCEXC B'!A23</f>
        <v>https://ieeexplore.ieee.org/stamp/stamp.jsp?arnumber=11508939</v>
      </c>
      <c r="C23" s="28" t="b">
        <f t="shared" si="1"/>
        <v>1</v>
      </c>
      <c r="D23" s="28" t="str">
        <f>'INCEXC A'!B23</f>
        <v>10.1109/ICAACE69793.2026.11508939</v>
      </c>
      <c r="E23" s="28" t="str">
        <f>'INCEXC A'!C23</f>
        <v>Tiny-Critic RAG: Empowering Agentic Fallback with Parameter-Efficient Small Language Models</v>
      </c>
      <c r="F23" s="28" t="str">
        <f>'INCEXC A'!D23</f>
        <v>Jonathan</v>
      </c>
      <c r="G23" s="28" t="str">
        <f>'INCEXC B'!D23</f>
        <v>Taylor</v>
      </c>
      <c r="H23" s="28" t="str">
        <f>'INCEXC A'!E23</f>
        <v>Exclude</v>
      </c>
      <c r="I23" s="28" t="str">
        <f>'INCEXC B'!E23</f>
        <v>Exclude</v>
      </c>
      <c r="J23" s="28" t="b">
        <f t="shared" si="2"/>
        <v>1</v>
      </c>
      <c r="K23" s="28" t="b">
        <f t="shared" si="3"/>
        <v>0</v>
      </c>
      <c r="L23" s="28" t="str">
        <f>'INCEXC A'!L23</f>
        <v/>
      </c>
      <c r="M23" s="28" t="str">
        <f>'INCEXC B'!L23</f>
        <v/>
      </c>
      <c r="O23" s="28" t="str">
        <f>'INCEXC A'!M23</f>
        <v/>
      </c>
      <c r="P23" s="28" t="str">
        <f>'INCEXC A'!N23</f>
        <v/>
      </c>
      <c r="Q23" s="28" t="str">
        <f>'INCEXC A'!O23</f>
        <v/>
      </c>
      <c r="R23" s="28" t="str">
        <f>'INCEXC B'!O23</f>
        <v/>
      </c>
      <c r="S23" s="28" t="str">
        <f>'INCEXC A'!P23</f>
        <v/>
      </c>
      <c r="T23" s="28" t="str">
        <f>'INCEXC B'!P23</f>
        <v/>
      </c>
      <c r="U23" s="28" t="b">
        <f t="shared" si="4"/>
        <v>1</v>
      </c>
      <c r="V23" s="28" t="b">
        <f t="shared" si="5"/>
        <v>0</v>
      </c>
    </row>
    <row r="24">
      <c r="A24" s="35" t="str">
        <f>'INCEXC A'!A24</f>
        <v>https://ieeexplore.ieee.org/stamp/stamp.jsp?arnumber=11460702</v>
      </c>
      <c r="B24" s="35" t="str">
        <f>'INCEXC B'!A24</f>
        <v>https://ieeexplore.ieee.org/stamp/stamp.jsp?arnumber=11460702</v>
      </c>
      <c r="C24" s="28" t="b">
        <f t="shared" si="1"/>
        <v>1</v>
      </c>
      <c r="D24" s="28" t="str">
        <f>'INCEXC A'!B24</f>
        <v>10.1109/ICASSP55912.2026.11460702</v>
      </c>
      <c r="E24" s="28" t="str">
        <f>'INCEXC A'!C24</f>
        <v>Towards Self-Evaluation of Sycophantic Hallucinations in Mathematical Reasoning</v>
      </c>
      <c r="F24" s="28" t="str">
        <f>'INCEXC A'!D24</f>
        <v>Jonathan</v>
      </c>
      <c r="G24" s="28" t="str">
        <f>'INCEXC B'!D24</f>
        <v>Danni</v>
      </c>
      <c r="H24" s="28" t="str">
        <f>'INCEXC A'!E24</f>
        <v>Include</v>
      </c>
      <c r="I24" s="28" t="str">
        <f>'INCEXC B'!E24</f>
        <v>Include</v>
      </c>
      <c r="J24" s="28" t="b">
        <f t="shared" si="2"/>
        <v>1</v>
      </c>
      <c r="K24" s="28" t="b">
        <f t="shared" si="3"/>
        <v>1</v>
      </c>
      <c r="L24" s="28" t="str">
        <f>'INCEXC A'!L24</f>
        <v/>
      </c>
      <c r="M24" s="28" t="str">
        <f>'INCEXC B'!L24</f>
        <v/>
      </c>
      <c r="O24" s="28" t="str">
        <f>'INCEXC A'!M24</f>
        <v/>
      </c>
      <c r="P24" s="28" t="str">
        <f>'INCEXC A'!N24</f>
        <v/>
      </c>
      <c r="Q24" s="28" t="str">
        <f>'INCEXC A'!O24</f>
        <v/>
      </c>
      <c r="R24" s="28" t="str">
        <f>'INCEXC B'!O24</f>
        <v/>
      </c>
      <c r="S24" s="28" t="str">
        <f>'INCEXC A'!P24</f>
        <v/>
      </c>
      <c r="T24" s="28" t="str">
        <f>'INCEXC B'!P24</f>
        <v/>
      </c>
      <c r="U24" s="28" t="b">
        <f t="shared" si="4"/>
        <v>1</v>
      </c>
      <c r="V24" s="28" t="b">
        <f t="shared" si="5"/>
        <v>0</v>
      </c>
    </row>
    <row r="25" hidden="1">
      <c r="A25" s="35" t="str">
        <f>'INCEXC A'!A25</f>
        <v>https://ieeexplore.ieee.org/stamp/stamp.jsp?arnumber=11462217</v>
      </c>
      <c r="B25" s="35" t="str">
        <f>'INCEXC B'!A25</f>
        <v>https://ieeexplore.ieee.org/stamp/stamp.jsp?arnumber=11462217</v>
      </c>
      <c r="C25" s="28" t="b">
        <f t="shared" si="1"/>
        <v>1</v>
      </c>
      <c r="D25" s="28" t="str">
        <f>'INCEXC A'!B25</f>
        <v>10.1109/ICASSP55912.2026.11462217</v>
      </c>
      <c r="E25" s="28" t="str">
        <f>'INCEXC A'!C25</f>
        <v>FinLumen: A Game-Theoretic Multi-Agent Framework for Rational Portfolio Management</v>
      </c>
      <c r="F25" s="28" t="str">
        <f>'INCEXC A'!D25</f>
        <v>Kaiser</v>
      </c>
      <c r="G25" s="28" t="str">
        <f>'INCEXC B'!D25</f>
        <v>Ceren</v>
      </c>
      <c r="H25" s="28" t="str">
        <f>'INCEXC A'!E25</f>
        <v>Exclude</v>
      </c>
      <c r="I25" s="28" t="str">
        <f>'INCEXC B'!E25</f>
        <v>Exclude</v>
      </c>
      <c r="J25" s="28" t="b">
        <f t="shared" si="2"/>
        <v>1</v>
      </c>
      <c r="K25" s="28" t="b">
        <f t="shared" si="3"/>
        <v>0</v>
      </c>
      <c r="L25" s="28" t="str">
        <f>'INCEXC A'!L25</f>
        <v/>
      </c>
      <c r="M25" s="28" t="str">
        <f>'INCEXC B'!L25</f>
        <v/>
      </c>
      <c r="O25" s="28" t="str">
        <f>'INCEXC A'!M25</f>
        <v/>
      </c>
      <c r="P25" s="28" t="str">
        <f>'INCEXC A'!N25</f>
        <v/>
      </c>
      <c r="Q25" s="28" t="str">
        <f>'INCEXC A'!O25</f>
        <v/>
      </c>
      <c r="R25" s="28" t="str">
        <f>'INCEXC B'!O25</f>
        <v/>
      </c>
      <c r="S25" s="28" t="str">
        <f>'INCEXC A'!P25</f>
        <v/>
      </c>
      <c r="T25" s="28" t="str">
        <f>'INCEXC B'!P25</f>
        <v/>
      </c>
      <c r="U25" s="28" t="b">
        <f t="shared" si="4"/>
        <v>1</v>
      </c>
      <c r="V25" s="28" t="b">
        <f t="shared" si="5"/>
        <v>0</v>
      </c>
    </row>
    <row r="26" hidden="1">
      <c r="A26" s="35" t="str">
        <f>'INCEXC A'!A26</f>
        <v>https://ieeexplore.ieee.org/stamp/stamp.jsp?arnumber=5409737</v>
      </c>
      <c r="B26" s="35" t="str">
        <f>'INCEXC B'!A26</f>
        <v>https://ieeexplore.ieee.org/stamp/stamp.jsp?arnumber=5409737</v>
      </c>
      <c r="C26" s="28" t="b">
        <f t="shared" si="1"/>
        <v>1</v>
      </c>
      <c r="D26" s="28" t="str">
        <f>'INCEXC A'!B26</f>
        <v>10.1109/ICASTECH.2009.5409737</v>
      </c>
      <c r="E26" s="28" t="str">
        <f>'INCEXC A'!C26</f>
        <v>Tracking a Sycophant Wireless Sensor Network for its seamless integration to mobile Wireless Sensor Networks</v>
      </c>
      <c r="F26" s="28" t="str">
        <f>'INCEXC A'!D26</f>
        <v>Kaiser</v>
      </c>
      <c r="G26" s="28" t="str">
        <f>'INCEXC B'!D26</f>
        <v>Danni</v>
      </c>
      <c r="H26" s="28" t="str">
        <f>'INCEXC A'!E26</f>
        <v>Exclude</v>
      </c>
      <c r="I26" s="28" t="str">
        <f>'INCEXC B'!E26</f>
        <v>Exclude</v>
      </c>
      <c r="J26" s="28" t="b">
        <f t="shared" si="2"/>
        <v>1</v>
      </c>
      <c r="K26" s="28" t="b">
        <f t="shared" si="3"/>
        <v>0</v>
      </c>
      <c r="L26" s="28" t="str">
        <f>'INCEXC A'!L26</f>
        <v/>
      </c>
      <c r="M26" s="28" t="str">
        <f>'INCEXC B'!L26</f>
        <v/>
      </c>
      <c r="O26" s="28" t="str">
        <f>'INCEXC A'!M26</f>
        <v/>
      </c>
      <c r="P26" s="28" t="str">
        <f>'INCEXC A'!N26</f>
        <v/>
      </c>
      <c r="Q26" s="28" t="str">
        <f>'INCEXC A'!O26</f>
        <v/>
      </c>
      <c r="R26" s="28" t="str">
        <f>'INCEXC B'!O26</f>
        <v/>
      </c>
      <c r="S26" s="28" t="str">
        <f>'INCEXC A'!P26</f>
        <v/>
      </c>
      <c r="T26" s="28" t="str">
        <f>'INCEXC B'!P26</f>
        <v/>
      </c>
      <c r="U26" s="28" t="b">
        <f t="shared" si="4"/>
        <v>1</v>
      </c>
      <c r="V26" s="28" t="b">
        <f t="shared" si="5"/>
        <v>0</v>
      </c>
    </row>
    <row r="27" hidden="1">
      <c r="A27" s="35" t="str">
        <f>'INCEXC A'!A27</f>
        <v>https://ieeexplore.ieee.org/stamp/stamp.jsp?arnumber=6056911</v>
      </c>
      <c r="B27" s="35" t="str">
        <f>'INCEXC B'!A27</f>
        <v>https://ieeexplore.ieee.org/stamp/stamp.jsp?arnumber=6056911</v>
      </c>
      <c r="C27" s="28" t="b">
        <f t="shared" si="1"/>
        <v>1</v>
      </c>
      <c r="D27" s="28" t="str">
        <f>'INCEXC A'!B27</f>
        <v>10.1109/ICECENG.2011.6056911</v>
      </c>
      <c r="E27" s="28" t="str">
        <f>'INCEXC A'!C27</f>
        <v>Cohesive subgroups analysis of asynchronous cognitive interactive network in collaborative learning</v>
      </c>
      <c r="F27" s="28" t="str">
        <f>'INCEXC A'!D27</f>
        <v>Jonathan</v>
      </c>
      <c r="G27" s="28" t="str">
        <f>'INCEXC B'!D27</f>
        <v>Danni</v>
      </c>
      <c r="H27" s="28" t="str">
        <f>'INCEXC A'!E27</f>
        <v>Exclude</v>
      </c>
      <c r="I27" s="28" t="str">
        <f>'INCEXC B'!E27</f>
        <v>Exclude</v>
      </c>
      <c r="J27" s="28" t="b">
        <f t="shared" si="2"/>
        <v>1</v>
      </c>
      <c r="K27" s="28" t="b">
        <f t="shared" si="3"/>
        <v>0</v>
      </c>
      <c r="L27" s="28" t="str">
        <f>'INCEXC A'!L27</f>
        <v/>
      </c>
      <c r="M27" s="28" t="str">
        <f>'INCEXC B'!L27</f>
        <v/>
      </c>
      <c r="O27" s="28" t="str">
        <f>'INCEXC A'!M27</f>
        <v/>
      </c>
      <c r="P27" s="28" t="str">
        <f>'INCEXC A'!N27</f>
        <v/>
      </c>
      <c r="Q27" s="28" t="str">
        <f>'INCEXC A'!O27</f>
        <v/>
      </c>
      <c r="R27" s="28" t="str">
        <f>'INCEXC B'!O27</f>
        <v/>
      </c>
      <c r="S27" s="28" t="str">
        <f>'INCEXC A'!P27</f>
        <v/>
      </c>
      <c r="T27" s="28" t="str">
        <f>'INCEXC B'!P27</f>
        <v/>
      </c>
      <c r="U27" s="28" t="b">
        <f t="shared" si="4"/>
        <v>1</v>
      </c>
      <c r="V27" s="28" t="b">
        <f t="shared" si="5"/>
        <v>0</v>
      </c>
    </row>
    <row r="28" hidden="1">
      <c r="A28" s="35" t="str">
        <f>'INCEXC A'!A28</f>
        <v>https://ieeexplore.ieee.org/stamp/stamp.jsp?arnumber=11521627</v>
      </c>
      <c r="B28" s="35" t="str">
        <f>'INCEXC B'!A28</f>
        <v>https://ieeexplore.ieee.org/stamp/stamp.jsp?arnumber=11521627</v>
      </c>
      <c r="C28" s="28" t="b">
        <f t="shared" si="1"/>
        <v>1</v>
      </c>
      <c r="D28" s="28" t="str">
        <f>'INCEXC A'!B28</f>
        <v>10.1109/ICEIT68991.2026.11521627</v>
      </c>
      <c r="E28" s="28" t="str">
        <f>'INCEXC A'!C28</f>
        <v>The design of a GAI-supported research topic selection system for novice researchers: From the SECI perspective</v>
      </c>
      <c r="F28" s="28" t="str">
        <f>'INCEXC A'!D28</f>
        <v>Marilyn</v>
      </c>
      <c r="G28" s="28" t="str">
        <f>'INCEXC B'!D28</f>
        <v>Danni</v>
      </c>
      <c r="H28" s="28" t="str">
        <f>'INCEXC A'!E28</f>
        <v>Exclude</v>
      </c>
      <c r="I28" s="28" t="str">
        <f>'INCEXC B'!E28</f>
        <v>Exclude</v>
      </c>
      <c r="J28" s="28" t="b">
        <f t="shared" si="2"/>
        <v>1</v>
      </c>
      <c r="K28" s="28" t="b">
        <f t="shared" si="3"/>
        <v>0</v>
      </c>
      <c r="L28" s="28" t="str">
        <f>'INCEXC A'!L28</f>
        <v/>
      </c>
      <c r="M28" s="28" t="str">
        <f>'INCEXC B'!L28</f>
        <v/>
      </c>
      <c r="O28" s="28" t="str">
        <f>'INCEXC A'!M28</f>
        <v/>
      </c>
      <c r="P28" s="28" t="str">
        <f>'INCEXC A'!N28</f>
        <v/>
      </c>
      <c r="Q28" s="28" t="str">
        <f>'INCEXC A'!O28</f>
        <v/>
      </c>
      <c r="R28" s="28" t="str">
        <f>'INCEXC B'!O28</f>
        <v/>
      </c>
      <c r="S28" s="28" t="str">
        <f>'INCEXC A'!P28</f>
        <v/>
      </c>
      <c r="T28" s="28" t="str">
        <f>'INCEXC B'!P28</f>
        <v/>
      </c>
      <c r="U28" s="28" t="b">
        <f t="shared" si="4"/>
        <v>1</v>
      </c>
      <c r="V28" s="28" t="b">
        <f t="shared" si="5"/>
        <v>0</v>
      </c>
    </row>
    <row r="29" hidden="1">
      <c r="A29" s="35" t="str">
        <f>'INCEXC A'!A29</f>
        <v>https://ieeexplore.ieee.org/stamp/stamp.jsp?arnumber=4299963</v>
      </c>
      <c r="B29" s="35" t="str">
        <f>'INCEXC B'!A29</f>
        <v>https://ieeexplore.ieee.org/stamp/stamp.jsp?arnumber=4299963</v>
      </c>
      <c r="C29" s="28" t="b">
        <f t="shared" si="1"/>
        <v>1</v>
      </c>
      <c r="D29" s="28" t="str">
        <f>'INCEXC A'!B29</f>
        <v>10.1109/ICSEA.2007.67</v>
      </c>
      <c r="E29" s="28" t="str">
        <f>'INCEXC A'!C29</f>
        <v>Sycophant: An API for Research in Context-Aware User Interfaces</v>
      </c>
      <c r="F29" s="28" t="str">
        <f>'INCEXC A'!D29</f>
        <v>Jonathan</v>
      </c>
      <c r="G29" s="28" t="str">
        <f>'INCEXC B'!D29</f>
        <v>Danni</v>
      </c>
      <c r="H29" s="28" t="str">
        <f>'INCEXC A'!E29</f>
        <v>Exclude</v>
      </c>
      <c r="I29" s="28" t="str">
        <f>'INCEXC B'!E29</f>
        <v>Exclude</v>
      </c>
      <c r="J29" s="28" t="b">
        <f t="shared" si="2"/>
        <v>1</v>
      </c>
      <c r="K29" s="28" t="b">
        <f t="shared" si="3"/>
        <v>0</v>
      </c>
      <c r="L29" s="28" t="str">
        <f>'INCEXC A'!L29</f>
        <v/>
      </c>
      <c r="M29" s="28" t="str">
        <f>'INCEXC B'!L29</f>
        <v/>
      </c>
      <c r="O29" s="28" t="str">
        <f>'INCEXC A'!M29</f>
        <v/>
      </c>
      <c r="P29" s="28" t="str">
        <f>'INCEXC A'!N29</f>
        <v/>
      </c>
      <c r="Q29" s="28" t="str">
        <f>'INCEXC A'!O29</f>
        <v/>
      </c>
      <c r="R29" s="28" t="str">
        <f>'INCEXC B'!O29</f>
        <v/>
      </c>
      <c r="S29" s="28" t="str">
        <f>'INCEXC A'!P29</f>
        <v/>
      </c>
      <c r="T29" s="28" t="str">
        <f>'INCEXC B'!P29</f>
        <v/>
      </c>
      <c r="U29" s="28" t="b">
        <f t="shared" si="4"/>
        <v>1</v>
      </c>
      <c r="V29" s="28" t="b">
        <f t="shared" si="5"/>
        <v>0</v>
      </c>
    </row>
    <row r="30" hidden="1">
      <c r="A30" s="35" t="str">
        <f>'INCEXC A'!A30</f>
        <v>https://ieeexplore.ieee.org/stamp/stamp.jsp?arnumber=1431446</v>
      </c>
      <c r="B30" s="35" t="str">
        <f>'INCEXC B'!A30</f>
        <v>https://ieeexplore.ieee.org/stamp/stamp.jsp?arnumber=1431446</v>
      </c>
      <c r="C30" s="28" t="b">
        <f t="shared" si="1"/>
        <v>1</v>
      </c>
      <c r="D30" s="28" t="str">
        <f>'INCEXC A'!B30</f>
        <v>10.1109/IRI.2004.1431446</v>
      </c>
      <c r="E30" s="28" t="str">
        <f>'INCEXC A'!C30</f>
        <v>Context learning can improve user interaction</v>
      </c>
      <c r="F30" s="28" t="str">
        <f>'INCEXC A'!D30</f>
        <v>Kaiser</v>
      </c>
      <c r="G30" s="28" t="str">
        <f>'INCEXC B'!D30</f>
        <v>Danni</v>
      </c>
      <c r="H30" s="28" t="str">
        <f>'INCEXC A'!E30</f>
        <v>Exclude</v>
      </c>
      <c r="I30" s="28" t="str">
        <f>'INCEXC B'!E30</f>
        <v>Exclude</v>
      </c>
      <c r="J30" s="28" t="b">
        <f t="shared" si="2"/>
        <v>1</v>
      </c>
      <c r="K30" s="28" t="b">
        <f t="shared" si="3"/>
        <v>0</v>
      </c>
      <c r="L30" s="28" t="str">
        <f>'INCEXC A'!L30</f>
        <v/>
      </c>
      <c r="M30" s="28" t="str">
        <f>'INCEXC B'!L30</f>
        <v/>
      </c>
      <c r="O30" s="28" t="str">
        <f>'INCEXC A'!M30</f>
        <v/>
      </c>
      <c r="P30" s="28" t="str">
        <f>'INCEXC A'!N30</f>
        <v/>
      </c>
      <c r="Q30" s="28" t="str">
        <f>'INCEXC A'!O30</f>
        <v/>
      </c>
      <c r="R30" s="28" t="str">
        <f>'INCEXC B'!O30</f>
        <v/>
      </c>
      <c r="S30" s="28" t="str">
        <f>'INCEXC A'!P30</f>
        <v/>
      </c>
      <c r="T30" s="28" t="str">
        <f>'INCEXC B'!P30</f>
        <v/>
      </c>
      <c r="U30" s="28" t="b">
        <f t="shared" si="4"/>
        <v>1</v>
      </c>
      <c r="V30" s="28" t="b">
        <f t="shared" si="5"/>
        <v>0</v>
      </c>
    </row>
    <row r="31" hidden="1">
      <c r="A31" s="35" t="str">
        <f>'INCEXC A'!A31</f>
        <v>https://doi.org/10.1109/ISCA.2016.15</v>
      </c>
      <c r="B31" s="35" t="str">
        <f>'INCEXC B'!A31</f>
        <v>https://doi.org/10.1109/ISCA.2016.15</v>
      </c>
      <c r="C31" s="28" t="b">
        <f t="shared" si="1"/>
        <v>1</v>
      </c>
      <c r="D31" s="28" t="str">
        <f>'INCEXC A'!B31</f>
        <v>10.1109/isca.2016.15</v>
      </c>
      <c r="E31" s="28" t="str">
        <f>'INCEXC A'!C31</f>
        <v>Morpheus: creating application objects efficiently for heterogeneous computing</v>
      </c>
      <c r="F31" s="28" t="str">
        <f>'INCEXC A'!D31</f>
        <v>Marilyn</v>
      </c>
      <c r="G31" s="28" t="str">
        <f>'INCEXC B'!D31</f>
        <v>Danni</v>
      </c>
      <c r="H31" s="28" t="str">
        <f>'INCEXC A'!E31</f>
        <v>Exclude</v>
      </c>
      <c r="I31" s="28" t="str">
        <f>'INCEXC B'!E31</f>
        <v>Exclude</v>
      </c>
      <c r="J31" s="28" t="b">
        <f t="shared" si="2"/>
        <v>1</v>
      </c>
      <c r="K31" s="28" t="b">
        <f t="shared" si="3"/>
        <v>0</v>
      </c>
      <c r="L31" s="28" t="str">
        <f>'INCEXC A'!L31</f>
        <v/>
      </c>
      <c r="M31" s="28" t="str">
        <f>'INCEXC B'!L31</f>
        <v/>
      </c>
      <c r="O31" s="28" t="str">
        <f>'INCEXC A'!M31</f>
        <v/>
      </c>
      <c r="P31" s="28" t="str">
        <f>'INCEXC A'!N31</f>
        <v/>
      </c>
      <c r="Q31" s="28" t="str">
        <f>'INCEXC A'!O31</f>
        <v/>
      </c>
      <c r="R31" s="28" t="str">
        <f>'INCEXC B'!O31</f>
        <v/>
      </c>
      <c r="S31" s="28" t="str">
        <f>'INCEXC A'!P31</f>
        <v/>
      </c>
      <c r="T31" s="28" t="str">
        <f>'INCEXC B'!P31</f>
        <v/>
      </c>
      <c r="U31" s="28" t="b">
        <f t="shared" si="4"/>
        <v>1</v>
      </c>
      <c r="V31" s="28" t="b">
        <f t="shared" si="5"/>
        <v>0</v>
      </c>
    </row>
    <row r="32" hidden="1">
      <c r="A32" s="35" t="str">
        <f>'INCEXC A'!A32</f>
        <v>https://ieeexplore.ieee.org/stamp/stamp.jsp?arnumber=11269633</v>
      </c>
      <c r="B32" s="35" t="str">
        <f>'INCEXC B'!A32</f>
        <v>https://ieeexplore.ieee.org/stamp/stamp.jsp?arnumber=11269633</v>
      </c>
      <c r="C32" s="28" t="b">
        <f t="shared" si="1"/>
        <v>1</v>
      </c>
      <c r="D32" s="28" t="str">
        <f>'INCEXC A'!B32</f>
        <v>10.1109/ISTAS65609.2025.11269633</v>
      </c>
      <c r="E32" s="28" t="str">
        <f>'INCEXC A'!C32</f>
        <v>AI Detection and Risk Estimation in Family Violence: Challenges and Governance</v>
      </c>
      <c r="F32" s="28" t="str">
        <f>'INCEXC A'!D32</f>
        <v>Marilyn</v>
      </c>
      <c r="G32" s="28" t="str">
        <f>'INCEXC B'!D32</f>
        <v>Danni</v>
      </c>
      <c r="H32" s="28" t="str">
        <f>'INCEXC A'!E32</f>
        <v>Exclude</v>
      </c>
      <c r="I32" s="28" t="str">
        <f>'INCEXC B'!E32</f>
        <v>Exclude</v>
      </c>
      <c r="J32" s="28" t="b">
        <f t="shared" si="2"/>
        <v>1</v>
      </c>
      <c r="K32" s="28" t="b">
        <f t="shared" si="3"/>
        <v>0</v>
      </c>
      <c r="L32" s="28" t="str">
        <f>'INCEXC A'!L32</f>
        <v/>
      </c>
      <c r="M32" s="28" t="str">
        <f>'INCEXC B'!L32</f>
        <v/>
      </c>
      <c r="O32" s="28" t="str">
        <f>'INCEXC A'!M32</f>
        <v/>
      </c>
      <c r="P32" s="28" t="str">
        <f>'INCEXC A'!N32</f>
        <v/>
      </c>
      <c r="Q32" s="28" t="str">
        <f>'INCEXC A'!O32</f>
        <v/>
      </c>
      <c r="R32" s="28" t="str">
        <f>'INCEXC B'!O32</f>
        <v/>
      </c>
      <c r="S32" s="28" t="str">
        <f>'INCEXC A'!P32</f>
        <v/>
      </c>
      <c r="T32" s="28" t="str">
        <f>'INCEXC B'!P32</f>
        <v/>
      </c>
      <c r="U32" s="28" t="b">
        <f t="shared" si="4"/>
        <v>1</v>
      </c>
      <c r="V32" s="28" t="b">
        <f t="shared" si="5"/>
        <v>0</v>
      </c>
    </row>
    <row r="33" hidden="1">
      <c r="A33" s="35" t="str">
        <f>'INCEXC A'!A33</f>
        <v>https://ieeexplore.ieee.org/stamp/stamp.jsp?arnumber=4580542</v>
      </c>
      <c r="B33" s="35" t="str">
        <f>'INCEXC B'!A33</f>
        <v>https://ieeexplore.ieee.org/stamp/stamp.jsp?arnumber=4580542</v>
      </c>
      <c r="C33" s="28" t="b">
        <f t="shared" si="1"/>
        <v>1</v>
      </c>
      <c r="D33" s="28" t="str">
        <f>'INCEXC A'!B33</f>
        <v>10.1109/MIS.2008.55</v>
      </c>
      <c r="E33" s="28" t="str">
        <f>'INCEXC A'!C33</f>
        <v>A Computational Approach to Etiquette: Operationalizing Brown and Levinson's Politeness Model</v>
      </c>
      <c r="F33" s="28" t="str">
        <f>'INCEXC A'!D33</f>
        <v>Kaiser</v>
      </c>
      <c r="G33" s="28" t="str">
        <f>'INCEXC B'!D33</f>
        <v>Danni</v>
      </c>
      <c r="H33" s="28" t="str">
        <f>'INCEXC A'!E33</f>
        <v>Exclude</v>
      </c>
      <c r="I33" s="28" t="str">
        <f>'INCEXC B'!E33</f>
        <v>Exclude</v>
      </c>
      <c r="J33" s="28" t="b">
        <f t="shared" si="2"/>
        <v>1</v>
      </c>
      <c r="K33" s="28" t="b">
        <f t="shared" si="3"/>
        <v>0</v>
      </c>
      <c r="L33" s="28" t="str">
        <f>'INCEXC A'!L33</f>
        <v/>
      </c>
      <c r="M33" s="28" t="str">
        <f>'INCEXC B'!L33</f>
        <v/>
      </c>
      <c r="O33" s="28" t="str">
        <f>'INCEXC A'!M33</f>
        <v/>
      </c>
      <c r="P33" s="28" t="str">
        <f>'INCEXC A'!N33</f>
        <v/>
      </c>
      <c r="Q33" s="28" t="str">
        <f>'INCEXC A'!O33</f>
        <v/>
      </c>
      <c r="R33" s="28" t="str">
        <f>'INCEXC B'!O33</f>
        <v/>
      </c>
      <c r="S33" s="28" t="str">
        <f>'INCEXC A'!P33</f>
        <v/>
      </c>
      <c r="T33" s="28" t="str">
        <f>'INCEXC B'!P33</f>
        <v/>
      </c>
      <c r="U33" s="28" t="b">
        <f t="shared" si="4"/>
        <v>1</v>
      </c>
      <c r="V33" s="28" t="b">
        <f t="shared" si="5"/>
        <v>0</v>
      </c>
    </row>
    <row r="34" hidden="1">
      <c r="A34" s="35" t="str">
        <f>'INCEXC A'!A34</f>
        <v>https://ieeexplore.ieee.org/stamp/stamp.jsp?arnumber=11345775</v>
      </c>
      <c r="B34" s="35" t="str">
        <f>'INCEXC B'!A34</f>
        <v>https://ieeexplore.ieee.org/stamp/stamp.jsp?arnumber=11345775</v>
      </c>
      <c r="C34" s="28" t="b">
        <f t="shared" si="1"/>
        <v>1</v>
      </c>
      <c r="D34" s="28" t="str">
        <f>'INCEXC A'!B34</f>
        <v>10.1109/NKCon66957.2025.11345775</v>
      </c>
      <c r="E34" s="28" t="str">
        <f>'INCEXC A'!C34</f>
        <v>Improving Argumentative Reasoning in LLMs Using Online Debates and Agent-Based Interaction</v>
      </c>
      <c r="F34" s="28" t="str">
        <f>'INCEXC A'!D34</f>
        <v>Jonathan</v>
      </c>
      <c r="G34" s="28" t="str">
        <f>'INCEXC B'!D34</f>
        <v>Danni</v>
      </c>
      <c r="H34" s="28" t="str">
        <f>'INCEXC A'!E34</f>
        <v>Exclude</v>
      </c>
      <c r="I34" s="28" t="str">
        <f>'INCEXC B'!E34</f>
        <v>Exclude</v>
      </c>
      <c r="J34" s="28" t="b">
        <f t="shared" si="2"/>
        <v>1</v>
      </c>
      <c r="K34" s="28" t="b">
        <f t="shared" si="3"/>
        <v>0</v>
      </c>
      <c r="L34" s="28" t="str">
        <f>'INCEXC A'!L34</f>
        <v/>
      </c>
      <c r="M34" s="28" t="str">
        <f>'INCEXC B'!L34</f>
        <v/>
      </c>
      <c r="O34" s="28" t="str">
        <f>'INCEXC A'!M34</f>
        <v/>
      </c>
      <c r="P34" s="28" t="str">
        <f>'INCEXC A'!N34</f>
        <v/>
      </c>
      <c r="Q34" s="28" t="str">
        <f>'INCEXC A'!O34</f>
        <v/>
      </c>
      <c r="R34" s="28" t="str">
        <f>'INCEXC B'!O34</f>
        <v/>
      </c>
      <c r="S34" s="28" t="str">
        <f>'INCEXC A'!P34</f>
        <v/>
      </c>
      <c r="T34" s="28" t="str">
        <f>'INCEXC B'!P34</f>
        <v/>
      </c>
      <c r="U34" s="28" t="b">
        <f t="shared" si="4"/>
        <v>1</v>
      </c>
      <c r="V34" s="28" t="b">
        <f t="shared" si="5"/>
        <v>0</v>
      </c>
    </row>
    <row r="35" hidden="1">
      <c r="A35" s="35" t="str">
        <f>'INCEXC A'!A35</f>
        <v>https://ieeexplore.ieee.org/stamp/stamp.jsp?arnumber=11037824</v>
      </c>
      <c r="B35" s="35" t="str">
        <f>'INCEXC B'!A35</f>
        <v>https://ieeexplore.ieee.org/stamp/stamp.jsp?arnumber=11037824</v>
      </c>
      <c r="C35" s="28" t="b">
        <f t="shared" si="1"/>
        <v>1</v>
      </c>
      <c r="D35" s="28" t="str">
        <f>'INCEXC A'!B35</f>
        <v>10.1109/OJCS.2025.3580498</v>
      </c>
      <c r="E35" s="28" t="str">
        <f>'INCEXC A'!C35</f>
        <v>LLMs on a Budget: System-Level Approaches to Power-Efficient and Scalable Fine-Tuning</v>
      </c>
      <c r="F35" s="28" t="str">
        <f>'INCEXC A'!D35</f>
        <v>Kaiser</v>
      </c>
      <c r="G35" s="28" t="str">
        <f>'INCEXC B'!D35</f>
        <v>Ceren</v>
      </c>
      <c r="H35" s="28" t="str">
        <f>'INCEXC A'!E35</f>
        <v>Exclude</v>
      </c>
      <c r="I35" s="28" t="str">
        <f>'INCEXC B'!E35</f>
        <v>Exclude</v>
      </c>
      <c r="J35" s="28" t="b">
        <f t="shared" si="2"/>
        <v>1</v>
      </c>
      <c r="K35" s="28" t="b">
        <f t="shared" si="3"/>
        <v>0</v>
      </c>
      <c r="L35" s="28" t="str">
        <f>'INCEXC A'!L35</f>
        <v/>
      </c>
      <c r="M35" s="28" t="str">
        <f>'INCEXC B'!L35</f>
        <v/>
      </c>
      <c r="O35" s="28" t="str">
        <f>'INCEXC A'!M35</f>
        <v/>
      </c>
      <c r="P35" s="28" t="str">
        <f>'INCEXC A'!N35</f>
        <v/>
      </c>
      <c r="Q35" s="28" t="str">
        <f>'INCEXC A'!O35</f>
        <v/>
      </c>
      <c r="R35" s="28" t="str">
        <f>'INCEXC B'!O35</f>
        <v/>
      </c>
      <c r="S35" s="28" t="str">
        <f>'INCEXC A'!P35</f>
        <v/>
      </c>
      <c r="T35" s="28" t="str">
        <f>'INCEXC B'!P35</f>
        <v/>
      </c>
      <c r="U35" s="28" t="b">
        <f t="shared" si="4"/>
        <v>1</v>
      </c>
      <c r="V35" s="28" t="b">
        <f t="shared" si="5"/>
        <v>0</v>
      </c>
    </row>
    <row r="36">
      <c r="A36" s="35" t="str">
        <f>'INCEXC A'!A36</f>
        <v>https://ieeexplore.ieee.org/stamp/stamp.jsp?arnumber=11424465</v>
      </c>
      <c r="B36" s="35" t="str">
        <f>'INCEXC B'!A36</f>
        <v>https://ieeexplore.ieee.org/stamp/stamp.jsp?arnumber=11424465</v>
      </c>
      <c r="C36" s="28" t="b">
        <f t="shared" si="1"/>
        <v>1</v>
      </c>
      <c r="D36" s="28" t="str">
        <f>'INCEXC A'!B36</f>
        <v>10.1109/RAMS50514.2026.11424465</v>
      </c>
      <c r="E36" s="28" t="str">
        <f>'INCEXC A'!C36</f>
        <v>Autonomous AI-Driven FMEA Optimization For Safety And Reliability In Healthcare</v>
      </c>
      <c r="F36" s="28" t="str">
        <f>'INCEXC A'!D36</f>
        <v>Marilyn</v>
      </c>
      <c r="G36" s="28" t="str">
        <f>'INCEXC B'!D36</f>
        <v>Taylor</v>
      </c>
      <c r="H36" s="28" t="str">
        <f>'INCEXC A'!E36</f>
        <v>Exclude</v>
      </c>
      <c r="I36" s="28" t="str">
        <f>'INCEXC B'!E36</f>
        <v>Include</v>
      </c>
      <c r="J36" s="28" t="b">
        <f t="shared" si="2"/>
        <v>0</v>
      </c>
      <c r="K36" s="28" t="b">
        <f t="shared" si="3"/>
        <v>0</v>
      </c>
      <c r="L36" s="28" t="str">
        <f>'INCEXC A'!L36</f>
        <v/>
      </c>
      <c r="M36" s="28" t="str">
        <f>'INCEXC B'!L36</f>
        <v/>
      </c>
      <c r="O36" s="28" t="str">
        <f>'INCEXC A'!M36</f>
        <v/>
      </c>
      <c r="P36" s="28" t="str">
        <f>'INCEXC A'!N36</f>
        <v/>
      </c>
      <c r="Q36" s="28" t="str">
        <f>'INCEXC A'!O36</f>
        <v/>
      </c>
      <c r="R36" s="28" t="str">
        <f>'INCEXC B'!O36</f>
        <v/>
      </c>
      <c r="S36" s="28" t="str">
        <f>'INCEXC A'!P36</f>
        <v/>
      </c>
      <c r="T36" s="28" t="str">
        <f>'INCEXC B'!P36</f>
        <v/>
      </c>
      <c r="U36" s="28" t="b">
        <f t="shared" si="4"/>
        <v>1</v>
      </c>
      <c r="V36" s="28" t="b">
        <f t="shared" si="5"/>
        <v>0</v>
      </c>
    </row>
    <row r="37" hidden="1">
      <c r="A37" s="35" t="str">
        <f>'INCEXC A'!A37</f>
        <v>https://doi.org/10.1109/SCW63240.2024.00017</v>
      </c>
      <c r="B37" s="35" t="str">
        <f>'INCEXC B'!A37</f>
        <v>https://doi.org/10.1109/SCW63240.2024.00017</v>
      </c>
      <c r="C37" s="28" t="b">
        <f t="shared" si="1"/>
        <v>1</v>
      </c>
      <c r="D37" s="28" t="str">
        <f>'INCEXC A'!B37</f>
        <v>10.1109/SCW63240.2024.00017</v>
      </c>
      <c r="E37" s="28" t="str">
        <f>'INCEXC A'!C37</f>
        <v>SciTrust: Evaluating the Trustworthiness of Large Language Models for Science</v>
      </c>
      <c r="F37" s="28" t="str">
        <f>'INCEXC A'!D37</f>
        <v>Jonathan</v>
      </c>
      <c r="G37" s="28" t="str">
        <f>'INCEXC B'!D37</f>
        <v>Danni</v>
      </c>
      <c r="H37" s="28" t="str">
        <f>'INCEXC A'!E37</f>
        <v>Exclude</v>
      </c>
      <c r="I37" s="28" t="str">
        <f>'INCEXC B'!E37</f>
        <v>Exclude</v>
      </c>
      <c r="J37" s="28" t="b">
        <f t="shared" si="2"/>
        <v>1</v>
      </c>
      <c r="K37" s="28" t="b">
        <f t="shared" si="3"/>
        <v>0</v>
      </c>
      <c r="L37" s="28" t="str">
        <f>'INCEXC A'!L37</f>
        <v/>
      </c>
      <c r="M37" s="28" t="str">
        <f>'INCEXC B'!L37</f>
        <v/>
      </c>
      <c r="O37" s="28" t="str">
        <f>'INCEXC A'!M37</f>
        <v/>
      </c>
      <c r="P37" s="28" t="str">
        <f>'INCEXC A'!N37</f>
        <v/>
      </c>
      <c r="Q37" s="28" t="str">
        <f>'INCEXC A'!O37</f>
        <v/>
      </c>
      <c r="R37" s="28" t="str">
        <f>'INCEXC B'!O37</f>
        <v/>
      </c>
      <c r="S37" s="28" t="str">
        <f>'INCEXC A'!P37</f>
        <v/>
      </c>
      <c r="T37" s="28" t="str">
        <f>'INCEXC B'!P37</f>
        <v/>
      </c>
      <c r="U37" s="28" t="b">
        <f t="shared" si="4"/>
        <v>1</v>
      </c>
      <c r="V37" s="28" t="b">
        <f t="shared" si="5"/>
        <v>0</v>
      </c>
    </row>
    <row r="38">
      <c r="A38" s="35" t="str">
        <f>'INCEXC A'!A38</f>
        <v>https://ieeexplore.ieee.org/stamp/stamp.jsp?arnumber=10820709</v>
      </c>
      <c r="B38" s="35" t="str">
        <f>'INCEXC B'!A38</f>
        <v>https://ieeexplore.ieee.org/stamp/stamp.jsp?arnumber=10820709</v>
      </c>
      <c r="C38" s="28" t="b">
        <f t="shared" si="1"/>
        <v>1</v>
      </c>
      <c r="D38" s="28" t="str">
        <f>'INCEXC A'!B38</f>
        <v>10.1109/SCW63240.2024.00017</v>
      </c>
      <c r="E38" s="28" t="str">
        <f>'INCEXC A'!C38</f>
        <v>SciTrust: Evaluating the Trustworthiness of Large Language Models for Science</v>
      </c>
      <c r="F38" s="28" t="str">
        <f>'INCEXC A'!D38</f>
        <v>Marilyn</v>
      </c>
      <c r="G38" s="28" t="str">
        <f>'INCEXC B'!D38</f>
        <v>Ceren</v>
      </c>
      <c r="H38" s="28" t="str">
        <f>'INCEXC A'!E38</f>
        <v>Include</v>
      </c>
      <c r="I38" s="28" t="str">
        <f>'INCEXC B'!E38</f>
        <v>Include</v>
      </c>
      <c r="J38" s="28" t="b">
        <f t="shared" si="2"/>
        <v>1</v>
      </c>
      <c r="K38" s="28" t="b">
        <f t="shared" si="3"/>
        <v>1</v>
      </c>
      <c r="L38" s="28" t="str">
        <f>'INCEXC A'!L38</f>
        <v/>
      </c>
      <c r="M38" s="28" t="str">
        <f>'INCEXC B'!L38</f>
        <v/>
      </c>
      <c r="O38" s="28" t="str">
        <f>'INCEXC A'!M38</f>
        <v/>
      </c>
      <c r="P38" s="28" t="str">
        <f>'INCEXC A'!N38</f>
        <v/>
      </c>
      <c r="Q38" s="28" t="str">
        <f>'INCEXC A'!O38</f>
        <v/>
      </c>
      <c r="R38" s="28" t="str">
        <f>'INCEXC B'!O38</f>
        <v/>
      </c>
      <c r="S38" s="28" t="str">
        <f>'INCEXC A'!P38</f>
        <v/>
      </c>
      <c r="T38" s="28" t="str">
        <f>'INCEXC B'!P38</f>
        <v/>
      </c>
      <c r="U38" s="28" t="b">
        <f t="shared" si="4"/>
        <v>1</v>
      </c>
      <c r="V38" s="28" t="b">
        <f t="shared" si="5"/>
        <v>0</v>
      </c>
    </row>
    <row r="39" hidden="1">
      <c r="A39" s="35" t="str">
        <f>'INCEXC A'!A39</f>
        <v>https://ieeexplore.ieee.org/stamp/stamp.jsp?arnumber=11531012</v>
      </c>
      <c r="B39" s="35" t="str">
        <f>'INCEXC B'!A39</f>
        <v>https://ieeexplore.ieee.org/stamp/stamp.jsp?arnumber=11531012</v>
      </c>
      <c r="C39" s="28" t="b">
        <f t="shared" si="1"/>
        <v>1</v>
      </c>
      <c r="D39" s="28" t="str">
        <f>'INCEXC A'!B39</f>
        <v>10.1109/TDSC.2026.3695553</v>
      </c>
      <c r="E39" s="28" t="str">
        <f>'INCEXC A'!C39</f>
        <v>MCPXKIT: the Unified Toolkit for Analyzing Model Context Protocol Security</v>
      </c>
      <c r="F39" s="28" t="str">
        <f>'INCEXC A'!D39</f>
        <v>Kaiser</v>
      </c>
      <c r="G39" s="28" t="str">
        <f>'INCEXC B'!D39</f>
        <v>Ceren</v>
      </c>
      <c r="H39" s="28" t="str">
        <f>'INCEXC A'!E39</f>
        <v>Exclude</v>
      </c>
      <c r="I39" s="28" t="str">
        <f>'INCEXC B'!E39</f>
        <v>Exclude</v>
      </c>
      <c r="J39" s="28" t="b">
        <f t="shared" si="2"/>
        <v>1</v>
      </c>
      <c r="K39" s="28" t="b">
        <f t="shared" si="3"/>
        <v>0</v>
      </c>
      <c r="L39" s="28" t="str">
        <f>'INCEXC A'!L39</f>
        <v/>
      </c>
      <c r="M39" s="28" t="str">
        <f>'INCEXC B'!L39</f>
        <v/>
      </c>
      <c r="O39" s="28" t="str">
        <f>'INCEXC A'!M39</f>
        <v/>
      </c>
      <c r="P39" s="28" t="str">
        <f>'INCEXC A'!N39</f>
        <v/>
      </c>
      <c r="Q39" s="28" t="str">
        <f>'INCEXC A'!O39</f>
        <v/>
      </c>
      <c r="R39" s="28" t="str">
        <f>'INCEXC B'!O39</f>
        <v/>
      </c>
      <c r="S39" s="28" t="str">
        <f>'INCEXC A'!P39</f>
        <v/>
      </c>
      <c r="T39" s="28" t="str">
        <f>'INCEXC B'!P39</f>
        <v/>
      </c>
      <c r="U39" s="28" t="b">
        <f t="shared" si="4"/>
        <v>1</v>
      </c>
      <c r="V39" s="28" t="b">
        <f t="shared" si="5"/>
        <v>0</v>
      </c>
    </row>
    <row r="40" hidden="1">
      <c r="A40" s="35" t="str">
        <f>'INCEXC A'!A40</f>
        <v>https://ieeexplore.ieee.org/stamp/stamp.jsp?arnumber=5427110</v>
      </c>
      <c r="B40" s="35" t="str">
        <f>'INCEXC B'!A40</f>
        <v>https://ieeexplore.ieee.org/stamp/stamp.jsp?arnumber=5427110</v>
      </c>
      <c r="C40" s="28" t="b">
        <f t="shared" si="1"/>
        <v>1</v>
      </c>
      <c r="D40" s="28" t="str">
        <f>'INCEXC A'!B40</f>
        <v>10.1109/TEVC.2009.2021466</v>
      </c>
      <c r="E40" s="28" t="str">
        <f>'INCEXC A'!C40</f>
        <v>XCS for Personalizing Desktop Interfaces</v>
      </c>
      <c r="F40" s="28" t="str">
        <f>'INCEXC A'!D40</f>
        <v>Marilyn</v>
      </c>
      <c r="G40" s="28" t="str">
        <f>'INCEXC B'!D40</f>
        <v>Ceren</v>
      </c>
      <c r="H40" s="28" t="str">
        <f>'INCEXC A'!E40</f>
        <v>Exclude</v>
      </c>
      <c r="I40" s="28" t="str">
        <f>'INCEXC B'!E40</f>
        <v>Exclude</v>
      </c>
      <c r="J40" s="28" t="b">
        <f t="shared" si="2"/>
        <v>1</v>
      </c>
      <c r="K40" s="28" t="b">
        <f t="shared" si="3"/>
        <v>0</v>
      </c>
      <c r="L40" s="28" t="str">
        <f>'INCEXC A'!L40</f>
        <v/>
      </c>
      <c r="M40" s="28" t="str">
        <f>'INCEXC B'!L40</f>
        <v/>
      </c>
      <c r="O40" s="28" t="str">
        <f>'INCEXC A'!M40</f>
        <v/>
      </c>
      <c r="P40" s="28" t="str">
        <f>'INCEXC A'!N40</f>
        <v/>
      </c>
      <c r="Q40" s="28" t="str">
        <f>'INCEXC A'!O40</f>
        <v/>
      </c>
      <c r="R40" s="28" t="str">
        <f>'INCEXC B'!O40</f>
        <v/>
      </c>
      <c r="S40" s="28" t="str">
        <f>'INCEXC A'!P40</f>
        <v/>
      </c>
      <c r="T40" s="28" t="str">
        <f>'INCEXC B'!P40</f>
        <v/>
      </c>
      <c r="U40" s="28" t="b">
        <f t="shared" si="4"/>
        <v>1</v>
      </c>
      <c r="V40" s="28" t="b">
        <f t="shared" si="5"/>
        <v>0</v>
      </c>
    </row>
    <row r="41" hidden="1">
      <c r="A41" s="35" t="str">
        <f>'INCEXC A'!A41</f>
        <v>https://doi.org/10.1109/TNET.2017.2669215</v>
      </c>
      <c r="B41" s="35" t="str">
        <f>'INCEXC B'!A41</f>
        <v>https://doi.org/10.1109/TNET.2017.2669215</v>
      </c>
      <c r="C41" s="28" t="b">
        <f t="shared" si="1"/>
        <v>1</v>
      </c>
      <c r="D41" s="28" t="str">
        <f>'INCEXC A'!B41</f>
        <v>10.1109/tnet.2017.2669215</v>
      </c>
      <c r="E41" s="28" t="str">
        <f>'INCEXC A'!C41</f>
        <v>CubicRing: Exploiting Network Proximity for Distributed In-Memory Key-Value Store</v>
      </c>
      <c r="F41" s="28" t="str">
        <f>'INCEXC A'!D41</f>
        <v>Marilyn</v>
      </c>
      <c r="G41" s="28" t="str">
        <f>'INCEXC B'!D41</f>
        <v>Ceren</v>
      </c>
      <c r="H41" s="28" t="str">
        <f>'INCEXC A'!E41</f>
        <v>Exclude</v>
      </c>
      <c r="I41" s="28" t="str">
        <f>'INCEXC B'!E41</f>
        <v>Exclude</v>
      </c>
      <c r="J41" s="28" t="b">
        <f t="shared" si="2"/>
        <v>1</v>
      </c>
      <c r="K41" s="28" t="b">
        <f t="shared" si="3"/>
        <v>0</v>
      </c>
      <c r="L41" s="28" t="str">
        <f>'INCEXC A'!L41</f>
        <v/>
      </c>
      <c r="M41" s="28" t="str">
        <f>'INCEXC B'!L41</f>
        <v/>
      </c>
      <c r="O41" s="28" t="str">
        <f>'INCEXC A'!M41</f>
        <v/>
      </c>
      <c r="P41" s="28" t="str">
        <f>'INCEXC A'!N41</f>
        <v/>
      </c>
      <c r="Q41" s="28" t="str">
        <f>'INCEXC A'!O41</f>
        <v/>
      </c>
      <c r="R41" s="28" t="str">
        <f>'INCEXC B'!O41</f>
        <v/>
      </c>
      <c r="S41" s="28" t="str">
        <f>'INCEXC A'!P41</f>
        <v/>
      </c>
      <c r="T41" s="28" t="str">
        <f>'INCEXC B'!P41</f>
        <v/>
      </c>
      <c r="U41" s="28" t="b">
        <f t="shared" si="4"/>
        <v>1</v>
      </c>
      <c r="V41" s="28" t="b">
        <f t="shared" si="5"/>
        <v>0</v>
      </c>
    </row>
    <row r="42" hidden="1">
      <c r="A42" s="35" t="str">
        <f>'INCEXC A'!A42</f>
        <v>https://ieeexplore.ieee.org/stamp/stamp.jsp?arnumber=11029593</v>
      </c>
      <c r="B42" s="35" t="str">
        <f>'INCEXC B'!A42</f>
        <v>https://ieeexplore.ieee.org/stamp/stamp.jsp?arnumber=11029593</v>
      </c>
      <c r="C42" s="28" t="b">
        <f t="shared" si="1"/>
        <v>1</v>
      </c>
      <c r="D42" s="28" t="str">
        <f>'INCEXC A'!B42</f>
        <v>10.1109/TTS.2025.3573875</v>
      </c>
      <c r="E42" s="28" t="str">
        <f>'INCEXC A'!C42</f>
        <v>Emulated Empathy: Can Risks Be Countered by a Soft-Law Standard?</v>
      </c>
      <c r="F42" s="28" t="str">
        <f>'INCEXC A'!D42</f>
        <v>Marilyn</v>
      </c>
      <c r="G42" s="28" t="str">
        <f>'INCEXC B'!D42</f>
        <v>Ceren</v>
      </c>
      <c r="H42" s="28" t="str">
        <f>'INCEXC A'!E42</f>
        <v>Exclude</v>
      </c>
      <c r="I42" s="28" t="str">
        <f>'INCEXC B'!E42</f>
        <v>Exclude</v>
      </c>
      <c r="J42" s="28" t="b">
        <f t="shared" si="2"/>
        <v>1</v>
      </c>
      <c r="K42" s="28" t="b">
        <f t="shared" si="3"/>
        <v>0</v>
      </c>
      <c r="L42" s="28" t="str">
        <f>'INCEXC A'!L42</f>
        <v/>
      </c>
      <c r="M42" s="28" t="str">
        <f>'INCEXC B'!L42</f>
        <v/>
      </c>
      <c r="O42" s="28" t="str">
        <f>'INCEXC A'!M42</f>
        <v/>
      </c>
      <c r="P42" s="28" t="str">
        <f>'INCEXC A'!N42</f>
        <v/>
      </c>
      <c r="Q42" s="28" t="str">
        <f>'INCEXC A'!O42</f>
        <v/>
      </c>
      <c r="R42" s="28" t="str">
        <f>'INCEXC B'!O42</f>
        <v/>
      </c>
      <c r="S42" s="28" t="str">
        <f>'INCEXC A'!P42</f>
        <v/>
      </c>
      <c r="T42" s="28" t="str">
        <f>'INCEXC B'!P42</f>
        <v/>
      </c>
      <c r="U42" s="28" t="b">
        <f t="shared" si="4"/>
        <v>1</v>
      </c>
      <c r="V42" s="28" t="b">
        <f t="shared" si="5"/>
        <v>0</v>
      </c>
    </row>
    <row r="43" hidden="1">
      <c r="A43" s="35" t="str">
        <f>'INCEXC A'!A43</f>
        <v>https://ieeexplore.ieee.org/stamp/stamp.jsp?arnumber=11189226</v>
      </c>
      <c r="B43" s="35" t="str">
        <f>'INCEXC B'!A43</f>
        <v>https://ieeexplore.ieee.org/stamp/stamp.jsp?arnumber=11189226</v>
      </c>
      <c r="C43" s="28" t="b">
        <f t="shared" si="1"/>
        <v>1</v>
      </c>
      <c r="D43" s="28" t="str">
        <f>'INCEXC A'!B43</f>
        <v>10.1109/UV63228.2024.11189226</v>
      </c>
      <c r="E43" s="28" t="str">
        <f>'INCEXC A'!C43</f>
        <v>Hallucination in Large Language Models: From Mechanistic Understanding to Novel Control Frameworks</v>
      </c>
      <c r="F43" s="28" t="str">
        <f>'INCEXC A'!D43</f>
        <v>Marilyn</v>
      </c>
      <c r="G43" s="28" t="str">
        <f>'INCEXC B'!D43</f>
        <v>Danni</v>
      </c>
      <c r="H43" s="28" t="str">
        <f>'INCEXC A'!E43</f>
        <v>Exclude</v>
      </c>
      <c r="I43" s="28" t="str">
        <f>'INCEXC B'!E43</f>
        <v>Exclude</v>
      </c>
      <c r="J43" s="28" t="b">
        <f t="shared" si="2"/>
        <v>1</v>
      </c>
      <c r="K43" s="28" t="b">
        <f t="shared" si="3"/>
        <v>0</v>
      </c>
      <c r="L43" s="28" t="str">
        <f>'INCEXC A'!L43</f>
        <v/>
      </c>
      <c r="M43" s="28" t="str">
        <f>'INCEXC B'!L43</f>
        <v/>
      </c>
      <c r="O43" s="28" t="str">
        <f>'INCEXC A'!M43</f>
        <v/>
      </c>
      <c r="P43" s="28" t="str">
        <f>'INCEXC A'!N43</f>
        <v/>
      </c>
      <c r="Q43" s="28" t="str">
        <f>'INCEXC A'!O43</f>
        <v/>
      </c>
      <c r="R43" s="28" t="str">
        <f>'INCEXC B'!O43</f>
        <v/>
      </c>
      <c r="S43" s="28" t="str">
        <f>'INCEXC A'!P43</f>
        <v/>
      </c>
      <c r="T43" s="28" t="str">
        <f>'INCEXC B'!P43</f>
        <v/>
      </c>
      <c r="U43" s="28" t="b">
        <f t="shared" si="4"/>
        <v>1</v>
      </c>
      <c r="V43" s="28" t="b">
        <f t="shared" si="5"/>
        <v>0</v>
      </c>
    </row>
    <row r="44" hidden="1">
      <c r="A44" s="35" t="str">
        <f>'INCEXC A'!A44</f>
        <v>https://doi.org/10.1145/1037911.1037917</v>
      </c>
      <c r="B44" s="35" t="str">
        <f>'INCEXC B'!A44</f>
        <v>https://doi.org/10.1145/1037911.1037917</v>
      </c>
      <c r="C44" s="28" t="b">
        <f t="shared" si="1"/>
        <v>1</v>
      </c>
      <c r="D44" s="28" t="str">
        <f>'INCEXC A'!B44</f>
        <v>10.1145/1037911.1037917</v>
      </c>
      <c r="E44" s="28" t="str">
        <f>'INCEXC A'!C44</f>
        <v>Fits and starts</v>
      </c>
      <c r="F44" s="28" t="str">
        <f>'INCEXC A'!D44</f>
        <v>Marilyn</v>
      </c>
      <c r="G44" s="28" t="str">
        <f>'INCEXC B'!D44</f>
        <v>Ceren</v>
      </c>
      <c r="H44" s="28" t="str">
        <f>'INCEXC A'!E44</f>
        <v>Exclude</v>
      </c>
      <c r="I44" s="28" t="str">
        <f>'INCEXC B'!E44</f>
        <v>Exclude</v>
      </c>
      <c r="J44" s="28" t="b">
        <f t="shared" si="2"/>
        <v>1</v>
      </c>
      <c r="K44" s="28" t="b">
        <f t="shared" si="3"/>
        <v>0</v>
      </c>
      <c r="L44" s="28" t="str">
        <f>'INCEXC A'!L44</f>
        <v/>
      </c>
      <c r="M44" s="28" t="str">
        <f>'INCEXC B'!L44</f>
        <v/>
      </c>
      <c r="O44" s="28" t="str">
        <f>'INCEXC A'!M44</f>
        <v/>
      </c>
      <c r="P44" s="28" t="str">
        <f>'INCEXC A'!N44</f>
        <v/>
      </c>
      <c r="Q44" s="28" t="str">
        <f>'INCEXC A'!O44</f>
        <v/>
      </c>
      <c r="R44" s="28" t="str">
        <f>'INCEXC B'!O44</f>
        <v/>
      </c>
      <c r="S44" s="28" t="str">
        <f>'INCEXC A'!P44</f>
        <v/>
      </c>
      <c r="T44" s="28" t="str">
        <f>'INCEXC B'!P44</f>
        <v/>
      </c>
      <c r="U44" s="28" t="b">
        <f t="shared" si="4"/>
        <v>1</v>
      </c>
      <c r="V44" s="28" t="b">
        <f t="shared" si="5"/>
        <v>0</v>
      </c>
    </row>
    <row r="45" hidden="1">
      <c r="A45" s="35" t="str">
        <f>'INCEXC A'!A45</f>
        <v>https://doi.org/10.1145/1045264.1045265</v>
      </c>
      <c r="B45" s="35" t="str">
        <f>'INCEXC B'!A45</f>
        <v>https://doi.org/10.1145/1045264.1045265</v>
      </c>
      <c r="C45" s="28" t="b">
        <f t="shared" si="1"/>
        <v>1</v>
      </c>
      <c r="D45" s="28" t="str">
        <f>'INCEXC A'!B45</f>
        <v>10.1145/1045264.1045265</v>
      </c>
      <c r="E45" s="28" t="str">
        <f>'INCEXC A'!C45</f>
        <v>Computer power and human reason</v>
      </c>
      <c r="F45" s="28" t="str">
        <f>'INCEXC A'!D45</f>
        <v>Kaiser</v>
      </c>
      <c r="G45" s="28" t="str">
        <f>'INCEXC B'!D45</f>
        <v>Danni</v>
      </c>
      <c r="H45" s="28" t="str">
        <f>'INCEXC A'!E45</f>
        <v>Exclude</v>
      </c>
      <c r="I45" s="28" t="str">
        <f>'INCEXC B'!E45</f>
        <v>Exclude</v>
      </c>
      <c r="J45" s="28" t="b">
        <f t="shared" si="2"/>
        <v>1</v>
      </c>
      <c r="K45" s="28" t="b">
        <f t="shared" si="3"/>
        <v>0</v>
      </c>
      <c r="L45" s="28" t="str">
        <f>'INCEXC A'!L45</f>
        <v/>
      </c>
      <c r="M45" s="28" t="str">
        <f>'INCEXC B'!L45</f>
        <v/>
      </c>
      <c r="O45" s="28" t="str">
        <f>'INCEXC A'!M45</f>
        <v/>
      </c>
      <c r="P45" s="28" t="str">
        <f>'INCEXC A'!N45</f>
        <v/>
      </c>
      <c r="Q45" s="28" t="str">
        <f>'INCEXC A'!O45</f>
        <v/>
      </c>
      <c r="R45" s="28" t="str">
        <f>'INCEXC B'!O45</f>
        <v/>
      </c>
      <c r="S45" s="28" t="str">
        <f>'INCEXC A'!P45</f>
        <v/>
      </c>
      <c r="T45" s="28" t="str">
        <f>'INCEXC B'!P45</f>
        <v/>
      </c>
      <c r="U45" s="28" t="b">
        <f t="shared" si="4"/>
        <v>1</v>
      </c>
      <c r="V45" s="28" t="b">
        <f t="shared" si="5"/>
        <v>0</v>
      </c>
    </row>
    <row r="46" hidden="1">
      <c r="A46" s="35" t="str">
        <f>'INCEXC A'!A46</f>
        <v>https://doi.org/10.1145/1088222.1088226</v>
      </c>
      <c r="B46" s="35" t="str">
        <f>'INCEXC B'!A46</f>
        <v>https://doi.org/10.1145/1088222.1088226</v>
      </c>
      <c r="C46" s="28" t="b">
        <f t="shared" si="1"/>
        <v>1</v>
      </c>
      <c r="D46" s="28" t="str">
        <f>'INCEXC A'!B46</f>
        <v>10.1145/1088222.1088226</v>
      </c>
      <c r="E46" s="28" t="str">
        <f>'INCEXC A'!C46</f>
        <v>Some aspects of symbolic integration via predicate logic programming</v>
      </c>
      <c r="F46" s="28" t="str">
        <f>'INCEXC A'!D46</f>
        <v>Kaiser</v>
      </c>
      <c r="G46" s="28" t="str">
        <f>'INCEXC B'!D46</f>
        <v>Ceren</v>
      </c>
      <c r="H46" s="28" t="str">
        <f>'INCEXC A'!E46</f>
        <v>Exclude</v>
      </c>
      <c r="I46" s="28" t="str">
        <f>'INCEXC B'!E46</f>
        <v>Exclude</v>
      </c>
      <c r="J46" s="28" t="b">
        <f t="shared" si="2"/>
        <v>1</v>
      </c>
      <c r="K46" s="28" t="b">
        <f t="shared" si="3"/>
        <v>0</v>
      </c>
      <c r="L46" s="28" t="str">
        <f>'INCEXC A'!L46</f>
        <v/>
      </c>
      <c r="M46" s="28" t="str">
        <f>'INCEXC B'!L46</f>
        <v/>
      </c>
      <c r="O46" s="28" t="str">
        <f>'INCEXC A'!M46</f>
        <v/>
      </c>
      <c r="P46" s="28" t="str">
        <f>'INCEXC A'!N46</f>
        <v/>
      </c>
      <c r="Q46" s="28" t="str">
        <f>'INCEXC A'!O46</f>
        <v/>
      </c>
      <c r="R46" s="28" t="str">
        <f>'INCEXC B'!O46</f>
        <v/>
      </c>
      <c r="S46" s="28" t="str">
        <f>'INCEXC A'!P46</f>
        <v/>
      </c>
      <c r="T46" s="28" t="str">
        <f>'INCEXC B'!P46</f>
        <v/>
      </c>
      <c r="U46" s="28" t="b">
        <f t="shared" si="4"/>
        <v>1</v>
      </c>
      <c r="V46" s="28" t="b">
        <f t="shared" si="5"/>
        <v>0</v>
      </c>
    </row>
    <row r="47" hidden="1">
      <c r="A47" s="35" t="str">
        <f>'INCEXC A'!A47</f>
        <v>https://doi.org/10.1145/1120212.1120419</v>
      </c>
      <c r="B47" s="35" t="str">
        <f>'INCEXC B'!A47</f>
        <v>https://doi.org/10.1145/1120212.1120419</v>
      </c>
      <c r="C47" s="28" t="b">
        <f t="shared" si="1"/>
        <v>1</v>
      </c>
      <c r="D47" s="28" t="str">
        <f>'INCEXC A'!B47</f>
        <v>10.1145/1120212.1120419</v>
      </c>
      <c r="E47" s="28" t="str">
        <f>'INCEXC A'!C47</f>
        <v>How users reciprocate to computers: an experiment that demonstrates behavior change</v>
      </c>
      <c r="F47" s="28" t="str">
        <f>'INCEXC A'!D47</f>
        <v>Marilyn</v>
      </c>
      <c r="G47" s="28" t="str">
        <f>'INCEXC B'!D47</f>
        <v>Ceren</v>
      </c>
      <c r="H47" s="28" t="str">
        <f>'INCEXC A'!E47</f>
        <v>Exclude</v>
      </c>
      <c r="I47" s="28" t="str">
        <f>'INCEXC B'!E47</f>
        <v>Exclude</v>
      </c>
      <c r="J47" s="28" t="b">
        <f t="shared" si="2"/>
        <v>1</v>
      </c>
      <c r="K47" s="28" t="b">
        <f t="shared" si="3"/>
        <v>0</v>
      </c>
      <c r="L47" s="28" t="str">
        <f>'INCEXC A'!L47</f>
        <v/>
      </c>
      <c r="M47" s="28" t="str">
        <f>'INCEXC B'!L47</f>
        <v/>
      </c>
      <c r="O47" s="28" t="str">
        <f>'INCEXC A'!M47</f>
        <v/>
      </c>
      <c r="P47" s="28" t="str">
        <f>'INCEXC A'!N47</f>
        <v/>
      </c>
      <c r="Q47" s="28" t="str">
        <f>'INCEXC A'!O47</f>
        <v/>
      </c>
      <c r="R47" s="28" t="str">
        <f>'INCEXC B'!O47</f>
        <v/>
      </c>
      <c r="S47" s="28" t="str">
        <f>'INCEXC A'!P47</f>
        <v/>
      </c>
      <c r="T47" s="28" t="str">
        <f>'INCEXC B'!P47</f>
        <v/>
      </c>
      <c r="U47" s="28" t="b">
        <f t="shared" si="4"/>
        <v>1</v>
      </c>
      <c r="V47" s="28" t="b">
        <f t="shared" si="5"/>
        <v>0</v>
      </c>
    </row>
    <row r="48" hidden="1">
      <c r="A48" s="35" t="str">
        <f>'INCEXC A'!A48</f>
        <v>https://doi.org/10.1145/1141880.1523452</v>
      </c>
      <c r="B48" s="35" t="str">
        <f>'INCEXC B'!A48</f>
        <v>https://doi.org/10.1145/1141880.1523452</v>
      </c>
      <c r="C48" s="28" t="b">
        <f t="shared" si="1"/>
        <v>1</v>
      </c>
      <c r="D48" s="28" t="str">
        <f>'INCEXC A'!B48</f>
        <v>10.1145/1141880.1523452</v>
      </c>
      <c r="E48" s="28" t="str">
        <f>'INCEXC A'!C48</f>
        <v>Richard F. Hespos Interview: August 18-19</v>
      </c>
      <c r="F48" s="28" t="str">
        <f>'INCEXC A'!D48</f>
        <v>Jonathan</v>
      </c>
      <c r="G48" s="28" t="str">
        <f>'INCEXC B'!D48</f>
        <v>Taylor</v>
      </c>
      <c r="H48" s="28" t="str">
        <f>'INCEXC A'!E48</f>
        <v>Exclude</v>
      </c>
      <c r="I48" s="28" t="str">
        <f>'INCEXC B'!E48</f>
        <v>Exclude</v>
      </c>
      <c r="J48" s="28" t="b">
        <f t="shared" si="2"/>
        <v>1</v>
      </c>
      <c r="K48" s="28" t="b">
        <f t="shared" si="3"/>
        <v>0</v>
      </c>
      <c r="L48" s="28" t="str">
        <f>'INCEXC A'!L48</f>
        <v/>
      </c>
      <c r="M48" s="28" t="str">
        <f>'INCEXC B'!L48</f>
        <v/>
      </c>
      <c r="O48" s="28" t="str">
        <f>'INCEXC A'!M48</f>
        <v/>
      </c>
      <c r="P48" s="28" t="str">
        <f>'INCEXC A'!N48</f>
        <v/>
      </c>
      <c r="Q48" s="28" t="str">
        <f>'INCEXC A'!O48</f>
        <v/>
      </c>
      <c r="R48" s="28" t="str">
        <f>'INCEXC B'!O48</f>
        <v/>
      </c>
      <c r="S48" s="28" t="str">
        <f>'INCEXC A'!P48</f>
        <v/>
      </c>
      <c r="T48" s="28" t="str">
        <f>'INCEXC B'!P48</f>
        <v/>
      </c>
      <c r="U48" s="28" t="b">
        <f t="shared" si="4"/>
        <v>1</v>
      </c>
      <c r="V48" s="28" t="b">
        <f t="shared" si="5"/>
        <v>0</v>
      </c>
    </row>
    <row r="49" hidden="1">
      <c r="A49" s="35" t="str">
        <f>'INCEXC A'!A49</f>
        <v>https://doi.org/10.1145/1216295.1216357</v>
      </c>
      <c r="B49" s="35" t="str">
        <f>'INCEXC B'!A49</f>
        <v>https://doi.org/10.1145/1216295.1216357</v>
      </c>
      <c r="C49" s="28" t="b">
        <f t="shared" si="1"/>
        <v>1</v>
      </c>
      <c r="D49" s="28" t="str">
        <f>'INCEXC A'!B49</f>
        <v>10.1145/1216295.1216357</v>
      </c>
      <c r="E49" s="28" t="str">
        <f>'INCEXC A'!C49</f>
        <v>User-context for adaptive user interfaces</v>
      </c>
      <c r="F49" s="28" t="str">
        <f>'INCEXC A'!D49</f>
        <v>Marilyn</v>
      </c>
      <c r="G49" s="28" t="str">
        <f>'INCEXC B'!D49</f>
        <v>Danni</v>
      </c>
      <c r="H49" s="28" t="str">
        <f>'INCEXC A'!E49</f>
        <v>Exclude</v>
      </c>
      <c r="I49" s="28" t="str">
        <f>'INCEXC B'!E49</f>
        <v>Exclude</v>
      </c>
      <c r="J49" s="28" t="b">
        <f t="shared" si="2"/>
        <v>1</v>
      </c>
      <c r="K49" s="28" t="b">
        <f t="shared" si="3"/>
        <v>0</v>
      </c>
      <c r="L49" s="28" t="str">
        <f>'INCEXC A'!L49</f>
        <v/>
      </c>
      <c r="M49" s="28" t="str">
        <f>'INCEXC B'!L49</f>
        <v/>
      </c>
      <c r="O49" s="28" t="str">
        <f>'INCEXC A'!M49</f>
        <v/>
      </c>
      <c r="P49" s="28" t="str">
        <f>'INCEXC A'!N49</f>
        <v/>
      </c>
      <c r="Q49" s="28" t="str">
        <f>'INCEXC A'!O49</f>
        <v/>
      </c>
      <c r="R49" s="28" t="str">
        <f>'INCEXC B'!O49</f>
        <v/>
      </c>
      <c r="S49" s="28" t="str">
        <f>'INCEXC A'!P49</f>
        <v/>
      </c>
      <c r="T49" s="28" t="str">
        <f>'INCEXC B'!P49</f>
        <v/>
      </c>
      <c r="U49" s="28" t="b">
        <f t="shared" si="4"/>
        <v>1</v>
      </c>
      <c r="V49" s="28" t="b">
        <f t="shared" si="5"/>
        <v>0</v>
      </c>
    </row>
    <row r="50" hidden="1">
      <c r="A50" s="35" t="str">
        <f>'INCEXC A'!A50</f>
        <v>https://doi.org/10.1145/122153.122159</v>
      </c>
      <c r="B50" s="35" t="str">
        <f>'INCEXC B'!A50</f>
        <v>https://doi.org/10.1145/122153.122159</v>
      </c>
      <c r="C50" s="28" t="b">
        <f t="shared" si="1"/>
        <v>1</v>
      </c>
      <c r="D50" s="28" t="str">
        <f>'INCEXC A'!B50</f>
        <v>10.1145/122153.122159</v>
      </c>
      <c r="E50" s="28" t="str">
        <f>'INCEXC A'!C50</f>
        <v>The senior seminar in computer science</v>
      </c>
      <c r="F50" s="28" t="str">
        <f>'INCEXC A'!D50</f>
        <v>Jonathan</v>
      </c>
      <c r="G50" s="28" t="str">
        <f>'INCEXC B'!D50</f>
        <v>Danni</v>
      </c>
      <c r="H50" s="28" t="str">
        <f>'INCEXC A'!E50</f>
        <v>Exclude</v>
      </c>
      <c r="I50" s="28" t="str">
        <f>'INCEXC B'!E50</f>
        <v>Exclude</v>
      </c>
      <c r="J50" s="28" t="b">
        <f t="shared" si="2"/>
        <v>1</v>
      </c>
      <c r="K50" s="28" t="b">
        <f t="shared" si="3"/>
        <v>0</v>
      </c>
      <c r="L50" s="28" t="str">
        <f>'INCEXC A'!L50</f>
        <v/>
      </c>
      <c r="M50" s="28" t="str">
        <f>'INCEXC B'!L50</f>
        <v/>
      </c>
      <c r="O50" s="28" t="str">
        <f>'INCEXC A'!M50</f>
        <v/>
      </c>
      <c r="P50" s="28" t="str">
        <f>'INCEXC A'!N50</f>
        <v/>
      </c>
      <c r="Q50" s="28" t="str">
        <f>'INCEXC A'!O50</f>
        <v/>
      </c>
      <c r="R50" s="28" t="str">
        <f>'INCEXC B'!O50</f>
        <v/>
      </c>
      <c r="S50" s="28" t="str">
        <f>'INCEXC A'!P50</f>
        <v/>
      </c>
      <c r="T50" s="28" t="str">
        <f>'INCEXC B'!P50</f>
        <v/>
      </c>
      <c r="U50" s="28" t="b">
        <f t="shared" si="4"/>
        <v>1</v>
      </c>
      <c r="V50" s="28" t="b">
        <f t="shared" si="5"/>
        <v>0</v>
      </c>
    </row>
    <row r="51" hidden="1">
      <c r="A51" s="35" t="str">
        <f>'INCEXC A'!A51</f>
        <v>https://doi.org/10.1145/122153.122160</v>
      </c>
      <c r="B51" s="35" t="str">
        <f>'INCEXC B'!A51</f>
        <v>https://doi.org/10.1145/122153.122160</v>
      </c>
      <c r="C51" s="28" t="b">
        <f t="shared" si="1"/>
        <v>1</v>
      </c>
      <c r="D51" s="28" t="str">
        <f>'INCEXC A'!B51</f>
        <v>10.1145/122153.122160</v>
      </c>
      <c r="E51" s="28" t="str">
        <f>'INCEXC A'!C51</f>
        <v>The arcade laboratory: an environment to help teach algorithms</v>
      </c>
      <c r="F51" s="28" t="str">
        <f>'INCEXC A'!D51</f>
        <v>Jonathan</v>
      </c>
      <c r="G51" s="28" t="str">
        <f>'INCEXC B'!D51</f>
        <v>Danni</v>
      </c>
      <c r="H51" s="28" t="str">
        <f>'INCEXC A'!E51</f>
        <v>Exclude</v>
      </c>
      <c r="I51" s="28" t="str">
        <f>'INCEXC B'!E51</f>
        <v>Exclude</v>
      </c>
      <c r="J51" s="28" t="b">
        <f t="shared" si="2"/>
        <v>1</v>
      </c>
      <c r="K51" s="28" t="b">
        <f t="shared" si="3"/>
        <v>0</v>
      </c>
      <c r="L51" s="28" t="str">
        <f>'INCEXC A'!L51</f>
        <v/>
      </c>
      <c r="M51" s="28" t="str">
        <f>'INCEXC B'!L51</f>
        <v/>
      </c>
      <c r="O51" s="28" t="str">
        <f>'INCEXC A'!M51</f>
        <v/>
      </c>
      <c r="P51" s="28" t="str">
        <f>'INCEXC A'!N51</f>
        <v/>
      </c>
      <c r="Q51" s="28" t="str">
        <f>'INCEXC A'!O51</f>
        <v/>
      </c>
      <c r="R51" s="28" t="str">
        <f>'INCEXC B'!O51</f>
        <v/>
      </c>
      <c r="S51" s="28" t="str">
        <f>'INCEXC A'!P51</f>
        <v/>
      </c>
      <c r="T51" s="28" t="str">
        <f>'INCEXC B'!P51</f>
        <v/>
      </c>
      <c r="U51" s="28" t="b">
        <f t="shared" si="4"/>
        <v>1</v>
      </c>
      <c r="V51" s="28" t="b">
        <f t="shared" si="5"/>
        <v>0</v>
      </c>
    </row>
    <row r="52" hidden="1">
      <c r="A52" s="35" t="str">
        <f>'INCEXC A'!A52</f>
        <v>https://doi.org/10.1145/1274000.1274062</v>
      </c>
      <c r="B52" s="35" t="str">
        <f>'INCEXC B'!A52</f>
        <v>https://doi.org/10.1145/1274000.1274062</v>
      </c>
      <c r="C52" s="28" t="b">
        <f t="shared" si="1"/>
        <v>1</v>
      </c>
      <c r="D52" s="28" t="str">
        <f>'INCEXC A'!B52</f>
        <v>10.1145/1274000.1274062</v>
      </c>
      <c r="E52" s="28" t="str">
        <f>'INCEXC A'!C52</f>
        <v>Cascaded generic XCS to learn about reminding preferences</v>
      </c>
      <c r="F52" s="28" t="str">
        <f>'INCEXC A'!D52</f>
        <v>Jonathan</v>
      </c>
      <c r="G52" s="28" t="str">
        <f>'INCEXC B'!D52</f>
        <v>Taylor</v>
      </c>
      <c r="H52" s="28" t="str">
        <f>'INCEXC A'!E52</f>
        <v>Exclude</v>
      </c>
      <c r="I52" s="28" t="str">
        <f>'INCEXC B'!E52</f>
        <v>Exclude</v>
      </c>
      <c r="J52" s="28" t="b">
        <f t="shared" si="2"/>
        <v>1</v>
      </c>
      <c r="K52" s="28" t="b">
        <f t="shared" si="3"/>
        <v>0</v>
      </c>
      <c r="L52" s="28" t="str">
        <f>'INCEXC A'!L52</f>
        <v/>
      </c>
      <c r="M52" s="28" t="str">
        <f>'INCEXC B'!L52</f>
        <v/>
      </c>
      <c r="O52" s="28" t="str">
        <f>'INCEXC A'!M52</f>
        <v/>
      </c>
      <c r="P52" s="28" t="str">
        <f>'INCEXC A'!N52</f>
        <v/>
      </c>
      <c r="Q52" s="28" t="str">
        <f>'INCEXC A'!O52</f>
        <v/>
      </c>
      <c r="R52" s="28" t="str">
        <f>'INCEXC B'!O52</f>
        <v/>
      </c>
      <c r="S52" s="28" t="str">
        <f>'INCEXC A'!P52</f>
        <v/>
      </c>
      <c r="T52" s="28" t="str">
        <f>'INCEXC B'!P52</f>
        <v/>
      </c>
      <c r="U52" s="28" t="b">
        <f t="shared" si="4"/>
        <v>1</v>
      </c>
      <c r="V52" s="28" t="b">
        <f t="shared" si="5"/>
        <v>0</v>
      </c>
    </row>
    <row r="53" hidden="1">
      <c r="A53" s="35" t="str">
        <f>'INCEXC A'!A53</f>
        <v>https://doi.org/10.1145/1276958.1277335</v>
      </c>
      <c r="B53" s="35" t="str">
        <f>'INCEXC B'!A53</f>
        <v>https://doi.org/10.1145/1276958.1277335</v>
      </c>
      <c r="C53" s="28" t="b">
        <f t="shared" si="1"/>
        <v>1</v>
      </c>
      <c r="D53" s="28" t="str">
        <f>'INCEXC A'!B53</f>
        <v>10.1145/1276958.1277335</v>
      </c>
      <c r="E53" s="28" t="str">
        <f>'INCEXC A'!C53</f>
        <v>XCS for adaptive user-interfaces</v>
      </c>
      <c r="F53" s="28" t="str">
        <f>'INCEXC A'!D53</f>
        <v>Marilyn</v>
      </c>
      <c r="G53" s="28" t="str">
        <f>'INCEXC B'!D53</f>
        <v>Taylor</v>
      </c>
      <c r="H53" s="28" t="str">
        <f>'INCEXC A'!E53</f>
        <v>Exclude</v>
      </c>
      <c r="I53" s="28" t="str">
        <f>'INCEXC B'!E53</f>
        <v>Exclude</v>
      </c>
      <c r="J53" s="28" t="b">
        <f t="shared" si="2"/>
        <v>1</v>
      </c>
      <c r="K53" s="28" t="b">
        <f t="shared" si="3"/>
        <v>0</v>
      </c>
      <c r="L53" s="28" t="str">
        <f>'INCEXC A'!L53</f>
        <v/>
      </c>
      <c r="M53" s="28" t="str">
        <f>'INCEXC B'!L53</f>
        <v/>
      </c>
      <c r="O53" s="28" t="str">
        <f>'INCEXC A'!M53</f>
        <v/>
      </c>
      <c r="P53" s="28" t="str">
        <f>'INCEXC A'!N53</f>
        <v/>
      </c>
      <c r="Q53" s="28" t="str">
        <f>'INCEXC A'!O53</f>
        <v/>
      </c>
      <c r="R53" s="28" t="str">
        <f>'INCEXC B'!O53</f>
        <v/>
      </c>
      <c r="S53" s="28" t="str">
        <f>'INCEXC A'!P53</f>
        <v/>
      </c>
      <c r="T53" s="28" t="str">
        <f>'INCEXC B'!P53</f>
        <v/>
      </c>
      <c r="U53" s="28" t="b">
        <f t="shared" si="4"/>
        <v>1</v>
      </c>
      <c r="V53" s="28" t="b">
        <f t="shared" si="5"/>
        <v>0</v>
      </c>
    </row>
    <row r="54" hidden="1">
      <c r="A54" s="35" t="str">
        <f>'INCEXC A'!A54</f>
        <v>https://doi.org/10.1145/1394669.1394689</v>
      </c>
      <c r="B54" s="35" t="str">
        <f>'INCEXC B'!A54</f>
        <v>https://doi.org/10.1145/1394669.1394689</v>
      </c>
      <c r="C54" s="28" t="b">
        <f t="shared" si="1"/>
        <v>1</v>
      </c>
      <c r="D54" s="28" t="str">
        <f>'INCEXC A'!B54</f>
        <v>10.1145/1394669.1394689</v>
      </c>
      <c r="E54" s="28" t="str">
        <f>'INCEXC A'!C54</f>
        <v>Multi projector displays using a 3D compositing window manager</v>
      </c>
      <c r="F54" s="28" t="str">
        <f>'INCEXC A'!D54</f>
        <v>Jonathan</v>
      </c>
      <c r="G54" s="28" t="str">
        <f>'INCEXC B'!D54</f>
        <v>Danni</v>
      </c>
      <c r="H54" s="28" t="str">
        <f>'INCEXC A'!E54</f>
        <v>Exclude</v>
      </c>
      <c r="I54" s="28" t="str">
        <f>'INCEXC B'!E54</f>
        <v>Exclude</v>
      </c>
      <c r="J54" s="28" t="b">
        <f t="shared" si="2"/>
        <v>1</v>
      </c>
      <c r="K54" s="28" t="b">
        <f t="shared" si="3"/>
        <v>0</v>
      </c>
      <c r="L54" s="28" t="str">
        <f>'INCEXC A'!L54</f>
        <v/>
      </c>
      <c r="M54" s="28" t="str">
        <f>'INCEXC B'!L54</f>
        <v/>
      </c>
      <c r="O54" s="28" t="str">
        <f>'INCEXC A'!M54</f>
        <v/>
      </c>
      <c r="P54" s="28" t="str">
        <f>'INCEXC A'!N54</f>
        <v/>
      </c>
      <c r="Q54" s="28" t="str">
        <f>'INCEXC A'!O54</f>
        <v/>
      </c>
      <c r="R54" s="28" t="str">
        <f>'INCEXC B'!O54</f>
        <v/>
      </c>
      <c r="S54" s="28" t="str">
        <f>'INCEXC A'!P54</f>
        <v/>
      </c>
      <c r="T54" s="28" t="str">
        <f>'INCEXC B'!P54</f>
        <v/>
      </c>
      <c r="U54" s="28" t="b">
        <f t="shared" si="4"/>
        <v>1</v>
      </c>
      <c r="V54" s="28" t="b">
        <f t="shared" si="5"/>
        <v>0</v>
      </c>
    </row>
    <row r="55" hidden="1">
      <c r="A55" s="35" t="str">
        <f>'INCEXC A'!A55</f>
        <v>https://doi.org/10.1145/1409360.1409363</v>
      </c>
      <c r="B55" s="35" t="str">
        <f>'INCEXC B'!A55</f>
        <v>https://doi.org/10.1145/1409360.1409363</v>
      </c>
      <c r="C55" s="28" t="b">
        <f t="shared" si="1"/>
        <v>1</v>
      </c>
      <c r="D55" s="28" t="str">
        <f>'INCEXC A'!B55</f>
        <v>10.1145/1409360.1409363</v>
      </c>
      <c r="E55" s="28" t="str">
        <f>'INCEXC A'!C55</f>
        <v>Apple builds great platforms</v>
      </c>
      <c r="F55" s="28" t="str">
        <f>'INCEXC A'!D55</f>
        <v>Kaiser</v>
      </c>
      <c r="G55" s="28" t="str">
        <f>'INCEXC B'!D55</f>
        <v>Taylor</v>
      </c>
      <c r="H55" s="28" t="str">
        <f>'INCEXC A'!E55</f>
        <v>Exclude</v>
      </c>
      <c r="I55" s="28" t="str">
        <f>'INCEXC B'!E55</f>
        <v>Exclude</v>
      </c>
      <c r="J55" s="28" t="b">
        <f t="shared" si="2"/>
        <v>1</v>
      </c>
      <c r="K55" s="28" t="b">
        <f t="shared" si="3"/>
        <v>0</v>
      </c>
      <c r="L55" s="28" t="str">
        <f>'INCEXC A'!L55</f>
        <v/>
      </c>
      <c r="M55" s="28" t="str">
        <f>'INCEXC B'!L55</f>
        <v/>
      </c>
      <c r="O55" s="28" t="str">
        <f>'INCEXC A'!M55</f>
        <v/>
      </c>
      <c r="P55" s="28" t="str">
        <f>'INCEXC A'!N55</f>
        <v/>
      </c>
      <c r="Q55" s="28" t="str">
        <f>'INCEXC A'!O55</f>
        <v/>
      </c>
      <c r="R55" s="28" t="str">
        <f>'INCEXC B'!O55</f>
        <v/>
      </c>
      <c r="S55" s="28" t="str">
        <f>'INCEXC A'!P55</f>
        <v/>
      </c>
      <c r="T55" s="28" t="str">
        <f>'INCEXC B'!P55</f>
        <v/>
      </c>
      <c r="U55" s="28" t="b">
        <f t="shared" si="4"/>
        <v>1</v>
      </c>
      <c r="V55" s="28" t="b">
        <f t="shared" si="5"/>
        <v>0</v>
      </c>
    </row>
    <row r="56" hidden="1">
      <c r="A56" s="35" t="str">
        <f>'INCEXC A'!A56</f>
        <v>https://doi.org/10.1145/1450579.1450652</v>
      </c>
      <c r="B56" s="35" t="str">
        <f>'INCEXC B'!A56</f>
        <v>https://doi.org/10.1145/1450579.1450652</v>
      </c>
      <c r="C56" s="28" t="b">
        <f t="shared" si="1"/>
        <v>1</v>
      </c>
      <c r="D56" s="28" t="str">
        <f>'INCEXC A'!B56</f>
        <v>10.1145/1450579.1450652</v>
      </c>
      <c r="E56" s="28" t="str">
        <f>'INCEXC A'!C56</f>
        <v>AVACHAT: a new comic-based chat system for virtual avatars</v>
      </c>
      <c r="F56" s="28" t="str">
        <f>'INCEXC A'!D56</f>
        <v>Jonathan</v>
      </c>
      <c r="G56" s="28" t="str">
        <f>'INCEXC B'!D56</f>
        <v>Ceren</v>
      </c>
      <c r="H56" s="28" t="str">
        <f>'INCEXC A'!E56</f>
        <v>Exclude</v>
      </c>
      <c r="I56" s="28" t="str">
        <f>'INCEXC B'!E56</f>
        <v>Exclude</v>
      </c>
      <c r="J56" s="28" t="b">
        <f t="shared" si="2"/>
        <v>1</v>
      </c>
      <c r="K56" s="28" t="b">
        <f t="shared" si="3"/>
        <v>0</v>
      </c>
      <c r="L56" s="28" t="str">
        <f>'INCEXC A'!L56</f>
        <v/>
      </c>
      <c r="M56" s="28" t="str">
        <f>'INCEXC B'!L56</f>
        <v/>
      </c>
      <c r="O56" s="28" t="str">
        <f>'INCEXC A'!M56</f>
        <v/>
      </c>
      <c r="P56" s="28" t="str">
        <f>'INCEXC A'!N56</f>
        <v/>
      </c>
      <c r="Q56" s="28" t="str">
        <f>'INCEXC A'!O56</f>
        <v/>
      </c>
      <c r="R56" s="28" t="str">
        <f>'INCEXC B'!O56</f>
        <v/>
      </c>
      <c r="S56" s="28" t="str">
        <f>'INCEXC A'!P56</f>
        <v/>
      </c>
      <c r="T56" s="28" t="str">
        <f>'INCEXC B'!P56</f>
        <v/>
      </c>
      <c r="U56" s="28" t="b">
        <f t="shared" si="4"/>
        <v>1</v>
      </c>
      <c r="V56" s="28" t="b">
        <f t="shared" si="5"/>
        <v>0</v>
      </c>
    </row>
    <row r="57" hidden="1">
      <c r="A57" s="35" t="str">
        <f>'INCEXC A'!A57</f>
        <v>https://doi.org/10.1145/1477862.1477879</v>
      </c>
      <c r="B57" s="35" t="str">
        <f>'INCEXC B'!A57</f>
        <v>https://doi.org/10.1145/1477862.1477879</v>
      </c>
      <c r="C57" s="28" t="b">
        <f t="shared" si="1"/>
        <v>1</v>
      </c>
      <c r="D57" s="28" t="str">
        <f>'INCEXC A'!B57</f>
        <v>10.1145/1477862.1477879</v>
      </c>
      <c r="E57" s="28" t="str">
        <f>'INCEXC A'!C57</f>
        <v>A new cognition-based chat system for avatar agents in virtual space</v>
      </c>
      <c r="F57" s="28" t="str">
        <f>'INCEXC A'!D57</f>
        <v>Kaiser</v>
      </c>
      <c r="G57" s="28" t="str">
        <f>'INCEXC B'!D57</f>
        <v>Danni</v>
      </c>
      <c r="H57" s="28" t="str">
        <f>'INCEXC A'!E57</f>
        <v>Exclude</v>
      </c>
      <c r="I57" s="28" t="str">
        <f>'INCEXC B'!E57</f>
        <v>Exclude</v>
      </c>
      <c r="J57" s="28" t="b">
        <f t="shared" si="2"/>
        <v>1</v>
      </c>
      <c r="K57" s="28" t="b">
        <f t="shared" si="3"/>
        <v>0</v>
      </c>
      <c r="L57" s="28" t="str">
        <f>'INCEXC A'!L57</f>
        <v/>
      </c>
      <c r="M57" s="28" t="str">
        <f>'INCEXC B'!L57</f>
        <v/>
      </c>
      <c r="O57" s="28" t="str">
        <f>'INCEXC A'!M57</f>
        <v/>
      </c>
      <c r="P57" s="28" t="str">
        <f>'INCEXC A'!N57</f>
        <v/>
      </c>
      <c r="Q57" s="28" t="str">
        <f>'INCEXC A'!O57</f>
        <v/>
      </c>
      <c r="R57" s="28" t="str">
        <f>'INCEXC B'!O57</f>
        <v/>
      </c>
      <c r="S57" s="28" t="str">
        <f>'INCEXC A'!P57</f>
        <v/>
      </c>
      <c r="T57" s="28" t="str">
        <f>'INCEXC B'!P57</f>
        <v/>
      </c>
      <c r="U57" s="28" t="b">
        <f t="shared" si="4"/>
        <v>1</v>
      </c>
      <c r="V57" s="28" t="b">
        <f t="shared" si="5"/>
        <v>0</v>
      </c>
    </row>
    <row r="58" hidden="1">
      <c r="A58" s="35" t="str">
        <f>'INCEXC A'!A58</f>
        <v>https://doi.org/10.1145/1500175.1500178</v>
      </c>
      <c r="B58" s="35" t="str">
        <f>'INCEXC B'!A58</f>
        <v>https://doi.org/10.1145/1500175.1500178</v>
      </c>
      <c r="C58" s="28" t="b">
        <f t="shared" si="1"/>
        <v>1</v>
      </c>
      <c r="D58" s="28" t="str">
        <f>'INCEXC A'!B58</f>
        <v>10.1145/1500175.1500178</v>
      </c>
      <c r="E58" s="28" t="str">
        <f>'INCEXC A'!C58</f>
        <v>RADCAP: an operational parallel processing facility</v>
      </c>
      <c r="F58" s="28" t="str">
        <f>'INCEXC A'!D58</f>
        <v>Kaiser</v>
      </c>
      <c r="G58" s="28" t="str">
        <f>'INCEXC B'!D58</f>
        <v>Danni</v>
      </c>
      <c r="H58" s="28" t="str">
        <f>'INCEXC A'!E58</f>
        <v>Exclude</v>
      </c>
      <c r="I58" s="28" t="str">
        <f>'INCEXC B'!E58</f>
        <v>Exclude</v>
      </c>
      <c r="J58" s="28" t="b">
        <f t="shared" si="2"/>
        <v>1</v>
      </c>
      <c r="K58" s="28" t="b">
        <f t="shared" si="3"/>
        <v>0</v>
      </c>
      <c r="L58" s="28" t="str">
        <f>'INCEXC A'!L58</f>
        <v/>
      </c>
      <c r="M58" s="28" t="str">
        <f>'INCEXC B'!L58</f>
        <v/>
      </c>
      <c r="O58" s="28" t="str">
        <f>'INCEXC A'!M58</f>
        <v/>
      </c>
      <c r="P58" s="28" t="str">
        <f>'INCEXC A'!N58</f>
        <v/>
      </c>
      <c r="Q58" s="28" t="str">
        <f>'INCEXC A'!O58</f>
        <v/>
      </c>
      <c r="R58" s="28" t="str">
        <f>'INCEXC B'!O58</f>
        <v/>
      </c>
      <c r="S58" s="28" t="str">
        <f>'INCEXC A'!P58</f>
        <v/>
      </c>
      <c r="T58" s="28" t="str">
        <f>'INCEXC B'!P58</f>
        <v/>
      </c>
      <c r="U58" s="28" t="b">
        <f t="shared" si="4"/>
        <v>1</v>
      </c>
      <c r="V58" s="28" t="b">
        <f t="shared" si="5"/>
        <v>0</v>
      </c>
    </row>
    <row r="59">
      <c r="A59" s="35" t="str">
        <f>'INCEXC A'!A59</f>
        <v>https://doi.org/10.1145/1518701.1519021</v>
      </c>
      <c r="B59" s="35" t="str">
        <f>'INCEXC B'!A59</f>
        <v>https://doi.org/10.1145/1518701.1519021</v>
      </c>
      <c r="C59" s="28" t="b">
        <f t="shared" si="1"/>
        <v>1</v>
      </c>
      <c r="D59" s="28" t="str">
        <f>'INCEXC A'!B59</f>
        <v>10.1145/1518701.1519021</v>
      </c>
      <c r="E59" s="28" t="str">
        <f>'INCEXC A'!C59</f>
        <v>I'm sorry</v>
      </c>
      <c r="F59" s="28" t="str">
        <f>'INCEXC A'!D59</f>
        <v>Kaiser</v>
      </c>
      <c r="G59" s="28" t="str">
        <f>'INCEXC B'!D59</f>
        <v>Taylor</v>
      </c>
      <c r="H59" s="28" t="str">
        <f>'INCEXC A'!E59</f>
        <v>Include</v>
      </c>
      <c r="I59" s="28" t="str">
        <f>'INCEXC B'!E59</f>
        <v>Include</v>
      </c>
      <c r="J59" s="28" t="b">
        <f t="shared" si="2"/>
        <v>1</v>
      </c>
      <c r="K59" s="28" t="b">
        <f t="shared" si="3"/>
        <v>1</v>
      </c>
      <c r="L59" s="28" t="str">
        <f>'INCEXC A'!L59</f>
        <v/>
      </c>
      <c r="M59" s="28" t="str">
        <f>'INCEXC B'!L59</f>
        <v/>
      </c>
      <c r="O59" s="28" t="str">
        <f>'INCEXC A'!M59</f>
        <v/>
      </c>
      <c r="P59" s="28" t="str">
        <f>'INCEXC A'!N59</f>
        <v/>
      </c>
      <c r="Q59" s="28" t="str">
        <f>'INCEXC A'!O59</f>
        <v/>
      </c>
      <c r="R59" s="28" t="str">
        <f>'INCEXC B'!O59</f>
        <v/>
      </c>
      <c r="S59" s="28" t="str">
        <f>'INCEXC A'!P59</f>
        <v/>
      </c>
      <c r="T59" s="28" t="str">
        <f>'INCEXC B'!P59</f>
        <v/>
      </c>
      <c r="U59" s="28" t="b">
        <f t="shared" si="4"/>
        <v>1</v>
      </c>
      <c r="V59" s="28" t="b">
        <f t="shared" si="5"/>
        <v>0</v>
      </c>
    </row>
    <row r="60" hidden="1">
      <c r="A60" s="35" t="str">
        <f>'INCEXC A'!A60</f>
        <v>https://doi.org/10.1145/1596685.1596827</v>
      </c>
      <c r="B60" s="35" t="str">
        <f>'INCEXC B'!A60</f>
        <v>https://doi.org/10.1145/1596685.1596827</v>
      </c>
      <c r="C60" s="28" t="b">
        <f t="shared" si="1"/>
        <v>1</v>
      </c>
      <c r="D60" s="28" t="str">
        <f>'INCEXC A'!B60</f>
        <v>10.1145/1596685.1596827</v>
      </c>
      <c r="E60" s="28" t="str">
        <f>'INCEXC A'!C60</f>
        <v>Window pains</v>
      </c>
      <c r="F60" s="28" t="str">
        <f>'INCEXC A'!D60</f>
        <v>Kaiser</v>
      </c>
      <c r="G60" s="28" t="str">
        <f>'INCEXC B'!D60</f>
        <v>Danni</v>
      </c>
      <c r="H60" s="28" t="str">
        <f>'INCEXC A'!E60</f>
        <v>Exclude</v>
      </c>
      <c r="I60" s="28" t="str">
        <f>'INCEXC B'!E60</f>
        <v>Exclude</v>
      </c>
      <c r="J60" s="28" t="b">
        <f t="shared" si="2"/>
        <v>1</v>
      </c>
      <c r="K60" s="28" t="b">
        <f t="shared" si="3"/>
        <v>0</v>
      </c>
      <c r="L60" s="28" t="str">
        <f>'INCEXC A'!L60</f>
        <v/>
      </c>
      <c r="M60" s="28" t="str">
        <f>'INCEXC B'!L60</f>
        <v/>
      </c>
      <c r="O60" s="28" t="str">
        <f>'INCEXC A'!M60</f>
        <v/>
      </c>
      <c r="P60" s="28" t="str">
        <f>'INCEXC A'!N60</f>
        <v/>
      </c>
      <c r="Q60" s="28" t="str">
        <f>'INCEXC A'!O60</f>
        <v/>
      </c>
      <c r="R60" s="28" t="str">
        <f>'INCEXC B'!O60</f>
        <v/>
      </c>
      <c r="S60" s="28" t="str">
        <f>'INCEXC A'!P60</f>
        <v/>
      </c>
      <c r="T60" s="28" t="str">
        <f>'INCEXC B'!P60</f>
        <v/>
      </c>
      <c r="U60" s="28" t="b">
        <f t="shared" si="4"/>
        <v>1</v>
      </c>
      <c r="V60" s="28" t="b">
        <f t="shared" si="5"/>
        <v>0</v>
      </c>
    </row>
    <row r="61" hidden="1">
      <c r="A61" s="35" t="str">
        <f>'INCEXC A'!A61</f>
        <v>https://doi.org/10.1145/1621890.1621914</v>
      </c>
      <c r="B61" s="35" t="str">
        <f>'INCEXC B'!A61</f>
        <v>https://doi.org/10.1145/1621890.1621914</v>
      </c>
      <c r="C61" s="28" t="b">
        <f t="shared" si="1"/>
        <v>1</v>
      </c>
      <c r="D61" s="28" t="str">
        <f>'INCEXC A'!B61</f>
        <v>10.1145/1621890.1621914</v>
      </c>
      <c r="E61" s="28" t="str">
        <f>'INCEXC A'!C61</f>
        <v>Dynamic web service orchestration applied to the device profile for web services in hierarchical networks</v>
      </c>
      <c r="F61" s="28" t="str">
        <f>'INCEXC A'!D61</f>
        <v>Kaiser</v>
      </c>
      <c r="G61" s="28" t="str">
        <f>'INCEXC B'!D61</f>
        <v>Danni</v>
      </c>
      <c r="H61" s="28" t="str">
        <f>'INCEXC A'!E61</f>
        <v>Exclude</v>
      </c>
      <c r="I61" s="28" t="str">
        <f>'INCEXC B'!E61</f>
        <v>Exclude</v>
      </c>
      <c r="J61" s="28" t="b">
        <f t="shared" si="2"/>
        <v>1</v>
      </c>
      <c r="K61" s="28" t="b">
        <f t="shared" si="3"/>
        <v>0</v>
      </c>
      <c r="L61" s="28" t="str">
        <f>'INCEXC A'!L61</f>
        <v/>
      </c>
      <c r="M61" s="28" t="str">
        <f>'INCEXC B'!L61</f>
        <v/>
      </c>
      <c r="O61" s="28" t="str">
        <f>'INCEXC A'!M61</f>
        <v/>
      </c>
      <c r="P61" s="28" t="str">
        <f>'INCEXC A'!N61</f>
        <v/>
      </c>
      <c r="Q61" s="28" t="str">
        <f>'INCEXC A'!O61</f>
        <v/>
      </c>
      <c r="R61" s="28" t="str">
        <f>'INCEXC B'!O61</f>
        <v/>
      </c>
      <c r="S61" s="28" t="str">
        <f>'INCEXC A'!P61</f>
        <v/>
      </c>
      <c r="T61" s="28" t="str">
        <f>'INCEXC B'!P61</f>
        <v/>
      </c>
      <c r="U61" s="28" t="b">
        <f t="shared" si="4"/>
        <v>1</v>
      </c>
      <c r="V61" s="28" t="b">
        <f t="shared" si="5"/>
        <v>0</v>
      </c>
    </row>
    <row r="62" hidden="1">
      <c r="A62" s="35" t="str">
        <f>'INCEXC A'!A62</f>
        <v>https://doi.org/10.1145/1629575.1629577</v>
      </c>
      <c r="B62" s="35" t="str">
        <f>'INCEXC B'!A62</f>
        <v>https://doi.org/10.1145/1629575.1629577</v>
      </c>
      <c r="C62" s="28" t="b">
        <f t="shared" si="1"/>
        <v>1</v>
      </c>
      <c r="D62" s="28" t="str">
        <f>'INCEXC A'!B62</f>
        <v>10.1145/1629575.1629577</v>
      </c>
      <c r="E62" s="28" t="str">
        <f>'INCEXC A'!C62</f>
        <v>FAWN: a fast array of wimpy nodes</v>
      </c>
      <c r="F62" s="28" t="str">
        <f>'INCEXC A'!D62</f>
        <v>Jonathan</v>
      </c>
      <c r="G62" s="28" t="str">
        <f>'INCEXC B'!D62</f>
        <v>Danni</v>
      </c>
      <c r="H62" s="28" t="str">
        <f>'INCEXC A'!E62</f>
        <v>Exclude</v>
      </c>
      <c r="I62" s="28" t="str">
        <f>'INCEXC B'!E62</f>
        <v>Exclude</v>
      </c>
      <c r="J62" s="28" t="b">
        <f t="shared" si="2"/>
        <v>1</v>
      </c>
      <c r="K62" s="28" t="b">
        <f t="shared" si="3"/>
        <v>0</v>
      </c>
      <c r="L62" s="28" t="str">
        <f>'INCEXC A'!L62</f>
        <v/>
      </c>
      <c r="M62" s="28" t="str">
        <f>'INCEXC B'!L62</f>
        <v/>
      </c>
      <c r="O62" s="28" t="str">
        <f>'INCEXC A'!M62</f>
        <v/>
      </c>
      <c r="P62" s="28" t="str">
        <f>'INCEXC A'!N62</f>
        <v/>
      </c>
      <c r="Q62" s="28" t="str">
        <f>'INCEXC A'!O62</f>
        <v/>
      </c>
      <c r="R62" s="28" t="str">
        <f>'INCEXC B'!O62</f>
        <v/>
      </c>
      <c r="S62" s="28" t="str">
        <f>'INCEXC A'!P62</f>
        <v/>
      </c>
      <c r="T62" s="28" t="str">
        <f>'INCEXC B'!P62</f>
        <v/>
      </c>
      <c r="U62" s="28" t="b">
        <f t="shared" si="4"/>
        <v>1</v>
      </c>
      <c r="V62" s="28" t="b">
        <f t="shared" si="5"/>
        <v>0</v>
      </c>
    </row>
    <row r="63" hidden="1">
      <c r="A63" s="35" t="str">
        <f>'INCEXC A'!A63</f>
        <v>https://doi.org/10.1145/1640089.1640127</v>
      </c>
      <c r="B63" s="35" t="str">
        <f>'INCEXC B'!A63</f>
        <v>https://doi.org/10.1145/1640089.1640127</v>
      </c>
      <c r="C63" s="28" t="b">
        <f t="shared" si="1"/>
        <v>1</v>
      </c>
      <c r="D63" s="28" t="str">
        <f>'INCEXC A'!B63</f>
        <v>10.1145/1640089.1640127</v>
      </c>
      <c r="E63" s="28" t="str">
        <f>'INCEXC A'!C63</f>
        <v>Regrowing a language: refactoring tools allow programming languages to evolve</v>
      </c>
      <c r="F63" s="28" t="str">
        <f>'INCEXC A'!D63</f>
        <v>Jonathan</v>
      </c>
      <c r="G63" s="28" t="str">
        <f>'INCEXC B'!D63</f>
        <v>Taylor</v>
      </c>
      <c r="H63" s="28" t="str">
        <f>'INCEXC A'!E63</f>
        <v>Exclude</v>
      </c>
      <c r="I63" s="28" t="str">
        <f>'INCEXC B'!E63</f>
        <v>Exclude</v>
      </c>
      <c r="J63" s="28" t="b">
        <f t="shared" si="2"/>
        <v>1</v>
      </c>
      <c r="K63" s="28" t="b">
        <f t="shared" si="3"/>
        <v>0</v>
      </c>
      <c r="L63" s="28" t="str">
        <f>'INCEXC A'!L63</f>
        <v/>
      </c>
      <c r="M63" s="28" t="str">
        <f>'INCEXC B'!L63</f>
        <v/>
      </c>
      <c r="O63" s="28" t="str">
        <f>'INCEXC A'!M63</f>
        <v/>
      </c>
      <c r="P63" s="28" t="str">
        <f>'INCEXC A'!N63</f>
        <v/>
      </c>
      <c r="Q63" s="28" t="str">
        <f>'INCEXC A'!O63</f>
        <v/>
      </c>
      <c r="R63" s="28" t="str">
        <f>'INCEXC B'!O63</f>
        <v/>
      </c>
      <c r="S63" s="28" t="str">
        <f>'INCEXC A'!P63</f>
        <v/>
      </c>
      <c r="T63" s="28" t="str">
        <f>'INCEXC B'!P63</f>
        <v/>
      </c>
      <c r="U63" s="28" t="b">
        <f t="shared" si="4"/>
        <v>1</v>
      </c>
      <c r="V63" s="28" t="b">
        <f t="shared" si="5"/>
        <v>0</v>
      </c>
    </row>
    <row r="64" hidden="1">
      <c r="A64" s="35" t="str">
        <f>'INCEXC A'!A64</f>
        <v>https://doi.org/10.1145/1740390.1740407</v>
      </c>
      <c r="B64" s="35" t="str">
        <f>'INCEXC B'!A64</f>
        <v>https://doi.org/10.1145/1740390.1740407</v>
      </c>
      <c r="C64" s="28" t="b">
        <f t="shared" si="1"/>
        <v>1</v>
      </c>
      <c r="D64" s="28" t="str">
        <f>'INCEXC A'!B64</f>
        <v>10.1145/1740390.1740407</v>
      </c>
      <c r="E64" s="28" t="str">
        <f>'INCEXC A'!C64</f>
        <v>Low-power amdahl-balanced blades for data intensive computing</v>
      </c>
      <c r="F64" s="28" t="str">
        <f>'INCEXC A'!D64</f>
        <v>Kaiser</v>
      </c>
      <c r="G64" s="28" t="str">
        <f>'INCEXC B'!D64</f>
        <v>Ceren</v>
      </c>
      <c r="H64" s="28" t="str">
        <f>'INCEXC A'!E64</f>
        <v>Exclude</v>
      </c>
      <c r="I64" s="28" t="str">
        <f>'INCEXC B'!E64</f>
        <v>Exclude</v>
      </c>
      <c r="J64" s="28" t="b">
        <f t="shared" si="2"/>
        <v>1</v>
      </c>
      <c r="K64" s="28" t="b">
        <f t="shared" si="3"/>
        <v>0</v>
      </c>
      <c r="L64" s="28" t="str">
        <f>'INCEXC A'!L64</f>
        <v/>
      </c>
      <c r="M64" s="28" t="str">
        <f>'INCEXC B'!L64</f>
        <v/>
      </c>
      <c r="O64" s="28" t="str">
        <f>'INCEXC A'!M64</f>
        <v/>
      </c>
      <c r="P64" s="28" t="str">
        <f>'INCEXC A'!N64</f>
        <v/>
      </c>
      <c r="Q64" s="28" t="str">
        <f>'INCEXC A'!O64</f>
        <v/>
      </c>
      <c r="R64" s="28" t="str">
        <f>'INCEXC B'!O64</f>
        <v/>
      </c>
      <c r="S64" s="28" t="str">
        <f>'INCEXC A'!P64</f>
        <v/>
      </c>
      <c r="T64" s="28" t="str">
        <f>'INCEXC B'!P64</f>
        <v/>
      </c>
      <c r="U64" s="28" t="b">
        <f t="shared" si="4"/>
        <v>1</v>
      </c>
      <c r="V64" s="28" t="b">
        <f t="shared" si="5"/>
        <v>0</v>
      </c>
    </row>
    <row r="65" hidden="1">
      <c r="A65" s="35" t="str">
        <f>'INCEXC A'!A65</f>
        <v>https://doi.org/10.1145/1740390.1740408</v>
      </c>
      <c r="B65" s="35" t="str">
        <f>'INCEXC B'!A65</f>
        <v>https://doi.org/10.1145/1740390.1740408</v>
      </c>
      <c r="C65" s="28" t="b">
        <f t="shared" si="1"/>
        <v>1</v>
      </c>
      <c r="D65" s="28" t="str">
        <f>'INCEXC A'!B65</f>
        <v>10.1145/1740390.1740408</v>
      </c>
      <c r="E65" s="28" t="str">
        <f>'INCEXC A'!C65</f>
        <v>An energy case for hybrid datacenters</v>
      </c>
      <c r="F65" s="28" t="str">
        <f>'INCEXC A'!D65</f>
        <v>Kaiser</v>
      </c>
      <c r="G65" s="28" t="str">
        <f>'INCEXC B'!D65</f>
        <v>Danni</v>
      </c>
      <c r="H65" s="28" t="str">
        <f>'INCEXC A'!E65</f>
        <v>Exclude</v>
      </c>
      <c r="I65" s="28" t="str">
        <f>'INCEXC B'!E65</f>
        <v>Exclude</v>
      </c>
      <c r="J65" s="28" t="b">
        <f t="shared" si="2"/>
        <v>1</v>
      </c>
      <c r="K65" s="28" t="b">
        <f t="shared" si="3"/>
        <v>0</v>
      </c>
      <c r="L65" s="28" t="str">
        <f>'INCEXC A'!L65</f>
        <v/>
      </c>
      <c r="M65" s="28" t="str">
        <f>'INCEXC B'!L65</f>
        <v/>
      </c>
      <c r="O65" s="28" t="str">
        <f>'INCEXC A'!M65</f>
        <v/>
      </c>
      <c r="P65" s="28" t="str">
        <f>'INCEXC A'!N65</f>
        <v/>
      </c>
      <c r="Q65" s="28" t="str">
        <f>'INCEXC A'!O65</f>
        <v/>
      </c>
      <c r="R65" s="28" t="str">
        <f>'INCEXC B'!O65</f>
        <v/>
      </c>
      <c r="S65" s="28" t="str">
        <f>'INCEXC A'!P65</f>
        <v/>
      </c>
      <c r="T65" s="28" t="str">
        <f>'INCEXC B'!P65</f>
        <v/>
      </c>
      <c r="U65" s="28" t="b">
        <f t="shared" si="4"/>
        <v>1</v>
      </c>
      <c r="V65" s="28" t="b">
        <f t="shared" si="5"/>
        <v>0</v>
      </c>
    </row>
    <row r="66" hidden="1">
      <c r="A66" s="35" t="str">
        <f>'INCEXC A'!A66</f>
        <v>https://doi.org/10.1145/174690.174697</v>
      </c>
      <c r="B66" s="35" t="str">
        <f>'INCEXC B'!A66</f>
        <v>https://doi.org/10.1145/174690.174697</v>
      </c>
      <c r="C66" s="28" t="b">
        <f t="shared" si="1"/>
        <v>1</v>
      </c>
      <c r="D66" s="28" t="str">
        <f>'INCEXC A'!B66</f>
        <v>10.1145/174690.174697</v>
      </c>
      <c r="E66" s="28" t="str">
        <f>'INCEXC A'!C66</f>
        <v>On Julius Caesar</v>
      </c>
      <c r="F66" s="28" t="str">
        <f>'INCEXC A'!D66</f>
        <v>Jonathan</v>
      </c>
      <c r="G66" s="28" t="str">
        <f>'INCEXC B'!D66</f>
        <v>Danni</v>
      </c>
      <c r="H66" s="28" t="str">
        <f>'INCEXC A'!E66</f>
        <v>Exclude</v>
      </c>
      <c r="I66" s="28" t="str">
        <f>'INCEXC B'!E66</f>
        <v>Exclude</v>
      </c>
      <c r="J66" s="28" t="b">
        <f t="shared" si="2"/>
        <v>1</v>
      </c>
      <c r="K66" s="28" t="b">
        <f t="shared" si="3"/>
        <v>0</v>
      </c>
      <c r="L66" s="28" t="str">
        <f>'INCEXC A'!L66</f>
        <v/>
      </c>
      <c r="M66" s="28" t="str">
        <f>'INCEXC B'!L66</f>
        <v/>
      </c>
      <c r="O66" s="28" t="str">
        <f>'INCEXC A'!M66</f>
        <v/>
      </c>
      <c r="P66" s="28" t="str">
        <f>'INCEXC A'!N66</f>
        <v/>
      </c>
      <c r="Q66" s="28" t="str">
        <f>'INCEXC A'!O66</f>
        <v/>
      </c>
      <c r="R66" s="28" t="str">
        <f>'INCEXC B'!O66</f>
        <v/>
      </c>
      <c r="S66" s="28" t="str">
        <f>'INCEXC A'!P66</f>
        <v/>
      </c>
      <c r="T66" s="28" t="str">
        <f>'INCEXC B'!P66</f>
        <v/>
      </c>
      <c r="U66" s="28" t="b">
        <f t="shared" si="4"/>
        <v>1</v>
      </c>
      <c r="V66" s="28" t="b">
        <f t="shared" si="5"/>
        <v>0</v>
      </c>
    </row>
    <row r="67" hidden="1">
      <c r="A67" s="35" t="str">
        <f>'INCEXC A'!A67</f>
        <v>https://doi.org/10.1145/175208.175220</v>
      </c>
      <c r="B67" s="35" t="str">
        <f>'INCEXC B'!A67</f>
        <v>https://doi.org/10.1145/175208.175220</v>
      </c>
      <c r="C67" s="28" t="b">
        <f t="shared" si="1"/>
        <v>1</v>
      </c>
      <c r="D67" s="28" t="str">
        <f>'INCEXC A'!B67</f>
        <v>10.1145/175208.175220</v>
      </c>
      <c r="E67" s="28" t="str">
        <f>'INCEXC A'!C67</f>
        <v>Israel: of swords and software plowshares</v>
      </c>
      <c r="F67" s="28" t="str">
        <f>'INCEXC A'!D67</f>
        <v>Marilyn</v>
      </c>
      <c r="G67" s="28" t="str">
        <f>'INCEXC B'!D67</f>
        <v>Taylor</v>
      </c>
      <c r="H67" s="28" t="str">
        <f>'INCEXC A'!E67</f>
        <v>Exclude</v>
      </c>
      <c r="I67" s="28" t="str">
        <f>'INCEXC B'!E67</f>
        <v>Exclude</v>
      </c>
      <c r="J67" s="28" t="b">
        <f t="shared" si="2"/>
        <v>1</v>
      </c>
      <c r="K67" s="28" t="b">
        <f t="shared" si="3"/>
        <v>0</v>
      </c>
      <c r="L67" s="28" t="str">
        <f>'INCEXC A'!L67</f>
        <v/>
      </c>
      <c r="M67" s="28" t="str">
        <f>'INCEXC B'!L67</f>
        <v/>
      </c>
      <c r="O67" s="28" t="str">
        <f>'INCEXC A'!M67</f>
        <v/>
      </c>
      <c r="P67" s="28" t="str">
        <f>'INCEXC A'!N67</f>
        <v/>
      </c>
      <c r="Q67" s="28" t="str">
        <f>'INCEXC A'!O67</f>
        <v/>
      </c>
      <c r="R67" s="28" t="str">
        <f>'INCEXC B'!O67</f>
        <v/>
      </c>
      <c r="S67" s="28" t="str">
        <f>'INCEXC A'!P67</f>
        <v/>
      </c>
      <c r="T67" s="28" t="str">
        <f>'INCEXC B'!P67</f>
        <v/>
      </c>
      <c r="U67" s="28" t="b">
        <f t="shared" si="4"/>
        <v>1</v>
      </c>
      <c r="V67" s="28" t="b">
        <f t="shared" si="5"/>
        <v>0</v>
      </c>
    </row>
    <row r="68" hidden="1">
      <c r="A68" s="35" t="str">
        <f>'INCEXC A'!A68</f>
        <v>https://doi.org/10.1145/1755913.1755916</v>
      </c>
      <c r="B68" s="35" t="str">
        <f>'INCEXC B'!A68</f>
        <v>https://doi.org/10.1145/1755913.1755916</v>
      </c>
      <c r="C68" s="28" t="b">
        <f t="shared" si="1"/>
        <v>1</v>
      </c>
      <c r="D68" s="28" t="str">
        <f>'INCEXC A'!B68</f>
        <v>10.1145/1755913.1755916</v>
      </c>
      <c r="E68" s="28" t="str">
        <f>'INCEXC A'!C68</f>
        <v>Differential RAID: rethinking RAID for SSD reliability</v>
      </c>
      <c r="F68" s="28" t="str">
        <f>'INCEXC A'!D68</f>
        <v>Kaiser</v>
      </c>
      <c r="G68" s="28" t="str">
        <f>'INCEXC B'!D68</f>
        <v>Taylor</v>
      </c>
      <c r="H68" s="28" t="str">
        <f>'INCEXC A'!E68</f>
        <v>Exclude</v>
      </c>
      <c r="I68" s="28" t="str">
        <f>'INCEXC B'!E68</f>
        <v>Exclude</v>
      </c>
      <c r="J68" s="28" t="b">
        <f t="shared" si="2"/>
        <v>1</v>
      </c>
      <c r="K68" s="28" t="b">
        <f t="shared" si="3"/>
        <v>0</v>
      </c>
      <c r="L68" s="28" t="str">
        <f>'INCEXC A'!L68</f>
        <v/>
      </c>
      <c r="M68" s="28" t="str">
        <f>'INCEXC B'!L68</f>
        <v/>
      </c>
      <c r="O68" s="28" t="str">
        <f>'INCEXC A'!M68</f>
        <v/>
      </c>
      <c r="P68" s="28" t="str">
        <f>'INCEXC A'!N68</f>
        <v/>
      </c>
      <c r="Q68" s="28" t="str">
        <f>'INCEXC A'!O68</f>
        <v/>
      </c>
      <c r="R68" s="28" t="str">
        <f>'INCEXC B'!O68</f>
        <v/>
      </c>
      <c r="S68" s="28" t="str">
        <f>'INCEXC A'!P68</f>
        <v/>
      </c>
      <c r="T68" s="28" t="str">
        <f>'INCEXC B'!P68</f>
        <v/>
      </c>
      <c r="U68" s="28" t="b">
        <f t="shared" si="4"/>
        <v>1</v>
      </c>
      <c r="V68" s="28" t="b">
        <f t="shared" si="5"/>
        <v>0</v>
      </c>
    </row>
    <row r="69" hidden="1">
      <c r="A69" s="35" t="str">
        <f>'INCEXC A'!A69</f>
        <v>https://doi.org/10.1145/1791314.1791347</v>
      </c>
      <c r="B69" s="35" t="str">
        <f>'INCEXC B'!A69</f>
        <v>https://doi.org/10.1145/1791314.1791347</v>
      </c>
      <c r="C69" s="28" t="b">
        <f t="shared" si="1"/>
        <v>1</v>
      </c>
      <c r="D69" s="28" t="str">
        <f>'INCEXC A'!B69</f>
        <v>10.1145/1791314.1791347</v>
      </c>
      <c r="E69" s="28" t="str">
        <f>'INCEXC A'!C69</f>
        <v>Energy-efficient cluster computing with FAWN: workloads and implications</v>
      </c>
      <c r="F69" s="28" t="str">
        <f>'INCEXC A'!D69</f>
        <v>Marilyn</v>
      </c>
      <c r="G69" s="28" t="str">
        <f>'INCEXC B'!D69</f>
        <v>Danni</v>
      </c>
      <c r="H69" s="28" t="str">
        <f>'INCEXC A'!E69</f>
        <v>Exclude</v>
      </c>
      <c r="I69" s="28" t="str">
        <f>'INCEXC B'!E69</f>
        <v>Exclude</v>
      </c>
      <c r="J69" s="28" t="b">
        <f t="shared" si="2"/>
        <v>1</v>
      </c>
      <c r="K69" s="28" t="b">
        <f t="shared" si="3"/>
        <v>0</v>
      </c>
      <c r="L69" s="28" t="str">
        <f>'INCEXC A'!L69</f>
        <v/>
      </c>
      <c r="M69" s="28" t="str">
        <f>'INCEXC B'!L69</f>
        <v/>
      </c>
      <c r="O69" s="28" t="str">
        <f>'INCEXC A'!M69</f>
        <v/>
      </c>
      <c r="P69" s="28" t="str">
        <f>'INCEXC A'!N69</f>
        <v/>
      </c>
      <c r="Q69" s="28" t="str">
        <f>'INCEXC A'!O69</f>
        <v/>
      </c>
      <c r="R69" s="28" t="str">
        <f>'INCEXC B'!O69</f>
        <v/>
      </c>
      <c r="S69" s="28" t="str">
        <f>'INCEXC A'!P69</f>
        <v/>
      </c>
      <c r="T69" s="28" t="str">
        <f>'INCEXC B'!P69</f>
        <v/>
      </c>
      <c r="U69" s="28" t="b">
        <f t="shared" si="4"/>
        <v>1</v>
      </c>
      <c r="V69" s="28" t="b">
        <f t="shared" si="5"/>
        <v>0</v>
      </c>
    </row>
    <row r="70" hidden="1">
      <c r="A70" s="35" t="str">
        <f>'INCEXC A'!A70</f>
        <v>https://doi.org/10.1145/1807060.1807061</v>
      </c>
      <c r="B70" s="35" t="str">
        <f>'INCEXC B'!A70</f>
        <v>https://doi.org/10.1145/1807060.1807061</v>
      </c>
      <c r="C70" s="28" t="b">
        <f t="shared" si="1"/>
        <v>1</v>
      </c>
      <c r="D70" s="28" t="str">
        <f>'INCEXC A'!B70</f>
        <v>10.1145/1807060.1807061</v>
      </c>
      <c r="E70" s="28" t="str">
        <f>'INCEXC A'!C70</f>
        <v>Differential RAID: Rethinking RAID for SSD reliability</v>
      </c>
      <c r="F70" s="28" t="str">
        <f>'INCEXC A'!D70</f>
        <v>Kaiser</v>
      </c>
      <c r="G70" s="28" t="str">
        <f>'INCEXC B'!D70</f>
        <v>Danni</v>
      </c>
      <c r="H70" s="28" t="str">
        <f>'INCEXC A'!E70</f>
        <v>Exclude</v>
      </c>
      <c r="I70" s="28" t="str">
        <f>'INCEXC B'!E70</f>
        <v>Exclude</v>
      </c>
      <c r="J70" s="28" t="b">
        <f t="shared" si="2"/>
        <v>1</v>
      </c>
      <c r="K70" s="28" t="b">
        <f t="shared" si="3"/>
        <v>0</v>
      </c>
      <c r="L70" s="28" t="str">
        <f>'INCEXC A'!L70</f>
        <v/>
      </c>
      <c r="M70" s="28" t="str">
        <f>'INCEXC B'!L70</f>
        <v/>
      </c>
      <c r="O70" s="28" t="str">
        <f>'INCEXC A'!M70</f>
        <v/>
      </c>
      <c r="P70" s="28" t="str">
        <f>'INCEXC A'!N70</f>
        <v/>
      </c>
      <c r="Q70" s="28" t="str">
        <f>'INCEXC A'!O70</f>
        <v/>
      </c>
      <c r="R70" s="28" t="str">
        <f>'INCEXC B'!O70</f>
        <v/>
      </c>
      <c r="S70" s="28" t="str">
        <f>'INCEXC A'!P70</f>
        <v/>
      </c>
      <c r="T70" s="28" t="str">
        <f>'INCEXC B'!P70</f>
        <v/>
      </c>
      <c r="U70" s="28" t="b">
        <f t="shared" si="4"/>
        <v>1</v>
      </c>
      <c r="V70" s="28" t="b">
        <f t="shared" si="5"/>
        <v>0</v>
      </c>
    </row>
    <row r="71" hidden="1">
      <c r="A71" s="35" t="str">
        <f>'INCEXC A'!A71</f>
        <v>https://doi.org/10.1145/1807128.1807164</v>
      </c>
      <c r="B71" s="35" t="str">
        <f>'INCEXC B'!A71</f>
        <v>https://doi.org/10.1145/1807128.1807164</v>
      </c>
      <c r="C71" s="28" t="b">
        <f t="shared" si="1"/>
        <v>1</v>
      </c>
      <c r="D71" s="28" t="str">
        <f>'INCEXC A'!B71</f>
        <v>10.1145/1807128.1807164</v>
      </c>
      <c r="E71" s="28" t="str">
        <f>'INCEXC A'!C71</f>
        <v>Robust and flexible power-proportional storage</v>
      </c>
      <c r="F71" s="28" t="str">
        <f>'INCEXC A'!D71</f>
        <v>Marilyn</v>
      </c>
      <c r="G71" s="28" t="str">
        <f>'INCEXC B'!D71</f>
        <v>Taylor</v>
      </c>
      <c r="H71" s="28" t="str">
        <f>'INCEXC A'!E71</f>
        <v>Exclude</v>
      </c>
      <c r="I71" s="28" t="str">
        <f>'INCEXC B'!E71</f>
        <v>Exclude</v>
      </c>
      <c r="J71" s="28" t="b">
        <f t="shared" si="2"/>
        <v>1</v>
      </c>
      <c r="K71" s="28" t="b">
        <f t="shared" si="3"/>
        <v>0</v>
      </c>
      <c r="L71" s="28" t="str">
        <f>'INCEXC A'!L71</f>
        <v/>
      </c>
      <c r="M71" s="28" t="str">
        <f>'INCEXC B'!L71</f>
        <v/>
      </c>
      <c r="O71" s="28" t="str">
        <f>'INCEXC A'!M71</f>
        <v/>
      </c>
      <c r="P71" s="28" t="str">
        <f>'INCEXC A'!N71</f>
        <v/>
      </c>
      <c r="Q71" s="28" t="str">
        <f>'INCEXC A'!O71</f>
        <v/>
      </c>
      <c r="R71" s="28" t="str">
        <f>'INCEXC B'!O71</f>
        <v/>
      </c>
      <c r="S71" s="28" t="str">
        <f>'INCEXC A'!P71</f>
        <v/>
      </c>
      <c r="T71" s="28" t="str">
        <f>'INCEXC B'!P71</f>
        <v/>
      </c>
      <c r="U71" s="28" t="b">
        <f t="shared" si="4"/>
        <v>1</v>
      </c>
      <c r="V71" s="28" t="b">
        <f t="shared" si="5"/>
        <v>0</v>
      </c>
    </row>
    <row r="72" hidden="1">
      <c r="A72" s="35" t="str">
        <f>'INCEXC A'!A72</f>
        <v>https://doi.org/10.1145/1807167.1807194</v>
      </c>
      <c r="B72" s="35" t="str">
        <f>'INCEXC B'!A72</f>
        <v>https://doi.org/10.1145/1807167.1807194</v>
      </c>
      <c r="C72" s="28" t="b">
        <f t="shared" si="1"/>
        <v>1</v>
      </c>
      <c r="D72" s="28" t="str">
        <f>'INCEXC A'!B72</f>
        <v>10.1145/1807167.1807194</v>
      </c>
      <c r="E72" s="28" t="str">
        <f>'INCEXC A'!C72</f>
        <v>Analyzing the energy efficiency of a database server</v>
      </c>
      <c r="F72" s="28" t="str">
        <f>'INCEXC A'!D72</f>
        <v>Jonathan</v>
      </c>
      <c r="G72" s="28" t="str">
        <f>'INCEXC B'!D72</f>
        <v>Danni</v>
      </c>
      <c r="H72" s="28" t="str">
        <f>'INCEXC A'!E72</f>
        <v>Exclude</v>
      </c>
      <c r="I72" s="28" t="str">
        <f>'INCEXC B'!E72</f>
        <v>Exclude</v>
      </c>
      <c r="J72" s="28" t="b">
        <f t="shared" si="2"/>
        <v>1</v>
      </c>
      <c r="K72" s="28" t="b">
        <f t="shared" si="3"/>
        <v>0</v>
      </c>
      <c r="L72" s="28" t="str">
        <f>'INCEXC A'!L72</f>
        <v/>
      </c>
      <c r="M72" s="28" t="str">
        <f>'INCEXC B'!L72</f>
        <v/>
      </c>
      <c r="O72" s="28" t="str">
        <f>'INCEXC A'!M72</f>
        <v/>
      </c>
      <c r="P72" s="28" t="str">
        <f>'INCEXC A'!N72</f>
        <v/>
      </c>
      <c r="Q72" s="28" t="str">
        <f>'INCEXC A'!O72</f>
        <v/>
      </c>
      <c r="R72" s="28" t="str">
        <f>'INCEXC B'!O72</f>
        <v/>
      </c>
      <c r="S72" s="28" t="str">
        <f>'INCEXC A'!P72</f>
        <v/>
      </c>
      <c r="T72" s="28" t="str">
        <f>'INCEXC B'!P72</f>
        <v/>
      </c>
      <c r="U72" s="28" t="b">
        <f t="shared" si="4"/>
        <v>1</v>
      </c>
      <c r="V72" s="28" t="b">
        <f t="shared" si="5"/>
        <v>0</v>
      </c>
    </row>
    <row r="73" hidden="1">
      <c r="A73" s="35" t="str">
        <f>'INCEXC A'!A73</f>
        <v>https://doi.org/10.1145/1807167.1807324</v>
      </c>
      <c r="B73" s="35" t="str">
        <f>'INCEXC B'!A73</f>
        <v>https://doi.org/10.1145/1807167.1807324</v>
      </c>
      <c r="C73" s="28" t="b">
        <f t="shared" si="1"/>
        <v>1</v>
      </c>
      <c r="D73" s="28" t="str">
        <f>'INCEXC A'!B73</f>
        <v>10.1145/1807167.1807324</v>
      </c>
      <c r="E73" s="28" t="str">
        <f>'INCEXC A'!C73</f>
        <v>Performing sound flash device measurements: some lessons from uFLIP</v>
      </c>
      <c r="F73" s="28" t="str">
        <f>'INCEXC A'!D73</f>
        <v>Kaiser</v>
      </c>
      <c r="G73" s="28" t="str">
        <f>'INCEXC B'!D73</f>
        <v>Taylor</v>
      </c>
      <c r="H73" s="28" t="str">
        <f>'INCEXC A'!E73</f>
        <v>Exclude</v>
      </c>
      <c r="I73" s="28" t="str">
        <f>'INCEXC B'!E73</f>
        <v>Exclude</v>
      </c>
      <c r="J73" s="28" t="b">
        <f t="shared" si="2"/>
        <v>1</v>
      </c>
      <c r="K73" s="28" t="b">
        <f t="shared" si="3"/>
        <v>0</v>
      </c>
      <c r="L73" s="28" t="str">
        <f>'INCEXC A'!L73</f>
        <v/>
      </c>
      <c r="M73" s="28" t="str">
        <f>'INCEXC B'!L73</f>
        <v/>
      </c>
      <c r="O73" s="28" t="str">
        <f>'INCEXC A'!M73</f>
        <v/>
      </c>
      <c r="P73" s="28" t="str">
        <f>'INCEXC A'!N73</f>
        <v/>
      </c>
      <c r="Q73" s="28" t="str">
        <f>'INCEXC A'!O73</f>
        <v/>
      </c>
      <c r="R73" s="28" t="str">
        <f>'INCEXC B'!O73</f>
        <v/>
      </c>
      <c r="S73" s="28" t="str">
        <f>'INCEXC A'!P73</f>
        <v/>
      </c>
      <c r="T73" s="28" t="str">
        <f>'INCEXC B'!P73</f>
        <v/>
      </c>
      <c r="U73" s="28" t="b">
        <f t="shared" si="4"/>
        <v>1</v>
      </c>
      <c r="V73" s="28" t="b">
        <f t="shared" si="5"/>
        <v>0</v>
      </c>
    </row>
    <row r="74" hidden="1">
      <c r="A74" s="35" t="str">
        <f>'INCEXC A'!A74</f>
        <v>https://doi.org/10.1145/1809980.1810034</v>
      </c>
      <c r="B74" s="35" t="str">
        <f>'INCEXC B'!A74</f>
        <v>https://doi.org/10.1145/1809980.1810034</v>
      </c>
      <c r="C74" s="28" t="b">
        <f t="shared" si="1"/>
        <v>1</v>
      </c>
      <c r="D74" s="28" t="str">
        <f>'INCEXC A'!B74</f>
        <v>10.1145/1809980.1810034</v>
      </c>
      <c r="E74" s="28" t="str">
        <f>'INCEXC A'!C74</f>
        <v>Um sistema web para acompanhar o crescimento e desenvolvimento do algodão</v>
      </c>
      <c r="F74" s="28" t="str">
        <f>'INCEXC A'!D74</f>
        <v>Kaiser</v>
      </c>
      <c r="G74" s="28" t="str">
        <f>'INCEXC B'!D74</f>
        <v>Taylor</v>
      </c>
      <c r="H74" s="28" t="str">
        <f>'INCEXC A'!E74</f>
        <v>Exclude</v>
      </c>
      <c r="I74" s="28" t="str">
        <f>'INCEXC B'!E74</f>
        <v>Exclude</v>
      </c>
      <c r="J74" s="28" t="b">
        <f t="shared" si="2"/>
        <v>1</v>
      </c>
      <c r="K74" s="28" t="b">
        <f t="shared" si="3"/>
        <v>0</v>
      </c>
      <c r="L74" s="28" t="str">
        <f>'INCEXC A'!L74</f>
        <v/>
      </c>
      <c r="M74" s="28" t="str">
        <f>'INCEXC B'!L74</f>
        <v/>
      </c>
      <c r="O74" s="28" t="str">
        <f>'INCEXC A'!M74</f>
        <v/>
      </c>
      <c r="P74" s="28" t="str">
        <f>'INCEXC A'!N74</f>
        <v/>
      </c>
      <c r="Q74" s="28" t="str">
        <f>'INCEXC A'!O74</f>
        <v/>
      </c>
      <c r="R74" s="28" t="str">
        <f>'INCEXC B'!O74</f>
        <v/>
      </c>
      <c r="S74" s="28" t="str">
        <f>'INCEXC A'!P74</f>
        <v/>
      </c>
      <c r="T74" s="28" t="str">
        <f>'INCEXC B'!P74</f>
        <v/>
      </c>
      <c r="U74" s="28" t="b">
        <f t="shared" si="4"/>
        <v>1</v>
      </c>
      <c r="V74" s="28" t="b">
        <f t="shared" si="5"/>
        <v>0</v>
      </c>
    </row>
    <row r="75" hidden="1">
      <c r="A75" s="35" t="str">
        <f>'INCEXC A'!A75</f>
        <v>https://doi.org/10.1145/1815961.1816002</v>
      </c>
      <c r="B75" s="35" t="str">
        <f>'INCEXC B'!A75</f>
        <v>https://doi.org/10.1145/1815961.1816002</v>
      </c>
      <c r="C75" s="28" t="b">
        <f t="shared" si="1"/>
        <v>1</v>
      </c>
      <c r="D75" s="28" t="str">
        <f>'INCEXC A'!B75</f>
        <v>10.1145/1815961.1816002</v>
      </c>
      <c r="E75" s="28" t="str">
        <f>'INCEXC A'!C75</f>
        <v>Web search using mobile cores: quantifying and mitigating the price of efficiency</v>
      </c>
      <c r="F75" s="28" t="str">
        <f>'INCEXC A'!D75</f>
        <v>Kaiser</v>
      </c>
      <c r="G75" s="28" t="str">
        <f>'INCEXC B'!D75</f>
        <v>Danni</v>
      </c>
      <c r="H75" s="28" t="str">
        <f>'INCEXC A'!E75</f>
        <v>Exclude</v>
      </c>
      <c r="I75" s="28" t="str">
        <f>'INCEXC B'!E75</f>
        <v>Exclude</v>
      </c>
      <c r="J75" s="28" t="b">
        <f t="shared" si="2"/>
        <v>1</v>
      </c>
      <c r="K75" s="28" t="b">
        <f t="shared" si="3"/>
        <v>0</v>
      </c>
      <c r="L75" s="28" t="str">
        <f>'INCEXC A'!L75</f>
        <v/>
      </c>
      <c r="M75" s="28" t="str">
        <f>'INCEXC B'!L75</f>
        <v/>
      </c>
      <c r="O75" s="28" t="str">
        <f>'INCEXC A'!M75</f>
        <v/>
      </c>
      <c r="P75" s="28" t="str">
        <f>'INCEXC A'!N75</f>
        <v/>
      </c>
      <c r="Q75" s="28" t="str">
        <f>'INCEXC A'!O75</f>
        <v/>
      </c>
      <c r="R75" s="28" t="str">
        <f>'INCEXC B'!O75</f>
        <v/>
      </c>
      <c r="S75" s="28" t="str">
        <f>'INCEXC A'!P75</f>
        <v/>
      </c>
      <c r="T75" s="28" t="str">
        <f>'INCEXC B'!P75</f>
        <v/>
      </c>
      <c r="U75" s="28" t="b">
        <f t="shared" si="4"/>
        <v>1</v>
      </c>
      <c r="V75" s="28" t="b">
        <f t="shared" si="5"/>
        <v>0</v>
      </c>
    </row>
    <row r="76" hidden="1">
      <c r="A76" s="35" t="str">
        <f>'INCEXC A'!A76</f>
        <v>https://doi.org/10.1145/1823838.1823840</v>
      </c>
      <c r="B76" s="35" t="str">
        <f>'INCEXC B'!A76</f>
        <v>https://doi.org/10.1145/1823838.1823840</v>
      </c>
      <c r="C76" s="28" t="b">
        <f t="shared" si="1"/>
        <v>1</v>
      </c>
      <c r="D76" s="28" t="str">
        <f>'INCEXC A'!B76</f>
        <v>10.1145/1823838.1823840</v>
      </c>
      <c r="E76" s="28" t="str">
        <f>'INCEXC A'!C76</f>
        <v>Storage research in industry and universities</v>
      </c>
      <c r="F76" s="28" t="str">
        <f>'INCEXC A'!D76</f>
        <v>Marilyn</v>
      </c>
      <c r="G76" s="28" t="str">
        <f>'INCEXC B'!D76</f>
        <v>Taylor</v>
      </c>
      <c r="H76" s="28" t="str">
        <f>'INCEXC A'!E76</f>
        <v>Exclude</v>
      </c>
      <c r="I76" s="28" t="str">
        <f>'INCEXC B'!E76</f>
        <v>Exclude</v>
      </c>
      <c r="J76" s="28" t="b">
        <f t="shared" si="2"/>
        <v>1</v>
      </c>
      <c r="K76" s="28" t="b">
        <f t="shared" si="3"/>
        <v>0</v>
      </c>
      <c r="L76" s="28" t="str">
        <f>'INCEXC A'!L76</f>
        <v/>
      </c>
      <c r="M76" s="28" t="str">
        <f>'INCEXC B'!L76</f>
        <v/>
      </c>
      <c r="O76" s="28" t="str">
        <f>'INCEXC A'!M76</f>
        <v/>
      </c>
      <c r="P76" s="28" t="str">
        <f>'INCEXC A'!N76</f>
        <v/>
      </c>
      <c r="Q76" s="28" t="str">
        <f>'INCEXC A'!O76</f>
        <v/>
      </c>
      <c r="R76" s="28" t="str">
        <f>'INCEXC B'!O76</f>
        <v/>
      </c>
      <c r="S76" s="28" t="str">
        <f>'INCEXC A'!P76</f>
        <v/>
      </c>
      <c r="T76" s="28" t="str">
        <f>'INCEXC B'!P76</f>
        <v/>
      </c>
      <c r="U76" s="28" t="b">
        <f t="shared" si="4"/>
        <v>1</v>
      </c>
      <c r="V76" s="28" t="b">
        <f t="shared" si="5"/>
        <v>0</v>
      </c>
    </row>
    <row r="77" hidden="1">
      <c r="A77" s="35" t="str">
        <f>'INCEXC A'!A77</f>
        <v>https://doi.org/10.1145/1837915.1837918</v>
      </c>
      <c r="B77" s="35" t="str">
        <f>'INCEXC B'!A77</f>
        <v>https://doi.org/10.1145/1837915.1837918</v>
      </c>
      <c r="C77" s="28" t="b">
        <f t="shared" si="1"/>
        <v>1</v>
      </c>
      <c r="D77" s="28" t="str">
        <f>'INCEXC A'!B77</f>
        <v>10.1145/1837915.1837918</v>
      </c>
      <c r="E77" s="28" t="str">
        <f>'INCEXC A'!C77</f>
        <v>Optimizing energy and performance for server-class file system workloads</v>
      </c>
      <c r="F77" s="28" t="str">
        <f>'INCEXC A'!D77</f>
        <v>Marilyn</v>
      </c>
      <c r="G77" s="28" t="str">
        <f>'INCEXC B'!D77</f>
        <v>Ceren</v>
      </c>
      <c r="H77" s="28" t="str">
        <f>'INCEXC A'!E77</f>
        <v>Exclude</v>
      </c>
      <c r="I77" s="28" t="str">
        <f>'INCEXC B'!E77</f>
        <v>Exclude</v>
      </c>
      <c r="J77" s="28" t="b">
        <f t="shared" si="2"/>
        <v>1</v>
      </c>
      <c r="K77" s="28" t="b">
        <f t="shared" si="3"/>
        <v>0</v>
      </c>
      <c r="L77" s="28" t="str">
        <f>'INCEXC A'!L77</f>
        <v/>
      </c>
      <c r="M77" s="28" t="str">
        <f>'INCEXC B'!L77</f>
        <v/>
      </c>
      <c r="O77" s="28" t="str">
        <f>'INCEXC A'!M77</f>
        <v/>
      </c>
      <c r="P77" s="28" t="str">
        <f>'INCEXC A'!N77</f>
        <v/>
      </c>
      <c r="Q77" s="28" t="str">
        <f>'INCEXC A'!O77</f>
        <v/>
      </c>
      <c r="R77" s="28" t="str">
        <f>'INCEXC B'!O77</f>
        <v/>
      </c>
      <c r="S77" s="28" t="str">
        <f>'INCEXC A'!P77</f>
        <v/>
      </c>
      <c r="T77" s="28" t="str">
        <f>'INCEXC B'!P77</f>
        <v/>
      </c>
      <c r="U77" s="28" t="b">
        <f t="shared" si="4"/>
        <v>1</v>
      </c>
      <c r="V77" s="28" t="b">
        <f t="shared" si="5"/>
        <v>0</v>
      </c>
    </row>
    <row r="78" hidden="1">
      <c r="A78" s="35" t="str">
        <f>'INCEXC A'!A78</f>
        <v>https://doi.org/10.1145/1839676.1839692</v>
      </c>
      <c r="B78" s="35" t="str">
        <f>'INCEXC B'!A78</f>
        <v>https://doi.org/10.1145/1839676.1839692</v>
      </c>
      <c r="C78" s="28" t="b">
        <f t="shared" si="1"/>
        <v>1</v>
      </c>
      <c r="D78" s="28" t="str">
        <f>'INCEXC A'!B78</f>
        <v>10.1145/1839676.1839692</v>
      </c>
      <c r="E78" s="28" t="str">
        <f>'INCEXC A'!C78</f>
        <v>Keeping bits safe: how hard can it be?</v>
      </c>
      <c r="F78" s="28" t="str">
        <f>'INCEXC A'!D78</f>
        <v>Jonathan</v>
      </c>
      <c r="G78" s="28" t="str">
        <f>'INCEXC B'!D78</f>
        <v>Taylor</v>
      </c>
      <c r="H78" s="28" t="str">
        <f>'INCEXC A'!E78</f>
        <v>Exclude</v>
      </c>
      <c r="I78" s="28" t="str">
        <f>'INCEXC B'!E78</f>
        <v>Exclude</v>
      </c>
      <c r="J78" s="28" t="b">
        <f t="shared" si="2"/>
        <v>1</v>
      </c>
      <c r="K78" s="28" t="b">
        <f t="shared" si="3"/>
        <v>0</v>
      </c>
      <c r="L78" s="28" t="str">
        <f>'INCEXC A'!L78</f>
        <v/>
      </c>
      <c r="M78" s="28" t="str">
        <f>'INCEXC B'!L78</f>
        <v/>
      </c>
      <c r="O78" s="28" t="str">
        <f>'INCEXC A'!M78</f>
        <v/>
      </c>
      <c r="P78" s="28" t="str">
        <f>'INCEXC A'!N78</f>
        <v/>
      </c>
      <c r="Q78" s="28" t="str">
        <f>'INCEXC A'!O78</f>
        <v/>
      </c>
      <c r="R78" s="28" t="str">
        <f>'INCEXC B'!O78</f>
        <v/>
      </c>
      <c r="S78" s="28" t="str">
        <f>'INCEXC A'!P78</f>
        <v/>
      </c>
      <c r="T78" s="28" t="str">
        <f>'INCEXC B'!P78</f>
        <v/>
      </c>
      <c r="U78" s="28" t="b">
        <f t="shared" si="4"/>
        <v>1</v>
      </c>
      <c r="V78" s="28" t="b">
        <f t="shared" si="5"/>
        <v>0</v>
      </c>
    </row>
    <row r="79" hidden="1">
      <c r="A79" s="35" t="str">
        <f>'INCEXC A'!A79</f>
        <v>https://doi.org/10.1145/1866029.1866078</v>
      </c>
      <c r="B79" s="35" t="str">
        <f>'INCEXC B'!A79</f>
        <v>https://doi.org/10.1145/1866029.1866078</v>
      </c>
      <c r="C79" s="28" t="b">
        <f t="shared" si="1"/>
        <v>1</v>
      </c>
      <c r="D79" s="28" t="str">
        <f>'INCEXC A'!B79</f>
        <v>10.1145/1866029.1866078</v>
      </c>
      <c r="E79" s="28" t="str">
        <f>'INCEXC A'!C79</f>
        <v>Soylent: a word processor with a crowd inside</v>
      </c>
      <c r="F79" s="28" t="str">
        <f>'INCEXC A'!D79</f>
        <v>Kaiser</v>
      </c>
      <c r="G79" s="28" t="str">
        <f>'INCEXC B'!D79</f>
        <v>Ceren</v>
      </c>
      <c r="H79" s="28" t="str">
        <f>'INCEXC A'!E79</f>
        <v>Exclude</v>
      </c>
      <c r="I79" s="28" t="str">
        <f>'INCEXC B'!E79</f>
        <v>Exclude</v>
      </c>
      <c r="J79" s="28" t="b">
        <f t="shared" si="2"/>
        <v>1</v>
      </c>
      <c r="K79" s="28" t="b">
        <f t="shared" si="3"/>
        <v>0</v>
      </c>
      <c r="L79" s="28" t="str">
        <f>'INCEXC A'!L79</f>
        <v/>
      </c>
      <c r="M79" s="28" t="str">
        <f>'INCEXC B'!L79</f>
        <v/>
      </c>
      <c r="O79" s="28" t="str">
        <f>'INCEXC A'!M79</f>
        <v/>
      </c>
      <c r="P79" s="28" t="str">
        <f>'INCEXC A'!N79</f>
        <v/>
      </c>
      <c r="Q79" s="28" t="str">
        <f>'INCEXC A'!O79</f>
        <v/>
      </c>
      <c r="R79" s="28" t="str">
        <f>'INCEXC B'!O79</f>
        <v/>
      </c>
      <c r="S79" s="28" t="str">
        <f>'INCEXC A'!P79</f>
        <v/>
      </c>
      <c r="T79" s="28" t="str">
        <f>'INCEXC B'!P79</f>
        <v/>
      </c>
      <c r="U79" s="28" t="b">
        <f t="shared" si="4"/>
        <v>1</v>
      </c>
      <c r="V79" s="28" t="b">
        <f t="shared" si="5"/>
        <v>0</v>
      </c>
    </row>
    <row r="80" hidden="1">
      <c r="A80" s="35" t="str">
        <f>'INCEXC A'!A80</f>
        <v>https://doi.org/10.1145/1866296.1866298</v>
      </c>
      <c r="B80" s="35" t="str">
        <f>'INCEXC B'!A80</f>
        <v>https://doi.org/10.1145/1866296.1866298</v>
      </c>
      <c r="C80" s="28" t="b">
        <f t="shared" si="1"/>
        <v>1</v>
      </c>
      <c r="D80" s="28" t="str">
        <f>'INCEXC A'!B80</f>
        <v>10.1145/1866296.1866298</v>
      </c>
      <c r="E80" s="28" t="str">
        <f>'INCEXC A'!C80</f>
        <v>Keeping Bits Safe: How Hard Can It Be? As storage systems grow larger and larger</v>
      </c>
      <c r="F80" s="28" t="str">
        <f>'INCEXC A'!D80</f>
        <v>Kaiser</v>
      </c>
      <c r="G80" s="28" t="str">
        <f>'INCEXC B'!D80</f>
        <v>Ceren</v>
      </c>
      <c r="H80" s="28" t="str">
        <f>'INCEXC A'!E80</f>
        <v>Exclude</v>
      </c>
      <c r="I80" s="28" t="str">
        <f>'INCEXC B'!E80</f>
        <v>Exclude</v>
      </c>
      <c r="J80" s="28" t="b">
        <f t="shared" si="2"/>
        <v>1</v>
      </c>
      <c r="K80" s="28" t="b">
        <f t="shared" si="3"/>
        <v>0</v>
      </c>
      <c r="L80" s="28" t="str">
        <f>'INCEXC A'!L80</f>
        <v/>
      </c>
      <c r="M80" s="28" t="str">
        <f>'INCEXC B'!L80</f>
        <v/>
      </c>
      <c r="O80" s="28" t="str">
        <f>'INCEXC A'!M80</f>
        <v/>
      </c>
      <c r="P80" s="28" t="str">
        <f>'INCEXC A'!N80</f>
        <v/>
      </c>
      <c r="Q80" s="28" t="str">
        <f>'INCEXC A'!O80</f>
        <v/>
      </c>
      <c r="R80" s="28" t="str">
        <f>'INCEXC B'!O80</f>
        <v/>
      </c>
      <c r="S80" s="28" t="str">
        <f>'INCEXC A'!P80</f>
        <v/>
      </c>
      <c r="T80" s="28" t="str">
        <f>'INCEXC B'!P80</f>
        <v/>
      </c>
      <c r="U80" s="28" t="b">
        <f t="shared" si="4"/>
        <v>1</v>
      </c>
      <c r="V80" s="28" t="b">
        <f t="shared" si="5"/>
        <v>0</v>
      </c>
    </row>
    <row r="81" hidden="1">
      <c r="A81" s="35" t="str">
        <f>'INCEXC A'!A81</f>
        <v>https://doi.org/10.1145/1899928.1899942</v>
      </c>
      <c r="B81" s="35" t="str">
        <f>'INCEXC B'!A81</f>
        <v>https://doi.org/10.1145/1899928.1899942</v>
      </c>
      <c r="C81" s="28" t="b">
        <f t="shared" si="1"/>
        <v>1</v>
      </c>
      <c r="D81" s="28" t="str">
        <f>'INCEXC A'!B81</f>
        <v>10.1145/1899928.1899942</v>
      </c>
      <c r="E81" s="28" t="str">
        <f>'INCEXC A'!C81</f>
        <v>Enabling a marketplace of clouds: VMware's vCloud director</v>
      </c>
      <c r="F81" s="28" t="str">
        <f>'INCEXC A'!D81</f>
        <v>Marilyn</v>
      </c>
      <c r="G81" s="28" t="str">
        <f>'INCEXC B'!D81</f>
        <v>Ceren</v>
      </c>
      <c r="H81" s="28" t="str">
        <f>'INCEXC A'!E81</f>
        <v>Exclude</v>
      </c>
      <c r="I81" s="28" t="str">
        <f>'INCEXC B'!E81</f>
        <v>Exclude</v>
      </c>
      <c r="J81" s="28" t="b">
        <f t="shared" si="2"/>
        <v>1</v>
      </c>
      <c r="K81" s="28" t="b">
        <f t="shared" si="3"/>
        <v>0</v>
      </c>
      <c r="L81" s="28" t="str">
        <f>'INCEXC A'!L81</f>
        <v/>
      </c>
      <c r="M81" s="28" t="str">
        <f>'INCEXC B'!L81</f>
        <v/>
      </c>
      <c r="O81" s="28" t="str">
        <f>'INCEXC A'!M81</f>
        <v/>
      </c>
      <c r="P81" s="28" t="str">
        <f>'INCEXC A'!N81</f>
        <v/>
      </c>
      <c r="Q81" s="28" t="str">
        <f>'INCEXC A'!O81</f>
        <v/>
      </c>
      <c r="R81" s="28" t="str">
        <f>'INCEXC B'!O81</f>
        <v/>
      </c>
      <c r="S81" s="28" t="str">
        <f>'INCEXC A'!P81</f>
        <v/>
      </c>
      <c r="T81" s="28" t="str">
        <f>'INCEXC B'!P81</f>
        <v/>
      </c>
      <c r="U81" s="28" t="b">
        <f t="shared" si="4"/>
        <v>1</v>
      </c>
      <c r="V81" s="28" t="b">
        <f t="shared" si="5"/>
        <v>0</v>
      </c>
    </row>
    <row r="82" hidden="1">
      <c r="A82" s="35" t="str">
        <f>'INCEXC A'!A82</f>
        <v>https://doi.org/10.1145/1944862.1944886</v>
      </c>
      <c r="B82" s="35" t="str">
        <f>'INCEXC B'!A82</f>
        <v>https://doi.org/10.1145/1944862.1944886</v>
      </c>
      <c r="C82" s="28" t="b">
        <f t="shared" si="1"/>
        <v>1</v>
      </c>
      <c r="D82" s="28" t="str">
        <f>'INCEXC A'!B82</f>
        <v>10.1145/1944862.1944886</v>
      </c>
      <c r="E82" s="28" t="str">
        <f>'INCEXC A'!C82</f>
        <v>SWEEP: evaluating computer system energy efficiency using synthetic workloads</v>
      </c>
      <c r="F82" s="28" t="str">
        <f>'INCEXC A'!D82</f>
        <v>Kaiser</v>
      </c>
      <c r="G82" s="28" t="str">
        <f>'INCEXC B'!D82</f>
        <v>Taylor</v>
      </c>
      <c r="H82" s="28" t="str">
        <f>'INCEXC A'!E82</f>
        <v>Exclude</v>
      </c>
      <c r="I82" s="28" t="str">
        <f>'INCEXC B'!E82</f>
        <v>Exclude</v>
      </c>
      <c r="J82" s="28" t="b">
        <f t="shared" si="2"/>
        <v>1</v>
      </c>
      <c r="K82" s="28" t="b">
        <f t="shared" si="3"/>
        <v>0</v>
      </c>
      <c r="L82" s="28" t="str">
        <f>'INCEXC A'!L82</f>
        <v/>
      </c>
      <c r="M82" s="28" t="str">
        <f>'INCEXC B'!L82</f>
        <v/>
      </c>
      <c r="O82" s="28" t="str">
        <f>'INCEXC A'!M82</f>
        <v/>
      </c>
      <c r="P82" s="28" t="str">
        <f>'INCEXC A'!N82</f>
        <v/>
      </c>
      <c r="Q82" s="28" t="str">
        <f>'INCEXC A'!O82</f>
        <v/>
      </c>
      <c r="R82" s="28" t="str">
        <f>'INCEXC B'!O82</f>
        <v/>
      </c>
      <c r="S82" s="28" t="str">
        <f>'INCEXC A'!P82</f>
        <v/>
      </c>
      <c r="T82" s="28" t="str">
        <f>'INCEXC B'!P82</f>
        <v/>
      </c>
      <c r="U82" s="28" t="b">
        <f t="shared" si="4"/>
        <v>1</v>
      </c>
      <c r="V82" s="28" t="b">
        <f t="shared" si="5"/>
        <v>0</v>
      </c>
    </row>
    <row r="83" hidden="1">
      <c r="A83" s="35" t="str">
        <f>'INCEXC A'!A83</f>
        <v>https://doi.org/10.1145/1945023.1945029</v>
      </c>
      <c r="B83" s="35" t="str">
        <f>'INCEXC B'!A83</f>
        <v>https://doi.org/10.1145/1945023.1945029</v>
      </c>
      <c r="C83" s="28" t="b">
        <f t="shared" si="1"/>
        <v>1</v>
      </c>
      <c r="D83" s="28" t="str">
        <f>'INCEXC A'!B83</f>
        <v>10.1145/1945023.1945029</v>
      </c>
      <c r="E83" s="28" t="str">
        <f>'INCEXC A'!C83</f>
        <v>Challenges and opportunities for efficient computing with FAWN</v>
      </c>
      <c r="F83" s="28" t="str">
        <f>'INCEXC A'!D83</f>
        <v>Kaiser</v>
      </c>
      <c r="G83" s="28" t="str">
        <f>'INCEXC B'!D83</f>
        <v>Danni</v>
      </c>
      <c r="H83" s="28" t="str">
        <f>'INCEXC A'!E83</f>
        <v>Exclude</v>
      </c>
      <c r="I83" s="28" t="str">
        <f>'INCEXC B'!E83</f>
        <v>Exclude</v>
      </c>
      <c r="J83" s="28" t="b">
        <f t="shared" si="2"/>
        <v>1</v>
      </c>
      <c r="K83" s="28" t="b">
        <f t="shared" si="3"/>
        <v>0</v>
      </c>
      <c r="L83" s="28" t="str">
        <f>'INCEXC A'!L83</f>
        <v/>
      </c>
      <c r="M83" s="28" t="str">
        <f>'INCEXC B'!L83</f>
        <v/>
      </c>
      <c r="O83" s="28" t="str">
        <f>'INCEXC A'!M83</f>
        <v/>
      </c>
      <c r="P83" s="28" t="str">
        <f>'INCEXC A'!N83</f>
        <v/>
      </c>
      <c r="Q83" s="28" t="str">
        <f>'INCEXC A'!O83</f>
        <v/>
      </c>
      <c r="R83" s="28" t="str">
        <f>'INCEXC B'!O83</f>
        <v/>
      </c>
      <c r="S83" s="28" t="str">
        <f>'INCEXC A'!P83</f>
        <v/>
      </c>
      <c r="T83" s="28" t="str">
        <f>'INCEXC B'!P83</f>
        <v/>
      </c>
      <c r="U83" s="28" t="b">
        <f t="shared" si="4"/>
        <v>1</v>
      </c>
      <c r="V83" s="28" t="b">
        <f t="shared" si="5"/>
        <v>0</v>
      </c>
    </row>
    <row r="84" hidden="1">
      <c r="A84" s="35" t="str">
        <f>'INCEXC A'!A84</f>
        <v>https://doi.org/10.1145/1965724.1965746</v>
      </c>
      <c r="B84" s="35" t="str">
        <f>'INCEXC B'!A84</f>
        <v>https://doi.org/10.1145/1965724.1965746</v>
      </c>
      <c r="C84" s="28" t="b">
        <f t="shared" si="1"/>
        <v>1</v>
      </c>
      <c r="D84" s="28" t="str">
        <f>'INCEXC A'!B84</f>
        <v>10.1145/1965724.1965746</v>
      </c>
      <c r="E84" s="28" t="str">
        <f>'INCEXC A'!C84</f>
        <v>FAWN: a fast array of wimpy nodes: technical perspective</v>
      </c>
      <c r="F84" s="28" t="str">
        <f>'INCEXC A'!D84</f>
        <v>Marilyn</v>
      </c>
      <c r="G84" s="28" t="str">
        <f>'INCEXC B'!D84</f>
        <v>Taylor</v>
      </c>
      <c r="H84" s="28" t="str">
        <f>'INCEXC A'!E84</f>
        <v>Exclude</v>
      </c>
      <c r="I84" s="28" t="str">
        <f>'INCEXC B'!E84</f>
        <v>Exclude</v>
      </c>
      <c r="J84" s="28" t="b">
        <f t="shared" si="2"/>
        <v>1</v>
      </c>
      <c r="K84" s="28" t="b">
        <f t="shared" si="3"/>
        <v>0</v>
      </c>
      <c r="L84" s="28" t="str">
        <f>'INCEXC A'!L84</f>
        <v/>
      </c>
      <c r="M84" s="28" t="str">
        <f>'INCEXC B'!L84</f>
        <v/>
      </c>
      <c r="O84" s="28" t="str">
        <f>'INCEXC A'!M84</f>
        <v/>
      </c>
      <c r="P84" s="28" t="str">
        <f>'INCEXC A'!N84</f>
        <v/>
      </c>
      <c r="Q84" s="28" t="str">
        <f>'INCEXC A'!O84</f>
        <v/>
      </c>
      <c r="R84" s="28" t="str">
        <f>'INCEXC B'!O84</f>
        <v/>
      </c>
      <c r="S84" s="28" t="str">
        <f>'INCEXC A'!P84</f>
        <v/>
      </c>
      <c r="T84" s="28" t="str">
        <f>'INCEXC B'!P84</f>
        <v/>
      </c>
      <c r="U84" s="28" t="b">
        <f t="shared" si="4"/>
        <v>1</v>
      </c>
      <c r="V84" s="28" t="b">
        <f t="shared" si="5"/>
        <v>0</v>
      </c>
    </row>
    <row r="85" hidden="1">
      <c r="A85" s="35" t="str">
        <f>'INCEXC A'!A85</f>
        <v>https://doi.org/10.1145/1965724.1965747</v>
      </c>
      <c r="B85" s="35" t="str">
        <f>'INCEXC B'!A85</f>
        <v>https://doi.org/10.1145/1965724.1965747</v>
      </c>
      <c r="C85" s="28" t="b">
        <f t="shared" si="1"/>
        <v>1</v>
      </c>
      <c r="D85" s="28" t="str">
        <f>'INCEXC A'!B85</f>
        <v>10.1145/1965724.1965747</v>
      </c>
      <c r="E85" s="28" t="str">
        <f>'INCEXC A'!C85</f>
        <v>FAWN: a fast array of wimpy nodes</v>
      </c>
      <c r="F85" s="28" t="str">
        <f>'INCEXC A'!D85</f>
        <v>Kaiser</v>
      </c>
      <c r="G85" s="28" t="str">
        <f>'INCEXC B'!D85</f>
        <v>Ceren</v>
      </c>
      <c r="H85" s="28" t="str">
        <f>'INCEXC A'!E85</f>
        <v>Exclude</v>
      </c>
      <c r="I85" s="28" t="str">
        <f>'INCEXC B'!E85</f>
        <v>Exclude</v>
      </c>
      <c r="J85" s="28" t="b">
        <f t="shared" si="2"/>
        <v>1</v>
      </c>
      <c r="K85" s="28" t="b">
        <f t="shared" si="3"/>
        <v>0</v>
      </c>
      <c r="L85" s="28" t="str">
        <f>'INCEXC A'!L85</f>
        <v/>
      </c>
      <c r="M85" s="28" t="str">
        <f>'INCEXC B'!L85</f>
        <v/>
      </c>
      <c r="O85" s="28" t="str">
        <f>'INCEXC A'!M85</f>
        <v/>
      </c>
      <c r="P85" s="28" t="str">
        <f>'INCEXC A'!N85</f>
        <v/>
      </c>
      <c r="Q85" s="28" t="str">
        <f>'INCEXC A'!O85</f>
        <v/>
      </c>
      <c r="R85" s="28" t="str">
        <f>'INCEXC B'!O85</f>
        <v/>
      </c>
      <c r="S85" s="28" t="str">
        <f>'INCEXC A'!P85</f>
        <v/>
      </c>
      <c r="T85" s="28" t="str">
        <f>'INCEXC B'!P85</f>
        <v/>
      </c>
      <c r="U85" s="28" t="b">
        <f t="shared" si="4"/>
        <v>1</v>
      </c>
      <c r="V85" s="28" t="b">
        <f t="shared" si="5"/>
        <v>0</v>
      </c>
    </row>
    <row r="86" hidden="1">
      <c r="A86" s="35" t="str">
        <f>'INCEXC A'!A86</f>
        <v>https://doi.org/10.1145/196734.196738</v>
      </c>
      <c r="B86" s="35" t="str">
        <f>'INCEXC B'!A86</f>
        <v>https://doi.org/10.1145/196734.196738</v>
      </c>
      <c r="C86" s="28" t="b">
        <f t="shared" si="1"/>
        <v>1</v>
      </c>
      <c r="D86" s="28" t="str">
        <f>'INCEXC A'!B86</f>
        <v>10.1145/196734.196738</v>
      </c>
      <c r="E86" s="28" t="str">
        <f>'INCEXC A'!C86</f>
        <v>Finding a happy medium: explaining the negative effects of electronic communication on social life at work</v>
      </c>
      <c r="F86" s="28" t="str">
        <f>'INCEXC A'!D86</f>
        <v>Marilyn</v>
      </c>
      <c r="G86" s="28" t="str">
        <f>'INCEXC B'!D86</f>
        <v>Ceren</v>
      </c>
      <c r="H86" s="28" t="str">
        <f>'INCEXC A'!E86</f>
        <v>Exclude</v>
      </c>
      <c r="I86" s="28" t="str">
        <f>'INCEXC B'!E86</f>
        <v>Exclude</v>
      </c>
      <c r="J86" s="28" t="b">
        <f t="shared" si="2"/>
        <v>1</v>
      </c>
      <c r="K86" s="28" t="b">
        <f t="shared" si="3"/>
        <v>0</v>
      </c>
      <c r="L86" s="28" t="str">
        <f>'INCEXC A'!L86</f>
        <v/>
      </c>
      <c r="M86" s="28" t="str">
        <f>'INCEXC B'!L86</f>
        <v/>
      </c>
      <c r="O86" s="28" t="str">
        <f>'INCEXC A'!M86</f>
        <v/>
      </c>
      <c r="P86" s="28" t="str">
        <f>'INCEXC A'!N86</f>
        <v/>
      </c>
      <c r="Q86" s="28" t="str">
        <f>'INCEXC A'!O86</f>
        <v/>
      </c>
      <c r="R86" s="28" t="str">
        <f>'INCEXC B'!O86</f>
        <v/>
      </c>
      <c r="S86" s="28" t="str">
        <f>'INCEXC A'!P86</f>
        <v/>
      </c>
      <c r="T86" s="28" t="str">
        <f>'INCEXC B'!P86</f>
        <v/>
      </c>
      <c r="U86" s="28" t="b">
        <f t="shared" si="4"/>
        <v>1</v>
      </c>
      <c r="V86" s="28" t="b">
        <f t="shared" si="5"/>
        <v>0</v>
      </c>
    </row>
    <row r="87" hidden="1">
      <c r="A87" s="35" t="str">
        <f>'INCEXC A'!A87</f>
        <v>https://doi.org/10.1145/1978942.1979209</v>
      </c>
      <c r="B87" s="35" t="str">
        <f>'INCEXC B'!A87</f>
        <v>https://doi.org/10.1145/1978942.1979209</v>
      </c>
      <c r="C87" s="28" t="b">
        <f t="shared" si="1"/>
        <v>1</v>
      </c>
      <c r="D87" s="28" t="str">
        <f>'INCEXC A'!B87</f>
        <v>10.1145/1978942.1979209</v>
      </c>
      <c r="E87" s="28" t="str">
        <f>'INCEXC A'!C87</f>
        <v>Evaluating longitudinal projects combining technology with temporal arts</v>
      </c>
      <c r="F87" s="28" t="str">
        <f>'INCEXC A'!D87</f>
        <v>Jonathan</v>
      </c>
      <c r="G87" s="28" t="str">
        <f>'INCEXC B'!D87</f>
        <v>Ceren</v>
      </c>
      <c r="H87" s="28" t="str">
        <f>'INCEXC A'!E87</f>
        <v>Exclude</v>
      </c>
      <c r="I87" s="28" t="str">
        <f>'INCEXC B'!E87</f>
        <v>Exclude</v>
      </c>
      <c r="J87" s="28" t="b">
        <f t="shared" si="2"/>
        <v>1</v>
      </c>
      <c r="K87" s="28" t="b">
        <f t="shared" si="3"/>
        <v>0</v>
      </c>
      <c r="L87" s="28" t="str">
        <f>'INCEXC A'!L87</f>
        <v/>
      </c>
      <c r="M87" s="28" t="str">
        <f>'INCEXC B'!L87</f>
        <v/>
      </c>
      <c r="O87" s="28" t="str">
        <f>'INCEXC A'!M87</f>
        <v/>
      </c>
      <c r="P87" s="28" t="str">
        <f>'INCEXC A'!N87</f>
        <v/>
      </c>
      <c r="Q87" s="28" t="str">
        <f>'INCEXC A'!O87</f>
        <v/>
      </c>
      <c r="R87" s="28" t="str">
        <f>'INCEXC B'!O87</f>
        <v/>
      </c>
      <c r="S87" s="28" t="str">
        <f>'INCEXC A'!P87</f>
        <v/>
      </c>
      <c r="T87" s="28" t="str">
        <f>'INCEXC B'!P87</f>
        <v/>
      </c>
      <c r="U87" s="28" t="b">
        <f t="shared" si="4"/>
        <v>1</v>
      </c>
      <c r="V87" s="28" t="b">
        <f t="shared" si="5"/>
        <v>0</v>
      </c>
    </row>
    <row r="88" hidden="1">
      <c r="A88" s="35" t="str">
        <f>'INCEXC A'!A88</f>
        <v>https://doi.org/10.1145/1989323.1989327</v>
      </c>
      <c r="B88" s="35" t="str">
        <f>'INCEXC B'!A88</f>
        <v>https://doi.org/10.1145/1989323.1989327</v>
      </c>
      <c r="C88" s="28" t="b">
        <f t="shared" si="1"/>
        <v>1</v>
      </c>
      <c r="D88" s="28" t="str">
        <f>'INCEXC A'!B88</f>
        <v>10.1145/1989323.1989327</v>
      </c>
      <c r="E88" s="28" t="str">
        <f>'INCEXC A'!C88</f>
        <v>SkimpyStash: RAM space skimpy key-value store on flash-based storage</v>
      </c>
      <c r="F88" s="28" t="str">
        <f>'INCEXC A'!D88</f>
        <v>Kaiser</v>
      </c>
      <c r="G88" s="28" t="str">
        <f>'INCEXC B'!D88</f>
        <v>Danni</v>
      </c>
      <c r="H88" s="28" t="str">
        <f>'INCEXC A'!E88</f>
        <v>Exclude</v>
      </c>
      <c r="I88" s="28" t="str">
        <f>'INCEXC B'!E88</f>
        <v>Exclude</v>
      </c>
      <c r="J88" s="28" t="b">
        <f t="shared" si="2"/>
        <v>1</v>
      </c>
      <c r="K88" s="28" t="b">
        <f t="shared" si="3"/>
        <v>0</v>
      </c>
      <c r="L88" s="28" t="str">
        <f>'INCEXC A'!L88</f>
        <v/>
      </c>
      <c r="M88" s="28" t="str">
        <f>'INCEXC B'!L88</f>
        <v/>
      </c>
      <c r="O88" s="28" t="str">
        <f>'INCEXC A'!M88</f>
        <v/>
      </c>
      <c r="P88" s="28" t="str">
        <f>'INCEXC A'!N88</f>
        <v/>
      </c>
      <c r="Q88" s="28" t="str">
        <f>'INCEXC A'!O88</f>
        <v/>
      </c>
      <c r="R88" s="28" t="str">
        <f>'INCEXC B'!O88</f>
        <v/>
      </c>
      <c r="S88" s="28" t="str">
        <f>'INCEXC A'!P88</f>
        <v/>
      </c>
      <c r="T88" s="28" t="str">
        <f>'INCEXC B'!P88</f>
        <v/>
      </c>
      <c r="U88" s="28" t="b">
        <f t="shared" si="4"/>
        <v>1</v>
      </c>
      <c r="V88" s="28" t="b">
        <f t="shared" si="5"/>
        <v>0</v>
      </c>
    </row>
    <row r="89" hidden="1">
      <c r="A89" s="35" t="str">
        <f>'INCEXC A'!A89</f>
        <v>https://doi.org/10.1145/1989323.1989461</v>
      </c>
      <c r="B89" s="35" t="str">
        <f>'INCEXC B'!A89</f>
        <v>https://doi.org/10.1145/1989323.1989461</v>
      </c>
      <c r="C89" s="28" t="b">
        <f t="shared" si="1"/>
        <v>1</v>
      </c>
      <c r="D89" s="28" t="str">
        <f>'INCEXC A'!B89</f>
        <v>10.1145/1989323.1989461</v>
      </c>
      <c r="E89" s="28" t="str">
        <f>'INCEXC A'!C89</f>
        <v>WattDB: an energy-proportional cluster of wimpy nodes</v>
      </c>
      <c r="F89" s="28" t="str">
        <f>'INCEXC A'!D89</f>
        <v>Kaiser</v>
      </c>
      <c r="G89" s="28" t="str">
        <f>'INCEXC B'!D89</f>
        <v>Taylor</v>
      </c>
      <c r="H89" s="28" t="str">
        <f>'INCEXC A'!E89</f>
        <v>Exclude</v>
      </c>
      <c r="I89" s="28" t="str">
        <f>'INCEXC B'!E89</f>
        <v>Exclude</v>
      </c>
      <c r="J89" s="28" t="b">
        <f t="shared" si="2"/>
        <v>1</v>
      </c>
      <c r="K89" s="28" t="b">
        <f t="shared" si="3"/>
        <v>0</v>
      </c>
      <c r="L89" s="28" t="str">
        <f>'INCEXC A'!L89</f>
        <v/>
      </c>
      <c r="M89" s="28" t="str">
        <f>'INCEXC B'!L89</f>
        <v/>
      </c>
      <c r="O89" s="28" t="str">
        <f>'INCEXC A'!M89</f>
        <v/>
      </c>
      <c r="P89" s="28" t="str">
        <f>'INCEXC A'!N89</f>
        <v/>
      </c>
      <c r="Q89" s="28" t="str">
        <f>'INCEXC A'!O89</f>
        <v/>
      </c>
      <c r="R89" s="28" t="str">
        <f>'INCEXC B'!O89</f>
        <v/>
      </c>
      <c r="S89" s="28" t="str">
        <f>'INCEXC A'!P89</f>
        <v/>
      </c>
      <c r="T89" s="28" t="str">
        <f>'INCEXC B'!P89</f>
        <v/>
      </c>
      <c r="U89" s="28" t="b">
        <f t="shared" si="4"/>
        <v>1</v>
      </c>
      <c r="V89" s="28" t="b">
        <f t="shared" si="5"/>
        <v>0</v>
      </c>
    </row>
    <row r="90" hidden="1">
      <c r="A90" s="35" t="str">
        <f>'INCEXC A'!A90</f>
        <v>https://doi.org/10.1145/1995896.1995926</v>
      </c>
      <c r="B90" s="35" t="str">
        <f>'INCEXC B'!A90</f>
        <v>https://doi.org/10.1145/1995896.1995926</v>
      </c>
      <c r="C90" s="28" t="b">
        <f t="shared" si="1"/>
        <v>1</v>
      </c>
      <c r="D90" s="28" t="str">
        <f>'INCEXC A'!B90</f>
        <v>10.1145/1995896.1995926</v>
      </c>
      <c r="E90" s="28" t="str">
        <f>'INCEXC A'!C90</f>
        <v>Optimizing the datacenter for data-centric workloads</v>
      </c>
      <c r="F90" s="28" t="str">
        <f>'INCEXC A'!D90</f>
        <v>Kaiser</v>
      </c>
      <c r="G90" s="28" t="str">
        <f>'INCEXC B'!D90</f>
        <v>Ceren</v>
      </c>
      <c r="H90" s="28" t="str">
        <f>'INCEXC A'!E90</f>
        <v>Exclude</v>
      </c>
      <c r="I90" s="28" t="str">
        <f>'INCEXC B'!E90</f>
        <v>Exclude</v>
      </c>
      <c r="J90" s="28" t="b">
        <f t="shared" si="2"/>
        <v>1</v>
      </c>
      <c r="K90" s="28" t="b">
        <f t="shared" si="3"/>
        <v>0</v>
      </c>
      <c r="L90" s="28" t="str">
        <f>'INCEXC A'!L90</f>
        <v/>
      </c>
      <c r="M90" s="28" t="str">
        <f>'INCEXC B'!L90</f>
        <v/>
      </c>
      <c r="O90" s="28" t="str">
        <f>'INCEXC A'!M90</f>
        <v/>
      </c>
      <c r="P90" s="28" t="str">
        <f>'INCEXC A'!N90</f>
        <v/>
      </c>
      <c r="Q90" s="28" t="str">
        <f>'INCEXC A'!O90</f>
        <v/>
      </c>
      <c r="R90" s="28" t="str">
        <f>'INCEXC B'!O90</f>
        <v/>
      </c>
      <c r="S90" s="28" t="str">
        <f>'INCEXC A'!P90</f>
        <v/>
      </c>
      <c r="T90" s="28" t="str">
        <f>'INCEXC B'!P90</f>
        <v/>
      </c>
      <c r="U90" s="28" t="b">
        <f t="shared" si="4"/>
        <v>1</v>
      </c>
      <c r="V90" s="28" t="b">
        <f t="shared" si="5"/>
        <v>0</v>
      </c>
    </row>
    <row r="91" hidden="1">
      <c r="A91" s="35" t="str">
        <f>'INCEXC A'!A91</f>
        <v>https://doi.org/10.1145/199688.199776</v>
      </c>
      <c r="B91" s="35" t="str">
        <f>'INCEXC B'!A91</f>
        <v>https://doi.org/10.1145/199688.199776</v>
      </c>
      <c r="C91" s="28" t="b">
        <f t="shared" si="1"/>
        <v>1</v>
      </c>
      <c r="D91" s="28" t="str">
        <f>'INCEXC A'!B91</f>
        <v>10.1145/199688.199776</v>
      </c>
      <c r="E91" s="28" t="str">
        <f>'INCEXC A'!C91</f>
        <v>Inexpensive advanced graphics applications for the C.S. majors graphics class</v>
      </c>
      <c r="F91" s="28" t="str">
        <f>'INCEXC A'!D91</f>
        <v>Marilyn</v>
      </c>
      <c r="G91" s="28" t="str">
        <f>'INCEXC B'!D91</f>
        <v>Danni</v>
      </c>
      <c r="H91" s="28" t="str">
        <f>'INCEXC A'!E91</f>
        <v>Exclude</v>
      </c>
      <c r="I91" s="28" t="str">
        <f>'INCEXC B'!E91</f>
        <v>Exclude</v>
      </c>
      <c r="J91" s="28" t="b">
        <f t="shared" si="2"/>
        <v>1</v>
      </c>
      <c r="K91" s="28" t="b">
        <f t="shared" si="3"/>
        <v>0</v>
      </c>
      <c r="L91" s="28" t="str">
        <f>'INCEXC A'!L91</f>
        <v/>
      </c>
      <c r="M91" s="28" t="str">
        <f>'INCEXC B'!L91</f>
        <v/>
      </c>
      <c r="O91" s="28" t="str">
        <f>'INCEXC A'!M91</f>
        <v/>
      </c>
      <c r="P91" s="28" t="str">
        <f>'INCEXC A'!N91</f>
        <v/>
      </c>
      <c r="Q91" s="28" t="str">
        <f>'INCEXC A'!O91</f>
        <v/>
      </c>
      <c r="R91" s="28" t="str">
        <f>'INCEXC B'!O91</f>
        <v/>
      </c>
      <c r="S91" s="28" t="str">
        <f>'INCEXC A'!P91</f>
        <v/>
      </c>
      <c r="T91" s="28" t="str">
        <f>'INCEXC B'!P91</f>
        <v/>
      </c>
      <c r="U91" s="28" t="b">
        <f t="shared" si="4"/>
        <v>1</v>
      </c>
      <c r="V91" s="28" t="b">
        <f t="shared" si="5"/>
        <v>0</v>
      </c>
    </row>
    <row r="92" hidden="1">
      <c r="A92" s="35" t="str">
        <f>'INCEXC A'!A92</f>
        <v>https://doi.org/10.1145/2003690.2003693</v>
      </c>
      <c r="B92" s="35" t="str">
        <f>'INCEXC B'!A92</f>
        <v>https://doi.org/10.1145/2003690.2003693</v>
      </c>
      <c r="C92" s="28" t="b">
        <f t="shared" si="1"/>
        <v>1</v>
      </c>
      <c r="D92" s="28" t="str">
        <f>'INCEXC A'!B92</f>
        <v>10.1145/2003690.2003693</v>
      </c>
      <c r="E92" s="28" t="str">
        <f>'INCEXC A'!C92</f>
        <v>Mobile processors for energy-efficient web search</v>
      </c>
      <c r="F92" s="28" t="str">
        <f>'INCEXC A'!D92</f>
        <v>Jonathan</v>
      </c>
      <c r="G92" s="28" t="str">
        <f>'INCEXC B'!D92</f>
        <v>Ceren</v>
      </c>
      <c r="H92" s="28" t="str">
        <f>'INCEXC A'!E92</f>
        <v>Exclude</v>
      </c>
      <c r="I92" s="28" t="str">
        <f>'INCEXC B'!E92</f>
        <v>Exclude</v>
      </c>
      <c r="J92" s="28" t="b">
        <f t="shared" si="2"/>
        <v>1</v>
      </c>
      <c r="K92" s="28" t="b">
        <f t="shared" si="3"/>
        <v>0</v>
      </c>
      <c r="L92" s="28" t="str">
        <f>'INCEXC A'!L92</f>
        <v/>
      </c>
      <c r="M92" s="28" t="str">
        <f>'INCEXC B'!L92</f>
        <v/>
      </c>
      <c r="O92" s="28" t="str">
        <f>'INCEXC A'!M92</f>
        <v/>
      </c>
      <c r="P92" s="28" t="str">
        <f>'INCEXC A'!N92</f>
        <v/>
      </c>
      <c r="Q92" s="28" t="str">
        <f>'INCEXC A'!O92</f>
        <v/>
      </c>
      <c r="R92" s="28" t="str">
        <f>'INCEXC B'!O92</f>
        <v/>
      </c>
      <c r="S92" s="28" t="str">
        <f>'INCEXC A'!P92</f>
        <v/>
      </c>
      <c r="T92" s="28" t="str">
        <f>'INCEXC B'!P92</f>
        <v/>
      </c>
      <c r="U92" s="28" t="b">
        <f t="shared" si="4"/>
        <v>1</v>
      </c>
      <c r="V92" s="28" t="b">
        <f t="shared" si="5"/>
        <v>0</v>
      </c>
    </row>
    <row r="93" hidden="1">
      <c r="A93" s="35" t="str">
        <f>'INCEXC A'!A93</f>
        <v>https://doi.org/10.1145/2018584.2018596</v>
      </c>
      <c r="B93" s="35" t="str">
        <f>'INCEXC B'!A93</f>
        <v>https://doi.org/10.1145/2018584.2018596</v>
      </c>
      <c r="C93" s="28" t="b">
        <f t="shared" si="1"/>
        <v>1</v>
      </c>
      <c r="D93" s="28" t="str">
        <f>'INCEXC A'!B93</f>
        <v>10.1145/2018584.2018596</v>
      </c>
      <c r="E93" s="28" t="str">
        <f>'INCEXC A'!C93</f>
        <v>A reality check for content centric networking</v>
      </c>
      <c r="F93" s="28" t="str">
        <f>'INCEXC A'!D93</f>
        <v>Kaiser</v>
      </c>
      <c r="G93" s="28" t="str">
        <f>'INCEXC B'!D93</f>
        <v>Taylor</v>
      </c>
      <c r="H93" s="28" t="str">
        <f>'INCEXC A'!E93</f>
        <v>Exclude</v>
      </c>
      <c r="I93" s="28" t="str">
        <f>'INCEXC B'!E93</f>
        <v>Exclude</v>
      </c>
      <c r="J93" s="28" t="b">
        <f t="shared" si="2"/>
        <v>1</v>
      </c>
      <c r="K93" s="28" t="b">
        <f t="shared" si="3"/>
        <v>0</v>
      </c>
      <c r="L93" s="28" t="str">
        <f>'INCEXC A'!L93</f>
        <v/>
      </c>
      <c r="M93" s="28" t="str">
        <f>'INCEXC B'!L93</f>
        <v/>
      </c>
      <c r="O93" s="28" t="str">
        <f>'INCEXC A'!M93</f>
        <v/>
      </c>
      <c r="P93" s="28" t="str">
        <f>'INCEXC A'!N93</f>
        <v/>
      </c>
      <c r="Q93" s="28" t="str">
        <f>'INCEXC A'!O93</f>
        <v/>
      </c>
      <c r="R93" s="28" t="str">
        <f>'INCEXC B'!O93</f>
        <v/>
      </c>
      <c r="S93" s="28" t="str">
        <f>'INCEXC A'!P93</f>
        <v/>
      </c>
      <c r="T93" s="28" t="str">
        <f>'INCEXC B'!P93</f>
        <v/>
      </c>
      <c r="U93" s="28" t="b">
        <f t="shared" si="4"/>
        <v>1</v>
      </c>
      <c r="V93" s="28" t="b">
        <f t="shared" si="5"/>
        <v>0</v>
      </c>
    </row>
    <row r="94" hidden="1">
      <c r="A94" s="35" t="str">
        <f>'INCEXC A'!A94</f>
        <v>https://doi.org/10.1145/2038916.2038917</v>
      </c>
      <c r="B94" s="35" t="str">
        <f>'INCEXC B'!A94</f>
        <v>https://doi.org/10.1145/2038916.2038917</v>
      </c>
      <c r="C94" s="28" t="b">
        <f t="shared" si="1"/>
        <v>1</v>
      </c>
      <c r="D94" s="28" t="str">
        <f>'INCEXC A'!B94</f>
        <v>10.1145/2038916.2038917</v>
      </c>
      <c r="E94" s="28" t="str">
        <f>'INCEXC A'!C94</f>
        <v>An efficient multi-tier tablet server storage architecture</v>
      </c>
      <c r="F94" s="28" t="str">
        <f>'INCEXC A'!D94</f>
        <v>Jonathan</v>
      </c>
      <c r="G94" s="28" t="str">
        <f>'INCEXC B'!D94</f>
        <v>Taylor</v>
      </c>
      <c r="H94" s="28" t="str">
        <f>'INCEXC A'!E94</f>
        <v>Exclude</v>
      </c>
      <c r="I94" s="28" t="str">
        <f>'INCEXC B'!E94</f>
        <v>Exclude</v>
      </c>
      <c r="J94" s="28" t="b">
        <f t="shared" si="2"/>
        <v>1</v>
      </c>
      <c r="K94" s="28" t="b">
        <f t="shared" si="3"/>
        <v>0</v>
      </c>
      <c r="L94" s="28" t="str">
        <f>'INCEXC A'!L94</f>
        <v/>
      </c>
      <c r="M94" s="28" t="str">
        <f>'INCEXC B'!L94</f>
        <v/>
      </c>
      <c r="O94" s="28" t="str">
        <f>'INCEXC A'!M94</f>
        <v/>
      </c>
      <c r="P94" s="28" t="str">
        <f>'INCEXC A'!N94</f>
        <v/>
      </c>
      <c r="Q94" s="28" t="str">
        <f>'INCEXC A'!O94</f>
        <v/>
      </c>
      <c r="R94" s="28" t="str">
        <f>'INCEXC B'!O94</f>
        <v/>
      </c>
      <c r="S94" s="28" t="str">
        <f>'INCEXC A'!P94</f>
        <v/>
      </c>
      <c r="T94" s="28" t="str">
        <f>'INCEXC B'!P94</f>
        <v/>
      </c>
      <c r="U94" s="28" t="b">
        <f t="shared" si="4"/>
        <v>1</v>
      </c>
      <c r="V94" s="28" t="b">
        <f t="shared" si="5"/>
        <v>0</v>
      </c>
    </row>
    <row r="95" hidden="1">
      <c r="A95" s="35" t="str">
        <f>'INCEXC A'!A95</f>
        <v>https://doi.org/10.1145/2038916.2038939</v>
      </c>
      <c r="B95" s="35" t="str">
        <f>'INCEXC B'!A95</f>
        <v>https://doi.org/10.1145/2038916.2038939</v>
      </c>
      <c r="C95" s="28" t="b">
        <f t="shared" si="1"/>
        <v>1</v>
      </c>
      <c r="D95" s="28" t="str">
        <f>'INCEXC A'!B95</f>
        <v>10.1145/2038916.2038939</v>
      </c>
      <c r="E95" s="28" t="str">
        <f>'INCEXC A'!C95</f>
        <v>Small cache</v>
      </c>
      <c r="F95" s="28" t="str">
        <f>'INCEXC A'!D95</f>
        <v>Jonathan</v>
      </c>
      <c r="G95" s="28" t="str">
        <f>'INCEXC B'!D95</f>
        <v>Ceren</v>
      </c>
      <c r="H95" s="28" t="str">
        <f>'INCEXC A'!E95</f>
        <v>Exclude</v>
      </c>
      <c r="I95" s="28" t="str">
        <f>'INCEXC B'!E95</f>
        <v>Exclude</v>
      </c>
      <c r="J95" s="28" t="b">
        <f t="shared" si="2"/>
        <v>1</v>
      </c>
      <c r="K95" s="28" t="b">
        <f t="shared" si="3"/>
        <v>0</v>
      </c>
      <c r="L95" s="28" t="str">
        <f>'INCEXC A'!L95</f>
        <v/>
      </c>
      <c r="M95" s="28" t="str">
        <f>'INCEXC B'!L95</f>
        <v/>
      </c>
      <c r="O95" s="28" t="str">
        <f>'INCEXC A'!M95</f>
        <v/>
      </c>
      <c r="P95" s="28" t="str">
        <f>'INCEXC A'!N95</f>
        <v/>
      </c>
      <c r="Q95" s="28" t="str">
        <f>'INCEXC A'!O95</f>
        <v/>
      </c>
      <c r="R95" s="28" t="str">
        <f>'INCEXC B'!O95</f>
        <v/>
      </c>
      <c r="S95" s="28" t="str">
        <f>'INCEXC A'!P95</f>
        <v/>
      </c>
      <c r="T95" s="28" t="str">
        <f>'INCEXC B'!P95</f>
        <v/>
      </c>
      <c r="U95" s="28" t="b">
        <f t="shared" si="4"/>
        <v>1</v>
      </c>
      <c r="V95" s="28" t="b">
        <f t="shared" si="5"/>
        <v>0</v>
      </c>
    </row>
    <row r="96" hidden="1">
      <c r="A96" s="35" t="str">
        <f>'INCEXC A'!A96</f>
        <v>https://doi.org/10.1145/2043556.2043558</v>
      </c>
      <c r="B96" s="35" t="str">
        <f>'INCEXC B'!A96</f>
        <v>https://doi.org/10.1145/2043556.2043558</v>
      </c>
      <c r="C96" s="28" t="b">
        <f t="shared" si="1"/>
        <v>1</v>
      </c>
      <c r="D96" s="28" t="str">
        <f>'INCEXC A'!B96</f>
        <v>10.1145/2043556.2043558</v>
      </c>
      <c r="E96" s="28" t="str">
        <f>'INCEXC A'!C96</f>
        <v>SILT: a memory-efficient</v>
      </c>
      <c r="F96" s="28" t="str">
        <f>'INCEXC A'!D96</f>
        <v>Jonathan</v>
      </c>
      <c r="G96" s="28" t="str">
        <f>'INCEXC B'!D96</f>
        <v>Ceren</v>
      </c>
      <c r="H96" s="28" t="str">
        <f>'INCEXC A'!E96</f>
        <v>Exclude</v>
      </c>
      <c r="I96" s="28" t="str">
        <f>'INCEXC B'!E96</f>
        <v>Exclude</v>
      </c>
      <c r="J96" s="28" t="b">
        <f t="shared" si="2"/>
        <v>1</v>
      </c>
      <c r="K96" s="28" t="b">
        <f t="shared" si="3"/>
        <v>0</v>
      </c>
      <c r="L96" s="28" t="str">
        <f>'INCEXC A'!L96</f>
        <v/>
      </c>
      <c r="M96" s="28" t="str">
        <f>'INCEXC B'!L96</f>
        <v/>
      </c>
      <c r="O96" s="28" t="str">
        <f>'INCEXC A'!M96</f>
        <v/>
      </c>
      <c r="P96" s="28" t="str">
        <f>'INCEXC A'!N96</f>
        <v/>
      </c>
      <c r="Q96" s="28" t="str">
        <f>'INCEXC A'!O96</f>
        <v/>
      </c>
      <c r="R96" s="28" t="str">
        <f>'INCEXC B'!O96</f>
        <v/>
      </c>
      <c r="S96" s="28" t="str">
        <f>'INCEXC A'!P96</f>
        <v/>
      </c>
      <c r="T96" s="28" t="str">
        <f>'INCEXC B'!P96</f>
        <v/>
      </c>
      <c r="U96" s="28" t="b">
        <f t="shared" si="4"/>
        <v>1</v>
      </c>
      <c r="V96" s="28" t="b">
        <f t="shared" si="5"/>
        <v>0</v>
      </c>
    </row>
    <row r="97" hidden="1">
      <c r="A97" s="35" t="str">
        <f>'INCEXC A'!A97</f>
        <v>https://doi.org/10.1145/2043556.2043593</v>
      </c>
      <c r="B97" s="35" t="str">
        <f>'INCEXC B'!A97</f>
        <v>https://doi.org/10.1145/2043556.2043593</v>
      </c>
      <c r="C97" s="28" t="b">
        <f t="shared" si="1"/>
        <v>1</v>
      </c>
      <c r="D97" s="28" t="str">
        <f>'INCEXC A'!B97</f>
        <v>10.1145/2043556.2043593</v>
      </c>
      <c r="E97" s="28" t="str">
        <f>'INCEXC A'!C97</f>
        <v>Don't settle for eventual: scalable causal consistency for wide-area storage with COPS</v>
      </c>
      <c r="F97" s="28" t="str">
        <f>'INCEXC A'!D97</f>
        <v>Jonathan</v>
      </c>
      <c r="G97" s="28" t="str">
        <f>'INCEXC B'!D97</f>
        <v>Ceren</v>
      </c>
      <c r="H97" s="28" t="str">
        <f>'INCEXC A'!E97</f>
        <v>Exclude</v>
      </c>
      <c r="I97" s="28" t="str">
        <f>'INCEXC B'!E97</f>
        <v>Exclude</v>
      </c>
      <c r="J97" s="28" t="b">
        <f t="shared" si="2"/>
        <v>1</v>
      </c>
      <c r="K97" s="28" t="b">
        <f t="shared" si="3"/>
        <v>0</v>
      </c>
      <c r="L97" s="28" t="str">
        <f>'INCEXC A'!L97</f>
        <v/>
      </c>
      <c r="M97" s="28" t="str">
        <f>'INCEXC B'!L97</f>
        <v/>
      </c>
      <c r="O97" s="28" t="str">
        <f>'INCEXC A'!M97</f>
        <v/>
      </c>
      <c r="P97" s="28" t="str">
        <f>'INCEXC A'!N97</f>
        <v/>
      </c>
      <c r="Q97" s="28" t="str">
        <f>'INCEXC A'!O97</f>
        <v/>
      </c>
      <c r="R97" s="28" t="str">
        <f>'INCEXC B'!O97</f>
        <v/>
      </c>
      <c r="S97" s="28" t="str">
        <f>'INCEXC A'!P97</f>
        <v/>
      </c>
      <c r="T97" s="28" t="str">
        <f>'INCEXC B'!P97</f>
        <v/>
      </c>
      <c r="U97" s="28" t="b">
        <f t="shared" si="4"/>
        <v>1</v>
      </c>
      <c r="V97" s="28" t="b">
        <f t="shared" si="5"/>
        <v>0</v>
      </c>
    </row>
    <row r="98" hidden="1">
      <c r="A98" s="35" t="str">
        <f>'INCEXC A'!A98</f>
        <v>https://doi.org/10.1145/2107502.2107511</v>
      </c>
      <c r="B98" s="35" t="str">
        <f>'INCEXC B'!A98</f>
        <v>https://doi.org/10.1145/2107502.2107511</v>
      </c>
      <c r="C98" s="28" t="b">
        <f t="shared" si="1"/>
        <v>1</v>
      </c>
      <c r="D98" s="28" t="str">
        <f>'INCEXC A'!B98</f>
        <v>10.1145/2107502.2107511</v>
      </c>
      <c r="E98" s="28" t="str">
        <f>'INCEXC A'!C98</f>
        <v>The hare and the tortoise: taming wireless losses by exploiting wired reliability</v>
      </c>
      <c r="F98" s="28" t="str">
        <f>'INCEXC A'!D98</f>
        <v>Marilyn</v>
      </c>
      <c r="G98" s="28" t="str">
        <f>'INCEXC B'!D98</f>
        <v>Ceren</v>
      </c>
      <c r="H98" s="28" t="str">
        <f>'INCEXC A'!E98</f>
        <v>Exclude</v>
      </c>
      <c r="I98" s="28" t="str">
        <f>'INCEXC B'!E98</f>
        <v>Exclude</v>
      </c>
      <c r="J98" s="28" t="b">
        <f t="shared" si="2"/>
        <v>1</v>
      </c>
      <c r="K98" s="28" t="b">
        <f t="shared" si="3"/>
        <v>0</v>
      </c>
      <c r="L98" s="28" t="str">
        <f>'INCEXC A'!L98</f>
        <v/>
      </c>
      <c r="M98" s="28" t="str">
        <f>'INCEXC B'!L98</f>
        <v/>
      </c>
      <c r="O98" s="28" t="str">
        <f>'INCEXC A'!M98</f>
        <v/>
      </c>
      <c r="P98" s="28" t="str">
        <f>'INCEXC A'!N98</f>
        <v/>
      </c>
      <c r="Q98" s="28" t="str">
        <f>'INCEXC A'!O98</f>
        <v/>
      </c>
      <c r="R98" s="28" t="str">
        <f>'INCEXC B'!O98</f>
        <v/>
      </c>
      <c r="S98" s="28" t="str">
        <f>'INCEXC A'!P98</f>
        <v/>
      </c>
      <c r="T98" s="28" t="str">
        <f>'INCEXC B'!P98</f>
        <v/>
      </c>
      <c r="U98" s="28" t="b">
        <f t="shared" si="4"/>
        <v>1</v>
      </c>
      <c r="V98" s="28" t="b">
        <f t="shared" si="5"/>
        <v>0</v>
      </c>
    </row>
    <row r="99" hidden="1">
      <c r="A99" s="35" t="str">
        <f>'INCEXC A'!A99</f>
        <v>https://doi.org/10.1145/2110205.2110209</v>
      </c>
      <c r="B99" s="35" t="str">
        <f>'INCEXC B'!A99</f>
        <v>https://doi.org/10.1145/2110205.2110209</v>
      </c>
      <c r="C99" s="28" t="b">
        <f t="shared" si="1"/>
        <v>1</v>
      </c>
      <c r="D99" s="28" t="str">
        <f>'INCEXC A'!B99</f>
        <v>10.1145/2110205.2110209</v>
      </c>
      <c r="E99" s="28" t="str">
        <f>'INCEXC A'!C99</f>
        <v>Using active NVRAM for I/O staging</v>
      </c>
      <c r="F99" s="28" t="str">
        <f>'INCEXC A'!D99</f>
        <v>Kaiser</v>
      </c>
      <c r="G99" s="28" t="str">
        <f>'INCEXC B'!D99</f>
        <v>Ceren</v>
      </c>
      <c r="H99" s="28" t="str">
        <f>'INCEXC A'!E99</f>
        <v>Exclude</v>
      </c>
      <c r="I99" s="28" t="str">
        <f>'INCEXC B'!E99</f>
        <v>Exclude</v>
      </c>
      <c r="J99" s="28" t="b">
        <f t="shared" si="2"/>
        <v>1</v>
      </c>
      <c r="K99" s="28" t="b">
        <f t="shared" si="3"/>
        <v>0</v>
      </c>
      <c r="L99" s="28" t="str">
        <f>'INCEXC A'!L99</f>
        <v/>
      </c>
      <c r="M99" s="28" t="str">
        <f>'INCEXC B'!L99</f>
        <v/>
      </c>
      <c r="O99" s="28" t="str">
        <f>'INCEXC A'!M99</f>
        <v/>
      </c>
      <c r="P99" s="28" t="str">
        <f>'INCEXC A'!N99</f>
        <v/>
      </c>
      <c r="Q99" s="28" t="str">
        <f>'INCEXC A'!O99</f>
        <v/>
      </c>
      <c r="R99" s="28" t="str">
        <f>'INCEXC B'!O99</f>
        <v/>
      </c>
      <c r="S99" s="28" t="str">
        <f>'INCEXC A'!P99</f>
        <v/>
      </c>
      <c r="T99" s="28" t="str">
        <f>'INCEXC B'!P99</f>
        <v/>
      </c>
      <c r="U99" s="28" t="b">
        <f t="shared" si="4"/>
        <v>1</v>
      </c>
      <c r="V99" s="28" t="b">
        <f t="shared" si="5"/>
        <v>0</v>
      </c>
    </row>
    <row r="100" hidden="1">
      <c r="A100" s="35" t="str">
        <f>'INCEXC A'!A100</f>
        <v>https://doi.org/10.1145/2124295.2124300</v>
      </c>
      <c r="B100" s="35" t="str">
        <f>'INCEXC B'!A100</f>
        <v>https://doi.org/10.1145/2124295.2124300</v>
      </c>
      <c r="C100" s="28" t="b">
        <f t="shared" si="1"/>
        <v>1</v>
      </c>
      <c r="D100" s="28" t="str">
        <f>'INCEXC A'!B100</f>
        <v>10.1145/2124295.2124300</v>
      </c>
      <c r="E100" s="28" t="str">
        <f>'INCEXC A'!C100</f>
        <v>Auralist: introducing serendipity into music recommendation</v>
      </c>
      <c r="F100" s="28" t="str">
        <f>'INCEXC A'!D100</f>
        <v>Kaiser</v>
      </c>
      <c r="G100" s="28" t="str">
        <f>'INCEXC B'!D100</f>
        <v>Ceren</v>
      </c>
      <c r="H100" s="28" t="str">
        <f>'INCEXC A'!E100</f>
        <v>Exclude</v>
      </c>
      <c r="I100" s="28" t="str">
        <f>'INCEXC B'!E100</f>
        <v>Exclude</v>
      </c>
      <c r="J100" s="28" t="b">
        <f t="shared" si="2"/>
        <v>1</v>
      </c>
      <c r="K100" s="28" t="b">
        <f t="shared" si="3"/>
        <v>0</v>
      </c>
      <c r="L100" s="28" t="str">
        <f>'INCEXC A'!L100</f>
        <v/>
      </c>
      <c r="M100" s="28" t="str">
        <f>'INCEXC B'!L100</f>
        <v/>
      </c>
      <c r="O100" s="28" t="str">
        <f>'INCEXC A'!M100</f>
        <v/>
      </c>
      <c r="P100" s="28" t="str">
        <f>'INCEXC A'!N100</f>
        <v/>
      </c>
      <c r="Q100" s="28" t="str">
        <f>'INCEXC A'!O100</f>
        <v/>
      </c>
      <c r="R100" s="28" t="str">
        <f>'INCEXC B'!O100</f>
        <v/>
      </c>
      <c r="S100" s="28" t="str">
        <f>'INCEXC A'!P100</f>
        <v/>
      </c>
      <c r="T100" s="28" t="str">
        <f>'INCEXC B'!P100</f>
        <v/>
      </c>
      <c r="U100" s="28" t="b">
        <f t="shared" si="4"/>
        <v>1</v>
      </c>
      <c r="V100" s="28" t="b">
        <f t="shared" si="5"/>
        <v>0</v>
      </c>
    </row>
    <row r="101" hidden="1">
      <c r="A101" s="35" t="str">
        <f>'INCEXC A'!A101</f>
        <v>https://doi.org/10.1145/2133382.2133388</v>
      </c>
      <c r="B101" s="35" t="str">
        <f>'INCEXC B'!A101</f>
        <v>https://doi.org/10.1145/2133382.2133388</v>
      </c>
      <c r="C101" s="28" t="b">
        <f t="shared" si="1"/>
        <v>1</v>
      </c>
      <c r="D101" s="28" t="str">
        <f>'INCEXC A'!B101</f>
        <v>10.1145/2133382.2133388</v>
      </c>
      <c r="E101" s="28" t="str">
        <f>'INCEXC A'!C101</f>
        <v>A Massively Parallel</v>
      </c>
      <c r="F101" s="28" t="str">
        <f>'INCEXC A'!D101</f>
        <v>Jonathan</v>
      </c>
      <c r="G101" s="28" t="str">
        <f>'INCEXC B'!D101</f>
        <v>Taylor</v>
      </c>
      <c r="H101" s="28" t="str">
        <f>'INCEXC A'!E101</f>
        <v>Exclude</v>
      </c>
      <c r="I101" s="28" t="str">
        <f>'INCEXC B'!E101</f>
        <v>Exclude</v>
      </c>
      <c r="J101" s="28" t="b">
        <f t="shared" si="2"/>
        <v>1</v>
      </c>
      <c r="K101" s="28" t="b">
        <f t="shared" si="3"/>
        <v>0</v>
      </c>
      <c r="L101" s="28" t="str">
        <f>'INCEXC A'!L101</f>
        <v/>
      </c>
      <c r="M101" s="28" t="str">
        <f>'INCEXC B'!L101</f>
        <v/>
      </c>
      <c r="O101" s="28" t="str">
        <f>'INCEXC A'!M101</f>
        <v/>
      </c>
      <c r="P101" s="28" t="str">
        <f>'INCEXC A'!N101</f>
        <v/>
      </c>
      <c r="Q101" s="28" t="str">
        <f>'INCEXC A'!O101</f>
        <v/>
      </c>
      <c r="R101" s="28" t="str">
        <f>'INCEXC B'!O101</f>
        <v/>
      </c>
      <c r="S101" s="28" t="str">
        <f>'INCEXC A'!P101</f>
        <v/>
      </c>
      <c r="T101" s="28" t="str">
        <f>'INCEXC B'!P101</f>
        <v/>
      </c>
      <c r="U101" s="28" t="b">
        <f t="shared" si="4"/>
        <v>1</v>
      </c>
      <c r="V101" s="28" t="b">
        <f t="shared" si="5"/>
        <v>0</v>
      </c>
    </row>
    <row r="102" hidden="1">
      <c r="A102" s="35" t="str">
        <f>'INCEXC A'!A102</f>
        <v>https://doi.org/10.1145/2146382.2146391</v>
      </c>
      <c r="B102" s="35" t="str">
        <f>'INCEXC B'!A102</f>
        <v>https://doi.org/10.1145/2146382.2146391</v>
      </c>
      <c r="C102" s="28" t="b">
        <f t="shared" si="1"/>
        <v>1</v>
      </c>
      <c r="D102" s="28" t="str">
        <f>'INCEXC A'!B102</f>
        <v>10.1145/2146382.2146391</v>
      </c>
      <c r="E102" s="28" t="str">
        <f>'INCEXC A'!C102</f>
        <v>From paxos to CORFU: a flash-speed shared log</v>
      </c>
      <c r="F102" s="28" t="str">
        <f>'INCEXC A'!D102</f>
        <v>Kaiser</v>
      </c>
      <c r="G102" s="28" t="str">
        <f>'INCEXC B'!D102</f>
        <v>Taylor</v>
      </c>
      <c r="H102" s="28" t="str">
        <f>'INCEXC A'!E102</f>
        <v>Exclude</v>
      </c>
      <c r="I102" s="28" t="str">
        <f>'INCEXC B'!E102</f>
        <v>Exclude</v>
      </c>
      <c r="J102" s="28" t="b">
        <f t="shared" si="2"/>
        <v>1</v>
      </c>
      <c r="K102" s="28" t="b">
        <f t="shared" si="3"/>
        <v>0</v>
      </c>
      <c r="L102" s="28" t="str">
        <f>'INCEXC A'!L102</f>
        <v/>
      </c>
      <c r="M102" s="28" t="str">
        <f>'INCEXC B'!L102</f>
        <v/>
      </c>
      <c r="O102" s="28" t="str">
        <f>'INCEXC A'!M102</f>
        <v/>
      </c>
      <c r="P102" s="28" t="str">
        <f>'INCEXC A'!N102</f>
        <v/>
      </c>
      <c r="Q102" s="28" t="str">
        <f>'INCEXC A'!O102</f>
        <v/>
      </c>
      <c r="R102" s="28" t="str">
        <f>'INCEXC B'!O102</f>
        <v/>
      </c>
      <c r="S102" s="28" t="str">
        <f>'INCEXC A'!P102</f>
        <v/>
      </c>
      <c r="T102" s="28" t="str">
        <f>'INCEXC B'!P102</f>
        <v/>
      </c>
      <c r="U102" s="28" t="b">
        <f t="shared" si="4"/>
        <v>1</v>
      </c>
      <c r="V102" s="28" t="b">
        <f t="shared" si="5"/>
        <v>0</v>
      </c>
    </row>
    <row r="103" hidden="1">
      <c r="A103" s="35" t="str">
        <f>'INCEXC A'!A103</f>
        <v>https://doi.org/10.1145/2155620.2155651</v>
      </c>
      <c r="B103" s="35" t="str">
        <f>'INCEXC B'!A103</f>
        <v>https://doi.org/10.1145/2155620.2155651</v>
      </c>
      <c r="C103" s="28" t="b">
        <f t="shared" si="1"/>
        <v>1</v>
      </c>
      <c r="D103" s="28" t="str">
        <f>'INCEXC A'!B103</f>
        <v>10.1145/2155620.2155651</v>
      </c>
      <c r="E103" s="28" t="str">
        <f>'INCEXC A'!C103</f>
        <v>System-level integrated server architectures for scale-out datacenters</v>
      </c>
      <c r="F103" s="28" t="str">
        <f>'INCEXC A'!D103</f>
        <v>Kaiser</v>
      </c>
      <c r="G103" s="28" t="str">
        <f>'INCEXC B'!D103</f>
        <v>Taylor</v>
      </c>
      <c r="H103" s="28" t="str">
        <f>'INCEXC A'!E103</f>
        <v>Exclude</v>
      </c>
      <c r="I103" s="28" t="str">
        <f>'INCEXC B'!E103</f>
        <v>Exclude</v>
      </c>
      <c r="J103" s="28" t="b">
        <f t="shared" si="2"/>
        <v>1</v>
      </c>
      <c r="K103" s="28" t="b">
        <f t="shared" si="3"/>
        <v>0</v>
      </c>
      <c r="L103" s="28" t="str">
        <f>'INCEXC A'!L103</f>
        <v/>
      </c>
      <c r="M103" s="28" t="str">
        <f>'INCEXC B'!L103</f>
        <v/>
      </c>
      <c r="O103" s="28" t="str">
        <f>'INCEXC A'!M103</f>
        <v/>
      </c>
      <c r="P103" s="28" t="str">
        <f>'INCEXC A'!N103</f>
        <v/>
      </c>
      <c r="Q103" s="28" t="str">
        <f>'INCEXC A'!O103</f>
        <v/>
      </c>
      <c r="R103" s="28" t="str">
        <f>'INCEXC B'!O103</f>
        <v/>
      </c>
      <c r="S103" s="28" t="str">
        <f>'INCEXC A'!P103</f>
        <v/>
      </c>
      <c r="T103" s="28" t="str">
        <f>'INCEXC B'!P103</f>
        <v/>
      </c>
      <c r="U103" s="28" t="b">
        <f t="shared" si="4"/>
        <v>1</v>
      </c>
      <c r="V103" s="28" t="b">
        <f t="shared" si="5"/>
        <v>0</v>
      </c>
    </row>
    <row r="104" hidden="1">
      <c r="A104" s="35" t="str">
        <f>'INCEXC A'!A104</f>
        <v>https://doi.org/10.1145/2188286.2188316</v>
      </c>
      <c r="B104" s="35" t="str">
        <f>'INCEXC B'!A104</f>
        <v>https://doi.org/10.1145/2188286.2188316</v>
      </c>
      <c r="C104" s="28" t="b">
        <f t="shared" si="1"/>
        <v>1</v>
      </c>
      <c r="D104" s="28" t="str">
        <f>'INCEXC A'!B104</f>
        <v>10.1145/2188286.2188316</v>
      </c>
      <c r="E104" s="28" t="str">
        <f>'INCEXC A'!C104</f>
        <v>Studying hardware and software trade-offs for a real-life web 2.0 workload</v>
      </c>
      <c r="F104" s="28" t="str">
        <f>'INCEXC A'!D104</f>
        <v>Marilyn</v>
      </c>
      <c r="G104" s="28" t="str">
        <f>'INCEXC B'!D104</f>
        <v>Ceren</v>
      </c>
      <c r="H104" s="28" t="str">
        <f>'INCEXC A'!E104</f>
        <v>Exclude</v>
      </c>
      <c r="I104" s="28" t="str">
        <f>'INCEXC B'!E104</f>
        <v>Exclude</v>
      </c>
      <c r="J104" s="28" t="b">
        <f t="shared" si="2"/>
        <v>1</v>
      </c>
      <c r="K104" s="28" t="b">
        <f t="shared" si="3"/>
        <v>0</v>
      </c>
      <c r="L104" s="28" t="str">
        <f>'INCEXC A'!L104</f>
        <v/>
      </c>
      <c r="M104" s="28" t="str">
        <f>'INCEXC B'!L104</f>
        <v/>
      </c>
      <c r="O104" s="28" t="str">
        <f>'INCEXC A'!M104</f>
        <v/>
      </c>
      <c r="P104" s="28" t="str">
        <f>'INCEXC A'!N104</f>
        <v/>
      </c>
      <c r="Q104" s="28" t="str">
        <f>'INCEXC A'!O104</f>
        <v/>
      </c>
      <c r="R104" s="28" t="str">
        <f>'INCEXC B'!O104</f>
        <v/>
      </c>
      <c r="S104" s="28" t="str">
        <f>'INCEXC A'!P104</f>
        <v/>
      </c>
      <c r="T104" s="28" t="str">
        <f>'INCEXC B'!P104</f>
        <v/>
      </c>
      <c r="U104" s="28" t="b">
        <f t="shared" si="4"/>
        <v>1</v>
      </c>
      <c r="V104" s="28" t="b">
        <f t="shared" si="5"/>
        <v>0</v>
      </c>
    </row>
    <row r="105" hidden="1">
      <c r="A105" s="35" t="str">
        <f>'INCEXC A'!A105</f>
        <v>https://doi.org/10.1145/221270.221624</v>
      </c>
      <c r="B105" s="35" t="str">
        <f>'INCEXC B'!A105</f>
        <v>https://doi.org/10.1145/221270.221624</v>
      </c>
      <c r="C105" s="28" t="b">
        <f t="shared" si="1"/>
        <v>1</v>
      </c>
      <c r="D105" s="28" t="str">
        <f>'INCEXC A'!B105</f>
        <v>10.1145/221270.221624</v>
      </c>
      <c r="E105" s="28" t="str">
        <f>'INCEXC A'!C105</f>
        <v>Application of knowledge base design techniques to genetic markers</v>
      </c>
      <c r="F105" s="28" t="str">
        <f>'INCEXC A'!D105</f>
        <v>Kaiser</v>
      </c>
      <c r="G105" s="28" t="str">
        <f>'INCEXC B'!D105</f>
        <v>Danni</v>
      </c>
      <c r="H105" s="28" t="str">
        <f>'INCEXC A'!E105</f>
        <v>Exclude</v>
      </c>
      <c r="I105" s="28" t="str">
        <f>'INCEXC B'!E105</f>
        <v>Exclude</v>
      </c>
      <c r="J105" s="28" t="b">
        <f t="shared" si="2"/>
        <v>1</v>
      </c>
      <c r="K105" s="28" t="b">
        <f t="shared" si="3"/>
        <v>0</v>
      </c>
      <c r="L105" s="28" t="str">
        <f>'INCEXC A'!L105</f>
        <v/>
      </c>
      <c r="M105" s="28" t="str">
        <f>'INCEXC B'!L105</f>
        <v/>
      </c>
      <c r="O105" s="28" t="str">
        <f>'INCEXC A'!M105</f>
        <v/>
      </c>
      <c r="P105" s="28" t="str">
        <f>'INCEXC A'!N105</f>
        <v/>
      </c>
      <c r="Q105" s="28" t="str">
        <f>'INCEXC A'!O105</f>
        <v/>
      </c>
      <c r="R105" s="28" t="str">
        <f>'INCEXC B'!O105</f>
        <v/>
      </c>
      <c r="S105" s="28" t="str">
        <f>'INCEXC A'!P105</f>
        <v/>
      </c>
      <c r="T105" s="28" t="str">
        <f>'INCEXC B'!P105</f>
        <v/>
      </c>
      <c r="U105" s="28" t="b">
        <f t="shared" si="4"/>
        <v>1</v>
      </c>
      <c r="V105" s="28" t="b">
        <f t="shared" si="5"/>
        <v>0</v>
      </c>
    </row>
    <row r="106" hidden="1">
      <c r="A106" s="35" t="str">
        <f>'INCEXC A'!A106</f>
        <v>https://doi.org/10.1145/2212908.2212915</v>
      </c>
      <c r="B106" s="35" t="str">
        <f>'INCEXC B'!A106</f>
        <v>https://doi.org/10.1145/2212908.2212915</v>
      </c>
      <c r="C106" s="28" t="b">
        <f t="shared" si="1"/>
        <v>1</v>
      </c>
      <c r="D106" s="28" t="str">
        <f>'INCEXC A'!B106</f>
        <v>10.1145/2212908.2212915</v>
      </c>
      <c r="E106" s="28" t="str">
        <f>'INCEXC A'!C106</f>
        <v>A limits study of benefits from nanostore-based future data-centric system architectures</v>
      </c>
      <c r="F106" s="28" t="str">
        <f>'INCEXC A'!D106</f>
        <v>Kaiser</v>
      </c>
      <c r="G106" s="28" t="str">
        <f>'INCEXC B'!D106</f>
        <v>Ceren</v>
      </c>
      <c r="H106" s="28" t="str">
        <f>'INCEXC A'!E106</f>
        <v>Exclude</v>
      </c>
      <c r="I106" s="28" t="str">
        <f>'INCEXC B'!E106</f>
        <v>Exclude</v>
      </c>
      <c r="J106" s="28" t="b">
        <f t="shared" si="2"/>
        <v>1</v>
      </c>
      <c r="K106" s="28" t="b">
        <f t="shared" si="3"/>
        <v>0</v>
      </c>
      <c r="L106" s="28" t="str">
        <f>'INCEXC A'!L106</f>
        <v/>
      </c>
      <c r="M106" s="28" t="str">
        <f>'INCEXC B'!L106</f>
        <v/>
      </c>
      <c r="O106" s="28" t="str">
        <f>'INCEXC A'!M106</f>
        <v/>
      </c>
      <c r="P106" s="28" t="str">
        <f>'INCEXC A'!N106</f>
        <v/>
      </c>
      <c r="Q106" s="28" t="str">
        <f>'INCEXC A'!O106</f>
        <v/>
      </c>
      <c r="R106" s="28" t="str">
        <f>'INCEXC B'!O106</f>
        <v/>
      </c>
      <c r="S106" s="28" t="str">
        <f>'INCEXC A'!P106</f>
        <v/>
      </c>
      <c r="T106" s="28" t="str">
        <f>'INCEXC B'!P106</f>
        <v/>
      </c>
      <c r="U106" s="28" t="b">
        <f t="shared" si="4"/>
        <v>1</v>
      </c>
      <c r="V106" s="28" t="b">
        <f t="shared" si="5"/>
        <v>0</v>
      </c>
    </row>
    <row r="107" hidden="1">
      <c r="A107" s="35" t="str">
        <f>'INCEXC A'!A107</f>
        <v>https://doi.org/10.1145/2254756.2254766</v>
      </c>
      <c r="B107" s="35" t="str">
        <f>'INCEXC B'!A107</f>
        <v>https://doi.org/10.1145/2254756.2254766</v>
      </c>
      <c r="C107" s="28" t="b">
        <f t="shared" si="1"/>
        <v>1</v>
      </c>
      <c r="D107" s="28" t="str">
        <f>'INCEXC A'!B107</f>
        <v>10.1145/2254756.2254766</v>
      </c>
      <c r="E107" s="28" t="str">
        <f>'INCEXC A'!C107</f>
        <v>Workload analysis of a large-scale key-value store</v>
      </c>
      <c r="F107" s="28" t="str">
        <f>'INCEXC A'!D107</f>
        <v>Kaiser</v>
      </c>
      <c r="G107" s="28" t="str">
        <f>'INCEXC B'!D107</f>
        <v>Danni</v>
      </c>
      <c r="H107" s="28" t="str">
        <f>'INCEXC A'!E107</f>
        <v>Exclude</v>
      </c>
      <c r="I107" s="28" t="str">
        <f>'INCEXC B'!E107</f>
        <v>Exclude</v>
      </c>
      <c r="J107" s="28" t="b">
        <f t="shared" si="2"/>
        <v>1</v>
      </c>
      <c r="K107" s="28" t="b">
        <f t="shared" si="3"/>
        <v>0</v>
      </c>
      <c r="L107" s="28" t="str">
        <f>'INCEXC A'!L107</f>
        <v/>
      </c>
      <c r="M107" s="28" t="str">
        <f>'INCEXC B'!L107</f>
        <v/>
      </c>
      <c r="O107" s="28" t="str">
        <f>'INCEXC A'!M107</f>
        <v/>
      </c>
      <c r="P107" s="28" t="str">
        <f>'INCEXC A'!N107</f>
        <v/>
      </c>
      <c r="Q107" s="28" t="str">
        <f>'INCEXC A'!O107</f>
        <v/>
      </c>
      <c r="R107" s="28" t="str">
        <f>'INCEXC B'!O107</f>
        <v/>
      </c>
      <c r="S107" s="28" t="str">
        <f>'INCEXC A'!P107</f>
        <v/>
      </c>
      <c r="T107" s="28" t="str">
        <f>'INCEXC B'!P107</f>
        <v/>
      </c>
      <c r="U107" s="28" t="b">
        <f t="shared" si="4"/>
        <v>1</v>
      </c>
      <c r="V107" s="28" t="b">
        <f t="shared" si="5"/>
        <v>0</v>
      </c>
    </row>
    <row r="108" hidden="1">
      <c r="A108" s="35" t="str">
        <f>'INCEXC A'!A108</f>
        <v>https://doi.org/10.1145/2336727.2336738</v>
      </c>
      <c r="B108" s="35" t="str">
        <f>'INCEXC B'!A108</f>
        <v>https://doi.org/10.1145/2336727.2336738</v>
      </c>
      <c r="C108" s="28" t="b">
        <f t="shared" si="1"/>
        <v>1</v>
      </c>
      <c r="D108" s="28" t="str">
        <f>'INCEXC A'!B108</f>
        <v>10.1145/2336727.2336738</v>
      </c>
      <c r="E108" s="28" t="str">
        <f>'INCEXC A'!C108</f>
        <v>An investigation of player to player character identification via personal pronouns</v>
      </c>
      <c r="F108" s="28" t="str">
        <f>'INCEXC A'!D108</f>
        <v>Jonathan</v>
      </c>
      <c r="G108" s="28" t="str">
        <f>'INCEXC B'!D108</f>
        <v>Ceren</v>
      </c>
      <c r="H108" s="28" t="str">
        <f>'INCEXC A'!E108</f>
        <v>Exclude</v>
      </c>
      <c r="I108" s="28" t="str">
        <f>'INCEXC B'!E108</f>
        <v>Exclude</v>
      </c>
      <c r="J108" s="28" t="b">
        <f t="shared" si="2"/>
        <v>1</v>
      </c>
      <c r="K108" s="28" t="b">
        <f t="shared" si="3"/>
        <v>0</v>
      </c>
      <c r="L108" s="28" t="str">
        <f>'INCEXC A'!L108</f>
        <v/>
      </c>
      <c r="M108" s="28" t="str">
        <f>'INCEXC B'!L108</f>
        <v/>
      </c>
      <c r="O108" s="28" t="str">
        <f>'INCEXC A'!M108</f>
        <v/>
      </c>
      <c r="P108" s="28" t="str">
        <f>'INCEXC A'!N108</f>
        <v/>
      </c>
      <c r="Q108" s="28" t="str">
        <f>'INCEXC A'!O108</f>
        <v/>
      </c>
      <c r="R108" s="28" t="str">
        <f>'INCEXC B'!O108</f>
        <v/>
      </c>
      <c r="S108" s="28" t="str">
        <f>'INCEXC A'!P108</f>
        <v/>
      </c>
      <c r="T108" s="28" t="str">
        <f>'INCEXC B'!P108</f>
        <v/>
      </c>
      <c r="U108" s="28" t="b">
        <f t="shared" si="4"/>
        <v>1</v>
      </c>
      <c r="V108" s="28" t="b">
        <f t="shared" si="5"/>
        <v>0</v>
      </c>
    </row>
    <row r="109" hidden="1">
      <c r="A109" s="35" t="str">
        <f>'INCEXC A'!A109</f>
        <v>https://doi.org/10.1145/2342356.2342360</v>
      </c>
      <c r="B109" s="35" t="str">
        <f>'INCEXC B'!A109</f>
        <v>https://doi.org/10.1145/2342356.2342360</v>
      </c>
      <c r="C109" s="28" t="b">
        <f t="shared" si="1"/>
        <v>1</v>
      </c>
      <c r="D109" s="28" t="str">
        <f>'INCEXC A'!B109</f>
        <v>10.1145/2342356.2342360</v>
      </c>
      <c r="E109" s="28" t="str">
        <f>'INCEXC A'!C109</f>
        <v>HyperDex: a distributed</v>
      </c>
      <c r="F109" s="28" t="str">
        <f>'INCEXC A'!D109</f>
        <v>Marilyn</v>
      </c>
      <c r="G109" s="28" t="str">
        <f>'INCEXC B'!D109</f>
        <v>Ceren</v>
      </c>
      <c r="H109" s="28" t="str">
        <f>'INCEXC A'!E109</f>
        <v>Exclude</v>
      </c>
      <c r="I109" s="28" t="str">
        <f>'INCEXC B'!E109</f>
        <v>Exclude</v>
      </c>
      <c r="J109" s="28" t="b">
        <f t="shared" si="2"/>
        <v>1</v>
      </c>
      <c r="K109" s="28" t="b">
        <f t="shared" si="3"/>
        <v>0</v>
      </c>
      <c r="L109" s="28" t="str">
        <f>'INCEXC A'!L109</f>
        <v/>
      </c>
      <c r="M109" s="28" t="str">
        <f>'INCEXC B'!L109</f>
        <v/>
      </c>
      <c r="O109" s="28" t="str">
        <f>'INCEXC A'!M109</f>
        <v/>
      </c>
      <c r="P109" s="28" t="str">
        <f>'INCEXC A'!N109</f>
        <v/>
      </c>
      <c r="Q109" s="28" t="str">
        <f>'INCEXC A'!O109</f>
        <v/>
      </c>
      <c r="R109" s="28" t="str">
        <f>'INCEXC B'!O109</f>
        <v/>
      </c>
      <c r="S109" s="28" t="str">
        <f>'INCEXC A'!P109</f>
        <v/>
      </c>
      <c r="T109" s="28" t="str">
        <f>'INCEXC B'!P109</f>
        <v/>
      </c>
      <c r="U109" s="28" t="b">
        <f t="shared" si="4"/>
        <v>1</v>
      </c>
      <c r="V109" s="28" t="b">
        <f t="shared" si="5"/>
        <v>0</v>
      </c>
    </row>
    <row r="110" hidden="1">
      <c r="A110" s="35" t="str">
        <f>'INCEXC A'!A110</f>
        <v>https://doi.org/10.1145/2365946.2365951</v>
      </c>
      <c r="B110" s="35" t="str">
        <f>'INCEXC B'!A110</f>
        <v>https://doi.org/10.1145/2365946.2365951</v>
      </c>
      <c r="C110" s="28" t="b">
        <f t="shared" si="1"/>
        <v>1</v>
      </c>
      <c r="D110" s="28" t="str">
        <f>'INCEXC A'!B110</f>
        <v>10.1145/2365946.2365951</v>
      </c>
      <c r="E110" s="28" t="str">
        <f>'INCEXC A'!C110</f>
        <v>get lost	GetLostBot!: annoying people by offering recommendations when they are not wanted</v>
      </c>
      <c r="F110" s="28" t="str">
        <f>'INCEXC A'!D110</f>
        <v>Jonathan</v>
      </c>
      <c r="G110" s="28" t="str">
        <f>'INCEXC B'!D110</f>
        <v>Danni</v>
      </c>
      <c r="H110" s="28" t="str">
        <f>'INCEXC A'!E110</f>
        <v>Exclude</v>
      </c>
      <c r="I110" s="28" t="str">
        <f>'INCEXC B'!E110</f>
        <v>Exclude</v>
      </c>
      <c r="J110" s="28" t="b">
        <f t="shared" si="2"/>
        <v>1</v>
      </c>
      <c r="K110" s="28" t="b">
        <f t="shared" si="3"/>
        <v>0</v>
      </c>
      <c r="L110" s="28" t="str">
        <f>'INCEXC A'!L110</f>
        <v/>
      </c>
      <c r="M110" s="28" t="str">
        <f>'INCEXC B'!L110</f>
        <v/>
      </c>
      <c r="O110" s="28" t="str">
        <f>'INCEXC A'!M110</f>
        <v/>
      </c>
      <c r="P110" s="28" t="str">
        <f>'INCEXC A'!N110</f>
        <v/>
      </c>
      <c r="Q110" s="28" t="str">
        <f>'INCEXC A'!O110</f>
        <v/>
      </c>
      <c r="R110" s="28" t="str">
        <f>'INCEXC B'!O110</f>
        <v/>
      </c>
      <c r="S110" s="28" t="str">
        <f>'INCEXC A'!P110</f>
        <v/>
      </c>
      <c r="T110" s="28" t="str">
        <f>'INCEXC B'!P110</f>
        <v/>
      </c>
      <c r="U110" s="28" t="b">
        <f t="shared" si="4"/>
        <v>1</v>
      </c>
      <c r="V110" s="28" t="b">
        <f t="shared" si="5"/>
        <v>0</v>
      </c>
    </row>
    <row r="111" hidden="1">
      <c r="A111" s="35" t="str">
        <f>'INCEXC A'!A111</f>
        <v>https://doi.org/10.1145/2377677.2377681</v>
      </c>
      <c r="B111" s="35" t="str">
        <f>'INCEXC B'!A111</f>
        <v>https://doi.org/10.1145/2377677.2377681</v>
      </c>
      <c r="C111" s="28" t="b">
        <f t="shared" si="1"/>
        <v>1</v>
      </c>
      <c r="D111" s="28" t="str">
        <f>'INCEXC A'!B111</f>
        <v>10.1145/2377677.2377681</v>
      </c>
      <c r="E111" s="28" t="str">
        <f>'INCEXC A'!C111</f>
        <v>HyperDex: a distributed</v>
      </c>
      <c r="F111" s="28" t="str">
        <f>'INCEXC A'!D111</f>
        <v>Kaiser</v>
      </c>
      <c r="G111" s="28" t="str">
        <f>'INCEXC B'!D111</f>
        <v>Taylor</v>
      </c>
      <c r="H111" s="28" t="str">
        <f>'INCEXC A'!E111</f>
        <v>Exclude</v>
      </c>
      <c r="I111" s="28" t="str">
        <f>'INCEXC B'!E111</f>
        <v>Exclude</v>
      </c>
      <c r="J111" s="28" t="b">
        <f t="shared" si="2"/>
        <v>1</v>
      </c>
      <c r="K111" s="28" t="b">
        <f t="shared" si="3"/>
        <v>0</v>
      </c>
      <c r="L111" s="28" t="str">
        <f>'INCEXC A'!L111</f>
        <v/>
      </c>
      <c r="M111" s="28" t="str">
        <f>'INCEXC B'!L111</f>
        <v/>
      </c>
      <c r="O111" s="28" t="str">
        <f>'INCEXC A'!M111</f>
        <v/>
      </c>
      <c r="P111" s="28" t="str">
        <f>'INCEXC A'!N111</f>
        <v/>
      </c>
      <c r="Q111" s="28" t="str">
        <f>'INCEXC A'!O111</f>
        <v/>
      </c>
      <c r="R111" s="28" t="str">
        <f>'INCEXC B'!O111</f>
        <v/>
      </c>
      <c r="S111" s="28" t="str">
        <f>'INCEXC A'!P111</f>
        <v/>
      </c>
      <c r="T111" s="28" t="str">
        <f>'INCEXC B'!P111</f>
        <v/>
      </c>
      <c r="U111" s="28" t="b">
        <f t="shared" si="4"/>
        <v>1</v>
      </c>
      <c r="V111" s="28" t="b">
        <f t="shared" si="5"/>
        <v>0</v>
      </c>
    </row>
    <row r="112" hidden="1">
      <c r="A112" s="35" t="str">
        <f>'INCEXC A'!A112</f>
        <v>https://doi.org/10.1145/2378356.2378361</v>
      </c>
      <c r="B112" s="35" t="str">
        <f>'INCEXC B'!A112</f>
        <v>https://doi.org/10.1145/2378356.2378361</v>
      </c>
      <c r="C112" s="28" t="b">
        <f t="shared" si="1"/>
        <v>1</v>
      </c>
      <c r="D112" s="28" t="str">
        <f>'INCEXC A'!B112</f>
        <v>10.1145/2378356.2378361</v>
      </c>
      <c r="E112" s="28" t="str">
        <f>'INCEXC A'!C112</f>
        <v>Flex-KV: enabling high-performance and flexible KV systems</v>
      </c>
      <c r="F112" s="28" t="str">
        <f>'INCEXC A'!D112</f>
        <v>Kaiser</v>
      </c>
      <c r="G112" s="28" t="str">
        <f>'INCEXC B'!D112</f>
        <v>Ceren</v>
      </c>
      <c r="H112" s="28" t="str">
        <f>'INCEXC A'!E112</f>
        <v>Exclude</v>
      </c>
      <c r="I112" s="28" t="str">
        <f>'INCEXC B'!E112</f>
        <v>Exclude</v>
      </c>
      <c r="J112" s="28" t="b">
        <f t="shared" si="2"/>
        <v>1</v>
      </c>
      <c r="K112" s="28" t="b">
        <f t="shared" si="3"/>
        <v>0</v>
      </c>
      <c r="L112" s="28" t="str">
        <f>'INCEXC A'!L112</f>
        <v/>
      </c>
      <c r="M112" s="28" t="str">
        <f>'INCEXC B'!L112</f>
        <v/>
      </c>
      <c r="O112" s="28" t="str">
        <f>'INCEXC A'!M112</f>
        <v/>
      </c>
      <c r="P112" s="28" t="str">
        <f>'INCEXC A'!N112</f>
        <v/>
      </c>
      <c r="Q112" s="28" t="str">
        <f>'INCEXC A'!O112</f>
        <v/>
      </c>
      <c r="R112" s="28" t="str">
        <f>'INCEXC B'!O112</f>
        <v/>
      </c>
      <c r="S112" s="28" t="str">
        <f>'INCEXC A'!P112</f>
        <v/>
      </c>
      <c r="T112" s="28" t="str">
        <f>'INCEXC B'!P112</f>
        <v/>
      </c>
      <c r="U112" s="28" t="b">
        <f t="shared" si="4"/>
        <v>1</v>
      </c>
      <c r="V112" s="28" t="b">
        <f t="shared" si="5"/>
        <v>0</v>
      </c>
    </row>
    <row r="113" hidden="1">
      <c r="A113" s="35" t="str">
        <f>'INCEXC A'!A113</f>
        <v>https://doi.org/10.1145/238168.238181</v>
      </c>
      <c r="B113" s="35" t="str">
        <f>'INCEXC B'!A113</f>
        <v>https://doi.org/10.1145/238168.238181</v>
      </c>
      <c r="C113" s="28" t="b">
        <f t="shared" si="1"/>
        <v>1</v>
      </c>
      <c r="D113" s="28" t="str">
        <f>'INCEXC A'!B113</f>
        <v>10.1145/238168.238181</v>
      </c>
      <c r="E113" s="28" t="str">
        <f>'INCEXC A'!C113</f>
        <v>Securing ATM networks</v>
      </c>
      <c r="F113" s="28" t="str">
        <f>'INCEXC A'!D113</f>
        <v>Kaiser</v>
      </c>
      <c r="G113" s="28" t="str">
        <f>'INCEXC B'!D113</f>
        <v>Taylor</v>
      </c>
      <c r="H113" s="28" t="str">
        <f>'INCEXC A'!E113</f>
        <v>Exclude</v>
      </c>
      <c r="I113" s="28" t="str">
        <f>'INCEXC B'!E113</f>
        <v>Exclude</v>
      </c>
      <c r="J113" s="28" t="b">
        <f t="shared" si="2"/>
        <v>1</v>
      </c>
      <c r="K113" s="28" t="b">
        <f t="shared" si="3"/>
        <v>0</v>
      </c>
      <c r="L113" s="28" t="str">
        <f>'INCEXC A'!L113</f>
        <v/>
      </c>
      <c r="M113" s="28" t="str">
        <f>'INCEXC B'!L113</f>
        <v/>
      </c>
      <c r="O113" s="28" t="str">
        <f>'INCEXC A'!M113</f>
        <v/>
      </c>
      <c r="P113" s="28" t="str">
        <f>'INCEXC A'!N113</f>
        <v/>
      </c>
      <c r="Q113" s="28" t="str">
        <f>'INCEXC A'!O113</f>
        <v/>
      </c>
      <c r="R113" s="28" t="str">
        <f>'INCEXC B'!O113</f>
        <v/>
      </c>
      <c r="S113" s="28" t="str">
        <f>'INCEXC A'!P113</f>
        <v/>
      </c>
      <c r="T113" s="28" t="str">
        <f>'INCEXC B'!P113</f>
        <v/>
      </c>
      <c r="U113" s="28" t="b">
        <f t="shared" si="4"/>
        <v>1</v>
      </c>
      <c r="V113" s="28" t="b">
        <f t="shared" si="5"/>
        <v>0</v>
      </c>
    </row>
    <row r="114" hidden="1">
      <c r="A114" s="35" t="str">
        <f>'INCEXC A'!A114</f>
        <v>https://doi.org/10.1145/2391229.2391237</v>
      </c>
      <c r="B114" s="35" t="str">
        <f>'INCEXC B'!A114</f>
        <v>https://doi.org/10.1145/2391229.2391237</v>
      </c>
      <c r="C114" s="28" t="b">
        <f t="shared" si="1"/>
        <v>1</v>
      </c>
      <c r="D114" s="28" t="str">
        <f>'INCEXC A'!B114</f>
        <v>10.1145/2391229.2391237</v>
      </c>
      <c r="E114" s="28" t="str">
        <f>'INCEXC A'!C114</f>
        <v>Using vector interfaces to deliver millions of IOPS from a networked key-value storage server</v>
      </c>
      <c r="F114" s="28" t="str">
        <f>'INCEXC A'!D114</f>
        <v>Marilyn</v>
      </c>
      <c r="G114" s="28" t="str">
        <f>'INCEXC B'!D114</f>
        <v>Ceren</v>
      </c>
      <c r="H114" s="28" t="str">
        <f>'INCEXC A'!E114</f>
        <v>Exclude</v>
      </c>
      <c r="I114" s="28" t="str">
        <f>'INCEXC B'!E114</f>
        <v>Exclude</v>
      </c>
      <c r="J114" s="28" t="b">
        <f t="shared" si="2"/>
        <v>1</v>
      </c>
      <c r="K114" s="28" t="b">
        <f t="shared" si="3"/>
        <v>0</v>
      </c>
      <c r="L114" s="28" t="str">
        <f>'INCEXC A'!L114</f>
        <v/>
      </c>
      <c r="M114" s="28" t="str">
        <f>'INCEXC B'!L114</f>
        <v/>
      </c>
      <c r="O114" s="28" t="str">
        <f>'INCEXC A'!M114</f>
        <v/>
      </c>
      <c r="P114" s="28" t="str">
        <f>'INCEXC A'!N114</f>
        <v/>
      </c>
      <c r="Q114" s="28" t="str">
        <f>'INCEXC A'!O114</f>
        <v/>
      </c>
      <c r="R114" s="28" t="str">
        <f>'INCEXC B'!O114</f>
        <v/>
      </c>
      <c r="S114" s="28" t="str">
        <f>'INCEXC A'!P114</f>
        <v/>
      </c>
      <c r="T114" s="28" t="str">
        <f>'INCEXC B'!P114</f>
        <v/>
      </c>
      <c r="U114" s="28" t="b">
        <f t="shared" si="4"/>
        <v>1</v>
      </c>
      <c r="V114" s="28" t="b">
        <f t="shared" si="5"/>
        <v>0</v>
      </c>
    </row>
    <row r="115" hidden="1">
      <c r="A115" s="35" t="str">
        <f>'INCEXC A'!A115</f>
        <v>https://doi.org/10.1145/2465351.2465361</v>
      </c>
      <c r="B115" s="35" t="str">
        <f>'INCEXC B'!A115</f>
        <v>https://doi.org/10.1145/2465351.2465361</v>
      </c>
      <c r="C115" s="28" t="b">
        <f t="shared" si="1"/>
        <v>1</v>
      </c>
      <c r="D115" s="28" t="str">
        <f>'INCEXC A'!B115</f>
        <v>10.1145/2465351.2465361</v>
      </c>
      <c r="E115" s="28" t="str">
        <f>'INCEXC A'!C115</f>
        <v>ChainReaction: a causal+ consistent datastore based on chain replication</v>
      </c>
      <c r="F115" s="28" t="str">
        <f>'INCEXC A'!D115</f>
        <v>Kaiser</v>
      </c>
      <c r="G115" s="28" t="str">
        <f>'INCEXC B'!D115</f>
        <v>Ceren</v>
      </c>
      <c r="H115" s="28" t="str">
        <f>'INCEXC A'!E115</f>
        <v>Exclude</v>
      </c>
      <c r="I115" s="28" t="str">
        <f>'INCEXC B'!E115</f>
        <v>Exclude</v>
      </c>
      <c r="J115" s="28" t="b">
        <f t="shared" si="2"/>
        <v>1</v>
      </c>
      <c r="K115" s="28" t="b">
        <f t="shared" si="3"/>
        <v>0</v>
      </c>
      <c r="L115" s="28" t="str">
        <f>'INCEXC A'!L115</f>
        <v/>
      </c>
      <c r="M115" s="28" t="str">
        <f>'INCEXC B'!L115</f>
        <v/>
      </c>
      <c r="O115" s="28" t="str">
        <f>'INCEXC A'!M115</f>
        <v/>
      </c>
      <c r="P115" s="28" t="str">
        <f>'INCEXC A'!N115</f>
        <v/>
      </c>
      <c r="Q115" s="28" t="str">
        <f>'INCEXC A'!O115</f>
        <v/>
      </c>
      <c r="R115" s="28" t="str">
        <f>'INCEXC B'!O115</f>
        <v/>
      </c>
      <c r="S115" s="28" t="str">
        <f>'INCEXC A'!P115</f>
        <v/>
      </c>
      <c r="T115" s="28" t="str">
        <f>'INCEXC B'!P115</f>
        <v/>
      </c>
      <c r="U115" s="28" t="b">
        <f t="shared" si="4"/>
        <v>1</v>
      </c>
      <c r="V115" s="28" t="b">
        <f t="shared" si="5"/>
        <v>0</v>
      </c>
    </row>
    <row r="116" hidden="1">
      <c r="A116" s="35" t="str">
        <f>'INCEXC A'!A116</f>
        <v>https://doi.org/10.1145/2465529.2465553</v>
      </c>
      <c r="B116" s="35" t="str">
        <f>'INCEXC B'!A116</f>
        <v>https://doi.org/10.1145/2465529.2465553</v>
      </c>
      <c r="C116" s="28" t="b">
        <f t="shared" si="1"/>
        <v>1</v>
      </c>
      <c r="D116" s="28" t="str">
        <f>'INCEXC A'!B116</f>
        <v>10.1145/2465529.2465553</v>
      </c>
      <c r="E116" s="28" t="str">
        <f>'INCEXC A'!C116</f>
        <v>On understanding the energy consumption of ARM-based multicore servers</v>
      </c>
      <c r="F116" s="28" t="str">
        <f>'INCEXC A'!D116</f>
        <v>Kaiser</v>
      </c>
      <c r="G116" s="28" t="str">
        <f>'INCEXC B'!D116</f>
        <v>Ceren</v>
      </c>
      <c r="H116" s="28" t="str">
        <f>'INCEXC A'!E116</f>
        <v>Exclude</v>
      </c>
      <c r="I116" s="28" t="str">
        <f>'INCEXC B'!E116</f>
        <v>Exclude</v>
      </c>
      <c r="J116" s="28" t="b">
        <f t="shared" si="2"/>
        <v>1</v>
      </c>
      <c r="K116" s="28" t="b">
        <f t="shared" si="3"/>
        <v>0</v>
      </c>
      <c r="L116" s="28" t="str">
        <f>'INCEXC A'!L116</f>
        <v/>
      </c>
      <c r="M116" s="28" t="str">
        <f>'INCEXC B'!L116</f>
        <v/>
      </c>
      <c r="O116" s="28" t="str">
        <f>'INCEXC A'!M116</f>
        <v/>
      </c>
      <c r="P116" s="28" t="str">
        <f>'INCEXC A'!N116</f>
        <v/>
      </c>
      <c r="Q116" s="28" t="str">
        <f>'INCEXC A'!O116</f>
        <v/>
      </c>
      <c r="R116" s="28" t="str">
        <f>'INCEXC B'!O116</f>
        <v/>
      </c>
      <c r="S116" s="28" t="str">
        <f>'INCEXC A'!P116</f>
        <v/>
      </c>
      <c r="T116" s="28" t="str">
        <f>'INCEXC B'!P116</f>
        <v/>
      </c>
      <c r="U116" s="28" t="b">
        <f t="shared" si="4"/>
        <v>1</v>
      </c>
      <c r="V116" s="28" t="b">
        <f t="shared" si="5"/>
        <v>0</v>
      </c>
    </row>
    <row r="117" hidden="1">
      <c r="A117" s="35" t="str">
        <f>'INCEXC A'!A117</f>
        <v>https://doi.org/10.1145/2482767.2482793</v>
      </c>
      <c r="B117" s="35" t="str">
        <f>'INCEXC B'!A117</f>
        <v>https://doi.org/10.1145/2482767.2482793</v>
      </c>
      <c r="C117" s="28" t="b">
        <f t="shared" si="1"/>
        <v>1</v>
      </c>
      <c r="D117" s="28" t="str">
        <f>'INCEXC A'!B117</f>
        <v>10.1145/2482767.2482793</v>
      </c>
      <c r="E117" s="28" t="str">
        <f>'INCEXC A'!C117</f>
        <v>Investigating hybrid SSD FTL schemes for Hadoop workloads</v>
      </c>
      <c r="F117" s="28" t="str">
        <f>'INCEXC A'!D117</f>
        <v>Kaiser</v>
      </c>
      <c r="G117" s="28" t="str">
        <f>'INCEXC B'!D117</f>
        <v>Taylor</v>
      </c>
      <c r="H117" s="28" t="str">
        <f>'INCEXC A'!E117</f>
        <v>Exclude</v>
      </c>
      <c r="I117" s="28" t="str">
        <f>'INCEXC B'!E117</f>
        <v>Exclude</v>
      </c>
      <c r="J117" s="28" t="b">
        <f t="shared" si="2"/>
        <v>1</v>
      </c>
      <c r="K117" s="28" t="b">
        <f t="shared" si="3"/>
        <v>0</v>
      </c>
      <c r="L117" s="28" t="str">
        <f>'INCEXC A'!L117</f>
        <v/>
      </c>
      <c r="M117" s="28" t="str">
        <f>'INCEXC B'!L117</f>
        <v/>
      </c>
      <c r="O117" s="28" t="str">
        <f>'INCEXC A'!M117</f>
        <v/>
      </c>
      <c r="P117" s="28" t="str">
        <f>'INCEXC A'!N117</f>
        <v/>
      </c>
      <c r="Q117" s="28" t="str">
        <f>'INCEXC A'!O117</f>
        <v/>
      </c>
      <c r="R117" s="28" t="str">
        <f>'INCEXC B'!O117</f>
        <v/>
      </c>
      <c r="S117" s="28" t="str">
        <f>'INCEXC A'!P117</f>
        <v/>
      </c>
      <c r="T117" s="28" t="str">
        <f>'INCEXC B'!P117</f>
        <v/>
      </c>
      <c r="U117" s="28" t="b">
        <f t="shared" si="4"/>
        <v>1</v>
      </c>
      <c r="V117" s="28" t="b">
        <f t="shared" si="5"/>
        <v>0</v>
      </c>
    </row>
    <row r="118" hidden="1">
      <c r="A118" s="35" t="str">
        <f>'INCEXC A'!A118</f>
        <v>https://doi.org/10.1145/2503210.2503281</v>
      </c>
      <c r="B118" s="35" t="str">
        <f>'INCEXC B'!A118</f>
        <v>https://doi.org/10.1145/2503210.2503281</v>
      </c>
      <c r="C118" s="28" t="b">
        <f t="shared" si="1"/>
        <v>1</v>
      </c>
      <c r="D118" s="28" t="str">
        <f>'INCEXC A'!B118</f>
        <v>10.1145/2503210.2503281</v>
      </c>
      <c r="E118" s="28" t="str">
        <f>'INCEXC A'!C118</f>
        <v>Supercomputing with commodity CPUs: are mobile SoCs ready for HPC?</v>
      </c>
      <c r="F118" s="28" t="str">
        <f>'INCEXC A'!D118</f>
        <v>Kaiser</v>
      </c>
      <c r="G118" s="28" t="str">
        <f>'INCEXC B'!D118</f>
        <v>Ceren</v>
      </c>
      <c r="H118" s="28" t="str">
        <f>'INCEXC A'!E118</f>
        <v>Exclude</v>
      </c>
      <c r="I118" s="28" t="str">
        <f>'INCEXC B'!E118</f>
        <v>Exclude</v>
      </c>
      <c r="J118" s="28" t="b">
        <f t="shared" si="2"/>
        <v>1</v>
      </c>
      <c r="K118" s="28" t="b">
        <f t="shared" si="3"/>
        <v>0</v>
      </c>
      <c r="L118" s="28" t="str">
        <f>'INCEXC A'!L118</f>
        <v/>
      </c>
      <c r="M118" s="28" t="str">
        <f>'INCEXC B'!L118</f>
        <v/>
      </c>
      <c r="O118" s="28" t="str">
        <f>'INCEXC A'!M118</f>
        <v/>
      </c>
      <c r="P118" s="28" t="str">
        <f>'INCEXC A'!N118</f>
        <v/>
      </c>
      <c r="Q118" s="28" t="str">
        <f>'INCEXC A'!O118</f>
        <v/>
      </c>
      <c r="R118" s="28" t="str">
        <f>'INCEXC B'!O118</f>
        <v/>
      </c>
      <c r="S118" s="28" t="str">
        <f>'INCEXC A'!P118</f>
        <v/>
      </c>
      <c r="T118" s="28" t="str">
        <f>'INCEXC B'!P118</f>
        <v/>
      </c>
      <c r="U118" s="28" t="b">
        <f t="shared" si="4"/>
        <v>1</v>
      </c>
      <c r="V118" s="28" t="b">
        <f t="shared" si="5"/>
        <v>0</v>
      </c>
    </row>
    <row r="119" hidden="1">
      <c r="A119" s="35" t="str">
        <f>'INCEXC A'!A119</f>
        <v>https://doi.org/10.1145/2504847</v>
      </c>
      <c r="B119" s="35" t="str">
        <f>'INCEXC B'!A119</f>
        <v>https://doi.org/10.1145/2504847</v>
      </c>
      <c r="C119" s="28" t="b">
        <f t="shared" si="1"/>
        <v>1</v>
      </c>
      <c r="D119" s="28" t="str">
        <f>'INCEXC A'!B119</f>
        <v>10.1145/2504847</v>
      </c>
      <c r="E119" s="28" t="str">
        <f>'INCEXC A'!C119</f>
        <v>Putting the person back into personalization</v>
      </c>
      <c r="F119" s="28" t="str">
        <f>'INCEXC A'!D119</f>
        <v>Marilyn</v>
      </c>
      <c r="G119" s="28" t="str">
        <f>'INCEXC B'!D119</f>
        <v>Taylor</v>
      </c>
      <c r="H119" s="28" t="str">
        <f>'INCEXC A'!E119</f>
        <v>Exclude</v>
      </c>
      <c r="I119" s="28" t="str">
        <f>'INCEXC B'!E119</f>
        <v>Exclude</v>
      </c>
      <c r="J119" s="28" t="b">
        <f t="shared" si="2"/>
        <v>1</v>
      </c>
      <c r="K119" s="28" t="b">
        <f t="shared" si="3"/>
        <v>0</v>
      </c>
      <c r="L119" s="28" t="str">
        <f>'INCEXC A'!L119</f>
        <v/>
      </c>
      <c r="M119" s="28" t="str">
        <f>'INCEXC B'!L119</f>
        <v/>
      </c>
      <c r="O119" s="28" t="str">
        <f>'INCEXC A'!M119</f>
        <v/>
      </c>
      <c r="P119" s="28" t="str">
        <f>'INCEXC A'!N119</f>
        <v/>
      </c>
      <c r="Q119" s="28" t="str">
        <f>'INCEXC A'!O119</f>
        <v/>
      </c>
      <c r="R119" s="28" t="str">
        <f>'INCEXC B'!O119</f>
        <v/>
      </c>
      <c r="S119" s="28" t="str">
        <f>'INCEXC A'!P119</f>
        <v/>
      </c>
      <c r="T119" s="28" t="str">
        <f>'INCEXC B'!P119</f>
        <v/>
      </c>
      <c r="U119" s="28" t="b">
        <f t="shared" si="4"/>
        <v>1</v>
      </c>
      <c r="V119" s="28" t="b">
        <f t="shared" si="5"/>
        <v>0</v>
      </c>
    </row>
    <row r="120" hidden="1">
      <c r="A120" s="35" t="str">
        <f>'INCEXC A'!A120</f>
        <v>https://doi.org/10.1145/2508363.2508381</v>
      </c>
      <c r="B120" s="35" t="str">
        <f>'INCEXC B'!A120</f>
        <v>https://doi.org/10.1145/2508363.2508381</v>
      </c>
      <c r="C120" s="28" t="b">
        <f t="shared" si="1"/>
        <v>1</v>
      </c>
      <c r="D120" s="28" t="str">
        <f>'INCEXC A'!B120</f>
        <v>10.1145/2508363.2508381</v>
      </c>
      <c r="E120" s="28" t="str">
        <f>'INCEXC A'!C120</f>
        <v>PatchNet: a patch-based image representation for interactive library-driven image editing</v>
      </c>
      <c r="F120" s="28" t="str">
        <f>'INCEXC A'!D120</f>
        <v>Marilyn</v>
      </c>
      <c r="G120" s="28" t="str">
        <f>'INCEXC B'!D120</f>
        <v>Taylor</v>
      </c>
      <c r="H120" s="28" t="str">
        <f>'INCEXC A'!E120</f>
        <v>Exclude</v>
      </c>
      <c r="I120" s="28" t="str">
        <f>'INCEXC B'!E120</f>
        <v>Exclude</v>
      </c>
      <c r="J120" s="28" t="b">
        <f t="shared" si="2"/>
        <v>1</v>
      </c>
      <c r="K120" s="28" t="b">
        <f t="shared" si="3"/>
        <v>0</v>
      </c>
      <c r="L120" s="28" t="str">
        <f>'INCEXC A'!L120</f>
        <v/>
      </c>
      <c r="M120" s="28" t="str">
        <f>'INCEXC B'!L120</f>
        <v/>
      </c>
      <c r="O120" s="28" t="str">
        <f>'INCEXC A'!M120</f>
        <v/>
      </c>
      <c r="P120" s="28" t="str">
        <f>'INCEXC A'!N120</f>
        <v/>
      </c>
      <c r="Q120" s="28" t="str">
        <f>'INCEXC A'!O120</f>
        <v/>
      </c>
      <c r="R120" s="28" t="str">
        <f>'INCEXC B'!O120</f>
        <v/>
      </c>
      <c r="S120" s="28" t="str">
        <f>'INCEXC A'!P120</f>
        <v/>
      </c>
      <c r="T120" s="28" t="str">
        <f>'INCEXC B'!P120</f>
        <v/>
      </c>
      <c r="U120" s="28" t="b">
        <f t="shared" si="4"/>
        <v>1</v>
      </c>
      <c r="V120" s="28" t="b">
        <f t="shared" si="5"/>
        <v>0</v>
      </c>
    </row>
    <row r="121" hidden="1">
      <c r="A121" s="35" t="str">
        <f>'INCEXC A'!A121</f>
        <v>https://doi.org/10.1145/2512348</v>
      </c>
      <c r="B121" s="35" t="str">
        <f>'INCEXC B'!A121</f>
        <v>https://doi.org/10.1145/2512348</v>
      </c>
      <c r="C121" s="28" t="b">
        <f t="shared" si="1"/>
        <v>1</v>
      </c>
      <c r="D121" s="28" t="str">
        <f>'INCEXC A'!B121</f>
        <v>10.1145/2512348</v>
      </c>
      <c r="E121" s="28" t="str">
        <f>'INCEXC A'!C121</f>
        <v>Read-Performance Optimization for Deduplication-Based Storage Systems in the Cloud</v>
      </c>
      <c r="F121" s="28" t="str">
        <f>'INCEXC A'!D121</f>
        <v>Kaiser</v>
      </c>
      <c r="G121" s="28" t="str">
        <f>'INCEXC B'!D121</f>
        <v>Ceren</v>
      </c>
      <c r="H121" s="28" t="str">
        <f>'INCEXC A'!E121</f>
        <v>Exclude</v>
      </c>
      <c r="I121" s="28" t="str">
        <f>'INCEXC B'!E121</f>
        <v>Exclude</v>
      </c>
      <c r="J121" s="28" t="b">
        <f t="shared" si="2"/>
        <v>1</v>
      </c>
      <c r="K121" s="28" t="b">
        <f t="shared" si="3"/>
        <v>0</v>
      </c>
      <c r="L121" s="28" t="str">
        <f>'INCEXC A'!L121</f>
        <v/>
      </c>
      <c r="M121" s="28" t="str">
        <f>'INCEXC B'!L121</f>
        <v/>
      </c>
      <c r="O121" s="28" t="str">
        <f>'INCEXC A'!M121</f>
        <v/>
      </c>
      <c r="P121" s="28" t="str">
        <f>'INCEXC A'!N121</f>
        <v/>
      </c>
      <c r="Q121" s="28" t="str">
        <f>'INCEXC A'!O121</f>
        <v/>
      </c>
      <c r="R121" s="28" t="str">
        <f>'INCEXC B'!O121</f>
        <v/>
      </c>
      <c r="S121" s="28" t="str">
        <f>'INCEXC A'!P121</f>
        <v/>
      </c>
      <c r="T121" s="28" t="str">
        <f>'INCEXC B'!P121</f>
        <v/>
      </c>
      <c r="U121" s="28" t="b">
        <f t="shared" si="4"/>
        <v>1</v>
      </c>
      <c r="V121" s="28" t="b">
        <f t="shared" si="5"/>
        <v>0</v>
      </c>
    </row>
    <row r="122" hidden="1">
      <c r="A122" s="35" t="str">
        <f>'INCEXC A'!A122</f>
        <v>https://doi.org/10.1145/2523616.2523635</v>
      </c>
      <c r="B122" s="35" t="str">
        <f>'INCEXC B'!A122</f>
        <v>https://doi.org/10.1145/2523616.2523635</v>
      </c>
      <c r="C122" s="28" t="b">
        <f t="shared" si="1"/>
        <v>1</v>
      </c>
      <c r="D122" s="28" t="str">
        <f>'INCEXC A'!B122</f>
        <v>10.1145/2523616.2523635</v>
      </c>
      <c r="E122" s="28" t="str">
        <f>'INCEXC A'!C122</f>
        <v>Pico replication: a high availability framework for middleboxes</v>
      </c>
      <c r="F122" s="28" t="str">
        <f>'INCEXC A'!D122</f>
        <v>Jonathan</v>
      </c>
      <c r="G122" s="28" t="str">
        <f>'INCEXC B'!D122</f>
        <v>Danni</v>
      </c>
      <c r="H122" s="28" t="str">
        <f>'INCEXC A'!E122</f>
        <v>Exclude</v>
      </c>
      <c r="I122" s="28" t="str">
        <f>'INCEXC B'!E122</f>
        <v>Exclude</v>
      </c>
      <c r="J122" s="28" t="b">
        <f t="shared" si="2"/>
        <v>1</v>
      </c>
      <c r="K122" s="28" t="b">
        <f t="shared" si="3"/>
        <v>0</v>
      </c>
      <c r="L122" s="28" t="str">
        <f>'INCEXC A'!L122</f>
        <v/>
      </c>
      <c r="M122" s="28" t="str">
        <f>'INCEXC B'!L122</f>
        <v/>
      </c>
      <c r="O122" s="28" t="str">
        <f>'INCEXC A'!M122</f>
        <v/>
      </c>
      <c r="P122" s="28" t="str">
        <f>'INCEXC A'!N122</f>
        <v/>
      </c>
      <c r="Q122" s="28" t="str">
        <f>'INCEXC A'!O122</f>
        <v/>
      </c>
      <c r="R122" s="28" t="str">
        <f>'INCEXC B'!O122</f>
        <v/>
      </c>
      <c r="S122" s="28" t="str">
        <f>'INCEXC A'!P122</f>
        <v/>
      </c>
      <c r="T122" s="28" t="str">
        <f>'INCEXC B'!P122</f>
        <v/>
      </c>
      <c r="U122" s="28" t="b">
        <f t="shared" si="4"/>
        <v>1</v>
      </c>
      <c r="V122" s="28" t="b">
        <f t="shared" si="5"/>
        <v>0</v>
      </c>
    </row>
    <row r="123" hidden="1">
      <c r="A123" s="35" t="str">
        <f>'INCEXC A'!A123</f>
        <v>https://doi.org/10.1145/2536536.2536628</v>
      </c>
      <c r="B123" s="35" t="str">
        <f>'INCEXC B'!A123</f>
        <v>https://doi.org/10.1145/2536536.2536628</v>
      </c>
      <c r="C123" s="28" t="b">
        <f t="shared" si="1"/>
        <v>1</v>
      </c>
      <c r="D123" s="28" t="str">
        <f>'INCEXC A'!B123</f>
        <v>10.1145/2536536.2536628</v>
      </c>
      <c r="E123" s="28" t="str">
        <f>'INCEXC A'!C123</f>
        <v>Introducing media literacy at school: new devices</v>
      </c>
      <c r="F123" s="28" t="str">
        <f>'INCEXC A'!D123</f>
        <v>Jonathan</v>
      </c>
      <c r="G123" s="28" t="str">
        <f>'INCEXC B'!D123</f>
        <v>Ceren</v>
      </c>
      <c r="H123" s="28" t="str">
        <f>'INCEXC A'!E123</f>
        <v>Exclude</v>
      </c>
      <c r="I123" s="28" t="str">
        <f>'INCEXC B'!E123</f>
        <v>Exclude</v>
      </c>
      <c r="J123" s="28" t="b">
        <f t="shared" si="2"/>
        <v>1</v>
      </c>
      <c r="K123" s="28" t="b">
        <f t="shared" si="3"/>
        <v>0</v>
      </c>
      <c r="L123" s="28" t="str">
        <f>'INCEXC A'!L123</f>
        <v/>
      </c>
      <c r="M123" s="28" t="str">
        <f>'INCEXC B'!L123</f>
        <v/>
      </c>
      <c r="O123" s="28" t="str">
        <f>'INCEXC A'!M123</f>
        <v/>
      </c>
      <c r="P123" s="28" t="str">
        <f>'INCEXC A'!N123</f>
        <v/>
      </c>
      <c r="Q123" s="28" t="str">
        <f>'INCEXC A'!O123</f>
        <v/>
      </c>
      <c r="R123" s="28" t="str">
        <f>'INCEXC B'!O123</f>
        <v/>
      </c>
      <c r="S123" s="28" t="str">
        <f>'INCEXC A'!P123</f>
        <v/>
      </c>
      <c r="T123" s="28" t="str">
        <f>'INCEXC B'!P123</f>
        <v/>
      </c>
      <c r="U123" s="28" t="b">
        <f t="shared" si="4"/>
        <v>1</v>
      </c>
      <c r="V123" s="28" t="b">
        <f t="shared" si="5"/>
        <v>0</v>
      </c>
    </row>
    <row r="124" hidden="1">
      <c r="A124" s="35" t="str">
        <f>'INCEXC A'!A124</f>
        <v>https://doi.org/10.1145/2541940.2541951</v>
      </c>
      <c r="B124" s="35" t="str">
        <f>'INCEXC B'!A124</f>
        <v>https://doi.org/10.1145/2541940.2541951</v>
      </c>
      <c r="C124" s="28" t="b">
        <f t="shared" si="1"/>
        <v>1</v>
      </c>
      <c r="D124" s="28" t="str">
        <f>'INCEXC A'!B124</f>
        <v>10.1145/2541940.2541951</v>
      </c>
      <c r="E124" s="28" t="str">
        <f>'INCEXC A'!C124</f>
        <v>Integrated 3D-stacked server designs for increasing physical density of key-value stores</v>
      </c>
      <c r="F124" s="28" t="str">
        <f>'INCEXC A'!D124</f>
        <v>Marilyn</v>
      </c>
      <c r="G124" s="28" t="str">
        <f>'INCEXC B'!D124</f>
        <v>Ceren</v>
      </c>
      <c r="H124" s="28" t="str">
        <f>'INCEXC A'!E124</f>
        <v>Exclude</v>
      </c>
      <c r="I124" s="28" t="str">
        <f>'INCEXC B'!E124</f>
        <v>Exclude</v>
      </c>
      <c r="J124" s="28" t="b">
        <f t="shared" si="2"/>
        <v>1</v>
      </c>
      <c r="K124" s="28" t="b">
        <f t="shared" si="3"/>
        <v>0</v>
      </c>
      <c r="L124" s="28" t="str">
        <f>'INCEXC A'!L124</f>
        <v/>
      </c>
      <c r="M124" s="28" t="str">
        <f>'INCEXC B'!L124</f>
        <v/>
      </c>
      <c r="O124" s="28" t="str">
        <f>'INCEXC A'!M124</f>
        <v/>
      </c>
      <c r="P124" s="28" t="str">
        <f>'INCEXC A'!N124</f>
        <v/>
      </c>
      <c r="Q124" s="28" t="str">
        <f>'INCEXC A'!O124</f>
        <v/>
      </c>
      <c r="R124" s="28" t="str">
        <f>'INCEXC B'!O124</f>
        <v/>
      </c>
      <c r="S124" s="28" t="str">
        <f>'INCEXC A'!P124</f>
        <v/>
      </c>
      <c r="T124" s="28" t="str">
        <f>'INCEXC B'!P124</f>
        <v/>
      </c>
      <c r="U124" s="28" t="b">
        <f t="shared" si="4"/>
        <v>1</v>
      </c>
      <c r="V124" s="28" t="b">
        <f t="shared" si="5"/>
        <v>0</v>
      </c>
    </row>
    <row r="125" hidden="1">
      <c r="A125" s="35" t="str">
        <f>'INCEXC A'!A125</f>
        <v>https://doi.org/10.1145/2559206.2581287</v>
      </c>
      <c r="B125" s="35" t="str">
        <f>'INCEXC B'!A125</f>
        <v>https://doi.org/10.1145/2559206.2581287</v>
      </c>
      <c r="C125" s="28" t="b">
        <f t="shared" si="1"/>
        <v>1</v>
      </c>
      <c r="D125" s="28" t="str">
        <f>'INCEXC A'!B125</f>
        <v>10.1145/2559206.2581287</v>
      </c>
      <c r="E125" s="28" t="str">
        <f>'INCEXC A'!C125</f>
        <v>The art of deleting snapshots</v>
      </c>
      <c r="F125" s="28" t="str">
        <f>'INCEXC A'!D125</f>
        <v>Marilyn</v>
      </c>
      <c r="G125" s="28" t="str">
        <f>'INCEXC B'!D125</f>
        <v>Ceren</v>
      </c>
      <c r="H125" s="28" t="str">
        <f>'INCEXC A'!E125</f>
        <v>Exclude</v>
      </c>
      <c r="I125" s="28" t="str">
        <f>'INCEXC B'!E125</f>
        <v>Exclude</v>
      </c>
      <c r="J125" s="28" t="b">
        <f t="shared" si="2"/>
        <v>1</v>
      </c>
      <c r="K125" s="28" t="b">
        <f t="shared" si="3"/>
        <v>0</v>
      </c>
      <c r="L125" s="28" t="str">
        <f>'INCEXC A'!L125</f>
        <v/>
      </c>
      <c r="M125" s="28" t="str">
        <f>'INCEXC B'!L125</f>
        <v/>
      </c>
      <c r="O125" s="28" t="str">
        <f>'INCEXC A'!M125</f>
        <v/>
      </c>
      <c r="P125" s="28" t="str">
        <f>'INCEXC A'!N125</f>
        <v/>
      </c>
      <c r="Q125" s="28" t="str">
        <f>'INCEXC A'!O125</f>
        <v/>
      </c>
      <c r="R125" s="28" t="str">
        <f>'INCEXC B'!O125</f>
        <v/>
      </c>
      <c r="S125" s="28" t="str">
        <f>'INCEXC A'!P125</f>
        <v/>
      </c>
      <c r="T125" s="28" t="str">
        <f>'INCEXC B'!P125</f>
        <v/>
      </c>
      <c r="U125" s="28" t="b">
        <f t="shared" si="4"/>
        <v>1</v>
      </c>
      <c r="V125" s="28" t="b">
        <f t="shared" si="5"/>
        <v>0</v>
      </c>
    </row>
    <row r="126" hidden="1">
      <c r="A126" s="35" t="str">
        <f>'INCEXC A'!A126</f>
        <v>https://doi.org/10.1145/262116.262142</v>
      </c>
      <c r="B126" s="35" t="str">
        <f>'INCEXC B'!A126</f>
        <v>https://doi.org/10.1145/262116.262142</v>
      </c>
      <c r="C126" s="28" t="b">
        <f t="shared" si="1"/>
        <v>1</v>
      </c>
      <c r="D126" s="28" t="str">
        <f>'INCEXC A'!B126</f>
        <v>10.1145/262116.262142</v>
      </c>
      <c r="E126" s="28" t="str">
        <f>'INCEXC A'!C126</f>
        <v>Low power error control for wireless links</v>
      </c>
      <c r="F126" s="28" t="str">
        <f>'INCEXC A'!D126</f>
        <v>Marilyn</v>
      </c>
      <c r="G126" s="28" t="str">
        <f>'INCEXC B'!D126</f>
        <v>Danni</v>
      </c>
      <c r="H126" s="28" t="str">
        <f>'INCEXC A'!E126</f>
        <v>Exclude</v>
      </c>
      <c r="I126" s="28" t="str">
        <f>'INCEXC B'!E126</f>
        <v>Exclude</v>
      </c>
      <c r="J126" s="28" t="b">
        <f t="shared" si="2"/>
        <v>1</v>
      </c>
      <c r="K126" s="28" t="b">
        <f t="shared" si="3"/>
        <v>0</v>
      </c>
      <c r="L126" s="28" t="str">
        <f>'INCEXC A'!L126</f>
        <v/>
      </c>
      <c r="M126" s="28" t="str">
        <f>'INCEXC B'!L126</f>
        <v/>
      </c>
      <c r="O126" s="28" t="str">
        <f>'INCEXC A'!M126</f>
        <v/>
      </c>
      <c r="P126" s="28" t="str">
        <f>'INCEXC A'!N126</f>
        <v/>
      </c>
      <c r="Q126" s="28" t="str">
        <f>'INCEXC A'!O126</f>
        <v/>
      </c>
      <c r="R126" s="28" t="str">
        <f>'INCEXC B'!O126</f>
        <v/>
      </c>
      <c r="S126" s="28" t="str">
        <f>'INCEXC A'!P126</f>
        <v/>
      </c>
      <c r="T126" s="28" t="str">
        <f>'INCEXC B'!P126</f>
        <v/>
      </c>
      <c r="U126" s="28" t="b">
        <f t="shared" si="4"/>
        <v>1</v>
      </c>
      <c r="V126" s="28" t="b">
        <f t="shared" si="5"/>
        <v>0</v>
      </c>
    </row>
    <row r="127" hidden="1">
      <c r="A127" s="35" t="str">
        <f>'INCEXC A'!A127</f>
        <v>https://doi.org/10.1145/2631187</v>
      </c>
      <c r="B127" s="35" t="str">
        <f>'INCEXC B'!A127</f>
        <v>https://doi.org/10.1145/2631187</v>
      </c>
      <c r="C127" s="28" t="b">
        <f t="shared" si="1"/>
        <v>1</v>
      </c>
      <c r="D127" s="28" t="str">
        <f>'INCEXC A'!B127</f>
        <v>10.1145/2631187</v>
      </c>
      <c r="E127" s="28" t="str">
        <f>'INCEXC A'!C127</f>
        <v>Feedback</v>
      </c>
      <c r="F127" s="28" t="str">
        <f>'INCEXC A'!D127</f>
        <v>Marilyn</v>
      </c>
      <c r="G127" s="28" t="str">
        <f>'INCEXC B'!D127</f>
        <v>Danni</v>
      </c>
      <c r="H127" s="28" t="str">
        <f>'INCEXC A'!E127</f>
        <v>Exclude</v>
      </c>
      <c r="I127" s="28" t="str">
        <f>'INCEXC B'!E127</f>
        <v>Exclude</v>
      </c>
      <c r="J127" s="28" t="b">
        <f t="shared" si="2"/>
        <v>1</v>
      </c>
      <c r="K127" s="28" t="b">
        <f t="shared" si="3"/>
        <v>0</v>
      </c>
      <c r="L127" s="28" t="str">
        <f>'INCEXC A'!L127</f>
        <v/>
      </c>
      <c r="M127" s="28" t="str">
        <f>'INCEXC B'!L127</f>
        <v/>
      </c>
      <c r="O127" s="28" t="str">
        <f>'INCEXC A'!M127</f>
        <v/>
      </c>
      <c r="P127" s="28" t="str">
        <f>'INCEXC A'!N127</f>
        <v/>
      </c>
      <c r="Q127" s="28" t="str">
        <f>'INCEXC A'!O127</f>
        <v/>
      </c>
      <c r="R127" s="28" t="str">
        <f>'INCEXC B'!O127</f>
        <v/>
      </c>
      <c r="S127" s="28" t="str">
        <f>'INCEXC A'!P127</f>
        <v/>
      </c>
      <c r="T127" s="28" t="str">
        <f>'INCEXC B'!P127</f>
        <v/>
      </c>
      <c r="U127" s="28" t="b">
        <f t="shared" si="4"/>
        <v>1</v>
      </c>
      <c r="V127" s="28" t="b">
        <f t="shared" si="5"/>
        <v>0</v>
      </c>
    </row>
    <row r="128" hidden="1">
      <c r="A128" s="35" t="str">
        <f>'INCEXC A'!A128</f>
        <v>https://doi.org/10.1145/2656204</v>
      </c>
      <c r="B128" s="35" t="str">
        <f>'INCEXC B'!A128</f>
        <v>https://doi.org/10.1145/2656204</v>
      </c>
      <c r="C128" s="28" t="b">
        <f t="shared" si="1"/>
        <v>1</v>
      </c>
      <c r="D128" s="28" t="str">
        <f>'INCEXC A'!B128</f>
        <v>10.1145/2656204</v>
      </c>
      <c r="E128" s="28" t="str">
        <f>'INCEXC A'!C128</f>
        <v>Cloud Computing: Survey on Energy Efficiency</v>
      </c>
      <c r="F128" s="28" t="str">
        <f>'INCEXC A'!D128</f>
        <v>Kaiser</v>
      </c>
      <c r="G128" s="28" t="str">
        <f>'INCEXC B'!D128</f>
        <v>Ceren</v>
      </c>
      <c r="H128" s="28" t="str">
        <f>'INCEXC A'!E128</f>
        <v>Exclude</v>
      </c>
      <c r="I128" s="28" t="str">
        <f>'INCEXC B'!E128</f>
        <v>Exclude</v>
      </c>
      <c r="J128" s="28" t="b">
        <f t="shared" si="2"/>
        <v>1</v>
      </c>
      <c r="K128" s="28" t="b">
        <f t="shared" si="3"/>
        <v>0</v>
      </c>
      <c r="L128" s="28" t="str">
        <f>'INCEXC A'!L128</f>
        <v/>
      </c>
      <c r="M128" s="28" t="str">
        <f>'INCEXC B'!L128</f>
        <v/>
      </c>
      <c r="O128" s="28" t="str">
        <f>'INCEXC A'!M128</f>
        <v/>
      </c>
      <c r="P128" s="28" t="str">
        <f>'INCEXC A'!N128</f>
        <v/>
      </c>
      <c r="Q128" s="28" t="str">
        <f>'INCEXC A'!O128</f>
        <v/>
      </c>
      <c r="R128" s="28" t="str">
        <f>'INCEXC B'!O128</f>
        <v/>
      </c>
      <c r="S128" s="28" t="str">
        <f>'INCEXC A'!P128</f>
        <v/>
      </c>
      <c r="T128" s="28" t="str">
        <f>'INCEXC B'!P128</f>
        <v/>
      </c>
      <c r="U128" s="28" t="b">
        <f t="shared" si="4"/>
        <v>1</v>
      </c>
      <c r="V128" s="28" t="b">
        <f t="shared" si="5"/>
        <v>0</v>
      </c>
    </row>
    <row r="129" hidden="1">
      <c r="A129" s="35" t="str">
        <f>'INCEXC A'!A129</f>
        <v>https://doi.org/10.1145/266399.266405</v>
      </c>
      <c r="B129" s="35" t="str">
        <f>'INCEXC B'!A129</f>
        <v>https://doi.org/10.1145/266399.266405</v>
      </c>
      <c r="C129" s="28" t="b">
        <f t="shared" si="1"/>
        <v>1</v>
      </c>
      <c r="D129" s="28" t="str">
        <f>'INCEXC A'!B129</f>
        <v>10.1145/266399.266405</v>
      </c>
      <c r="E129" s="28" t="str">
        <f>'INCEXC A'!C129</f>
        <v>Programming complex objects in spreadsheets: an empirical study comparing textual formula entry with direct manipulation and gestures</v>
      </c>
      <c r="F129" s="28" t="str">
        <f>'INCEXC A'!D129</f>
        <v>Kaiser</v>
      </c>
      <c r="G129" s="28" t="str">
        <f>'INCEXC B'!D129</f>
        <v>Taylor</v>
      </c>
      <c r="H129" s="28" t="str">
        <f>'INCEXC A'!E129</f>
        <v>Exclude</v>
      </c>
      <c r="I129" s="28" t="str">
        <f>'INCEXC B'!E129</f>
        <v>Exclude</v>
      </c>
      <c r="J129" s="28" t="b">
        <f t="shared" si="2"/>
        <v>1</v>
      </c>
      <c r="K129" s="28" t="b">
        <f t="shared" si="3"/>
        <v>0</v>
      </c>
      <c r="L129" s="28" t="str">
        <f>'INCEXC A'!L129</f>
        <v/>
      </c>
      <c r="M129" s="28" t="str">
        <f>'INCEXC B'!L129</f>
        <v/>
      </c>
      <c r="O129" s="28" t="str">
        <f>'INCEXC A'!M129</f>
        <v/>
      </c>
      <c r="P129" s="28" t="str">
        <f>'INCEXC A'!N129</f>
        <v/>
      </c>
      <c r="Q129" s="28" t="str">
        <f>'INCEXC A'!O129</f>
        <v/>
      </c>
      <c r="R129" s="28" t="str">
        <f>'INCEXC B'!O129</f>
        <v/>
      </c>
      <c r="S129" s="28" t="str">
        <f>'INCEXC A'!P129</f>
        <v/>
      </c>
      <c r="T129" s="28" t="str">
        <f>'INCEXC B'!P129</f>
        <v/>
      </c>
      <c r="U129" s="28" t="b">
        <f t="shared" si="4"/>
        <v>1</v>
      </c>
      <c r="V129" s="28" t="b">
        <f t="shared" si="5"/>
        <v>0</v>
      </c>
    </row>
    <row r="130" hidden="1">
      <c r="A130" s="35" t="str">
        <f>'INCEXC A'!A130</f>
        <v>https://doi.org/10.1145/2666216.2666222</v>
      </c>
      <c r="B130" s="35" t="str">
        <f>'INCEXC B'!A130</f>
        <v>https://doi.org/10.1145/2666216.2666222</v>
      </c>
      <c r="C130" s="28" t="b">
        <f t="shared" si="1"/>
        <v>1</v>
      </c>
      <c r="D130" s="28" t="str">
        <f>'INCEXC A'!B130</f>
        <v>10.1145/2666216.2666222</v>
      </c>
      <c r="E130" s="28" t="str">
        <f>'INCEXC A'!C130</f>
        <v>All of the Things: Engaging Complex Assemblages in Communication Design</v>
      </c>
      <c r="F130" s="28" t="str">
        <f>'INCEXC A'!D130</f>
        <v>Kaiser</v>
      </c>
      <c r="G130" s="28" t="str">
        <f>'INCEXC B'!D130</f>
        <v>Danni</v>
      </c>
      <c r="H130" s="28" t="str">
        <f>'INCEXC A'!E130</f>
        <v>Exclude</v>
      </c>
      <c r="I130" s="28" t="str">
        <f>'INCEXC B'!E130</f>
        <v>Exclude</v>
      </c>
      <c r="J130" s="28" t="b">
        <f t="shared" si="2"/>
        <v>1</v>
      </c>
      <c r="K130" s="28" t="b">
        <f t="shared" si="3"/>
        <v>0</v>
      </c>
      <c r="L130" s="28" t="str">
        <f>'INCEXC A'!L130</f>
        <v/>
      </c>
      <c r="M130" s="28" t="str">
        <f>'INCEXC B'!L130</f>
        <v/>
      </c>
      <c r="O130" s="28" t="str">
        <f>'INCEXC A'!M130</f>
        <v/>
      </c>
      <c r="P130" s="28" t="str">
        <f>'INCEXC A'!N130</f>
        <v/>
      </c>
      <c r="Q130" s="28" t="str">
        <f>'INCEXC A'!O130</f>
        <v/>
      </c>
      <c r="R130" s="28" t="str">
        <f>'INCEXC B'!O130</f>
        <v/>
      </c>
      <c r="S130" s="28" t="str">
        <f>'INCEXC A'!P130</f>
        <v/>
      </c>
      <c r="T130" s="28" t="str">
        <f>'INCEXC B'!P130</f>
        <v/>
      </c>
      <c r="U130" s="28" t="b">
        <f t="shared" si="4"/>
        <v>1</v>
      </c>
      <c r="V130" s="28" t="b">
        <f t="shared" si="5"/>
        <v>0</v>
      </c>
    </row>
    <row r="131" hidden="1">
      <c r="A131" s="35" t="str">
        <f>'INCEXC A'!A131</f>
        <v>https://doi.org/10.1145/2668260.2668291</v>
      </c>
      <c r="B131" s="35" t="str">
        <f>'INCEXC B'!A131</f>
        <v>https://doi.org/10.1145/2668260.2668291</v>
      </c>
      <c r="C131" s="28" t="b">
        <f t="shared" si="1"/>
        <v>1</v>
      </c>
      <c r="D131" s="28" t="str">
        <f>'INCEXC A'!B131</f>
        <v>10.1145/2668260.2668291</v>
      </c>
      <c r="E131" s="28" t="str">
        <f>'INCEXC A'!C131</f>
        <v>Opinion Mining from Arabic Quotations</v>
      </c>
      <c r="F131" s="28" t="str">
        <f>'INCEXC A'!D131</f>
        <v>Jonathan</v>
      </c>
      <c r="G131" s="28" t="str">
        <f>'INCEXC B'!D131</f>
        <v>Ceren</v>
      </c>
      <c r="H131" s="28" t="str">
        <f>'INCEXC A'!E131</f>
        <v>Exclude</v>
      </c>
      <c r="I131" s="28" t="str">
        <f>'INCEXC B'!E131</f>
        <v>Exclude</v>
      </c>
      <c r="J131" s="28" t="b">
        <f t="shared" si="2"/>
        <v>1</v>
      </c>
      <c r="K131" s="28" t="b">
        <f t="shared" si="3"/>
        <v>0</v>
      </c>
      <c r="L131" s="28" t="str">
        <f>'INCEXC A'!L131</f>
        <v/>
      </c>
      <c r="M131" s="28" t="str">
        <f>'INCEXC B'!L131</f>
        <v/>
      </c>
      <c r="O131" s="28" t="str">
        <f>'INCEXC A'!M131</f>
        <v/>
      </c>
      <c r="P131" s="28" t="str">
        <f>'INCEXC A'!N131</f>
        <v/>
      </c>
      <c r="Q131" s="28" t="str">
        <f>'INCEXC A'!O131</f>
        <v/>
      </c>
      <c r="R131" s="28" t="str">
        <f>'INCEXC B'!O131</f>
        <v/>
      </c>
      <c r="S131" s="28" t="str">
        <f>'INCEXC A'!P131</f>
        <v/>
      </c>
      <c r="T131" s="28" t="str">
        <f>'INCEXC B'!P131</f>
        <v/>
      </c>
      <c r="U131" s="28" t="b">
        <f t="shared" si="4"/>
        <v>1</v>
      </c>
      <c r="V131" s="28" t="b">
        <f t="shared" si="5"/>
        <v>0</v>
      </c>
    </row>
    <row r="132" hidden="1">
      <c r="A132" s="35" t="str">
        <f>'INCEXC A'!A132</f>
        <v>https://doi.org/10.1145/2700312</v>
      </c>
      <c r="B132" s="35" t="str">
        <f>'INCEXC B'!A132</f>
        <v>https://doi.org/10.1145/2700312</v>
      </c>
      <c r="C132" s="28" t="b">
        <f t="shared" si="1"/>
        <v>1</v>
      </c>
      <c r="D132" s="28" t="str">
        <f>'INCEXC A'!B132</f>
        <v>10.1145/2700312</v>
      </c>
      <c r="E132" s="28" t="str">
        <f>'INCEXC A'!C132</f>
        <v>On the Trade-Offs among Performance</v>
      </c>
      <c r="F132" s="28" t="str">
        <f>'INCEXC A'!D132</f>
        <v>Jonathan</v>
      </c>
      <c r="G132" s="28" t="str">
        <f>'INCEXC B'!D132</f>
        <v>Danni</v>
      </c>
      <c r="H132" s="28" t="str">
        <f>'INCEXC A'!E132</f>
        <v>Exclude</v>
      </c>
      <c r="I132" s="28" t="str">
        <f>'INCEXC B'!E132</f>
        <v>Exclude</v>
      </c>
      <c r="J132" s="28" t="b">
        <f t="shared" si="2"/>
        <v>1</v>
      </c>
      <c r="K132" s="28" t="b">
        <f t="shared" si="3"/>
        <v>0</v>
      </c>
      <c r="L132" s="28" t="str">
        <f>'INCEXC A'!L132</f>
        <v/>
      </c>
      <c r="M132" s="28" t="str">
        <f>'INCEXC B'!L132</f>
        <v/>
      </c>
      <c r="O132" s="28" t="str">
        <f>'INCEXC A'!M132</f>
        <v/>
      </c>
      <c r="P132" s="28" t="str">
        <f>'INCEXC A'!N132</f>
        <v/>
      </c>
      <c r="Q132" s="28" t="str">
        <f>'INCEXC A'!O132</f>
        <v/>
      </c>
      <c r="R132" s="28" t="str">
        <f>'INCEXC B'!O132</f>
        <v/>
      </c>
      <c r="S132" s="28" t="str">
        <f>'INCEXC A'!P132</f>
        <v/>
      </c>
      <c r="T132" s="28" t="str">
        <f>'INCEXC B'!P132</f>
        <v/>
      </c>
      <c r="U132" s="28" t="b">
        <f t="shared" si="4"/>
        <v>1</v>
      </c>
      <c r="V132" s="28" t="b">
        <f t="shared" si="5"/>
        <v>0</v>
      </c>
    </row>
    <row r="133" hidden="1">
      <c r="A133" s="35" t="str">
        <f>'INCEXC A'!A133</f>
        <v>https://doi.org/10.1145/2723372.2742798</v>
      </c>
      <c r="B133" s="35" t="str">
        <f>'INCEXC B'!A133</f>
        <v>https://doi.org/10.1145/2723372.2742798</v>
      </c>
      <c r="C133" s="28" t="b">
        <f t="shared" si="1"/>
        <v>1</v>
      </c>
      <c r="D133" s="28" t="str">
        <f>'INCEXC A'!B133</f>
        <v>10.1145/2723372.2742798</v>
      </c>
      <c r="E133" s="28" t="str">
        <f>'INCEXC A'!C133</f>
        <v>Purity: Building Fast</v>
      </c>
      <c r="F133" s="28" t="str">
        <f>'INCEXC A'!D133</f>
        <v>Jonathan</v>
      </c>
      <c r="G133" s="28" t="str">
        <f>'INCEXC B'!D133</f>
        <v>Taylor</v>
      </c>
      <c r="H133" s="28" t="str">
        <f>'INCEXC A'!E133</f>
        <v>Exclude</v>
      </c>
      <c r="I133" s="28" t="str">
        <f>'INCEXC B'!E133</f>
        <v>Exclude</v>
      </c>
      <c r="J133" s="28" t="b">
        <f t="shared" si="2"/>
        <v>1</v>
      </c>
      <c r="K133" s="28" t="b">
        <f t="shared" si="3"/>
        <v>0</v>
      </c>
      <c r="L133" s="28" t="str">
        <f>'INCEXC A'!L133</f>
        <v/>
      </c>
      <c r="M133" s="28" t="str">
        <f>'INCEXC B'!L133</f>
        <v/>
      </c>
      <c r="O133" s="28" t="str">
        <f>'INCEXC A'!M133</f>
        <v/>
      </c>
      <c r="P133" s="28" t="str">
        <f>'INCEXC A'!N133</f>
        <v/>
      </c>
      <c r="Q133" s="28" t="str">
        <f>'INCEXC A'!O133</f>
        <v/>
      </c>
      <c r="R133" s="28" t="str">
        <f>'INCEXC B'!O133</f>
        <v/>
      </c>
      <c r="S133" s="28" t="str">
        <f>'INCEXC A'!P133</f>
        <v/>
      </c>
      <c r="T133" s="28" t="str">
        <f>'INCEXC B'!P133</f>
        <v/>
      </c>
      <c r="U133" s="28" t="b">
        <f t="shared" si="4"/>
        <v>1</v>
      </c>
      <c r="V133" s="28" t="b">
        <f t="shared" si="5"/>
        <v>0</v>
      </c>
    </row>
    <row r="134" hidden="1">
      <c r="A134" s="35" t="str">
        <f>'INCEXC A'!A134</f>
        <v>https://doi.org/10.1145/2741948.2741956</v>
      </c>
      <c r="B134" s="35" t="str">
        <f>'INCEXC B'!A134</f>
        <v>https://doi.org/10.1145/2741948.2741956</v>
      </c>
      <c r="C134" s="28" t="b">
        <f t="shared" si="1"/>
        <v>1</v>
      </c>
      <c r="D134" s="28" t="str">
        <f>'INCEXC A'!B134</f>
        <v>10.1145/2741948.2741956</v>
      </c>
      <c r="E134" s="28" t="str">
        <f>'INCEXC A'!C134</f>
        <v>GD-Wheel: a cost-aware replacement policy for key-value stores</v>
      </c>
      <c r="F134" s="28" t="str">
        <f>'INCEXC A'!D134</f>
        <v>Marilyn</v>
      </c>
      <c r="G134" s="28" t="str">
        <f>'INCEXC B'!D134</f>
        <v>Taylor</v>
      </c>
      <c r="H134" s="28" t="str">
        <f>'INCEXC A'!E134</f>
        <v>Exclude</v>
      </c>
      <c r="I134" s="28" t="str">
        <f>'INCEXC B'!E134</f>
        <v>Exclude</v>
      </c>
      <c r="J134" s="28" t="b">
        <f t="shared" si="2"/>
        <v>1</v>
      </c>
      <c r="K134" s="28" t="b">
        <f t="shared" si="3"/>
        <v>0</v>
      </c>
      <c r="L134" s="28" t="str">
        <f>'INCEXC A'!L134</f>
        <v/>
      </c>
      <c r="M134" s="28" t="str">
        <f>'INCEXC B'!L134</f>
        <v/>
      </c>
      <c r="O134" s="28" t="str">
        <f>'INCEXC A'!M134</f>
        <v/>
      </c>
      <c r="P134" s="28" t="str">
        <f>'INCEXC A'!N134</f>
        <v/>
      </c>
      <c r="Q134" s="28" t="str">
        <f>'INCEXC A'!O134</f>
        <v/>
      </c>
      <c r="R134" s="28" t="str">
        <f>'INCEXC B'!O134</f>
        <v/>
      </c>
      <c r="S134" s="28" t="str">
        <f>'INCEXC A'!P134</f>
        <v/>
      </c>
      <c r="T134" s="28" t="str">
        <f>'INCEXC B'!P134</f>
        <v/>
      </c>
      <c r="U134" s="28" t="b">
        <f t="shared" si="4"/>
        <v>1</v>
      </c>
      <c r="V134" s="28" t="b">
        <f t="shared" si="5"/>
        <v>0</v>
      </c>
    </row>
    <row r="135" hidden="1">
      <c r="A135" s="35" t="str">
        <f>'INCEXC A'!A135</f>
        <v>https://doi.org/10.1145/2742488</v>
      </c>
      <c r="B135" s="35" t="str">
        <f>'INCEXC B'!A135</f>
        <v>https://doi.org/10.1145/2742488</v>
      </c>
      <c r="C135" s="28" t="b">
        <f t="shared" si="1"/>
        <v>1</v>
      </c>
      <c r="D135" s="28" t="str">
        <f>'INCEXC A'!B135</f>
        <v>10.1145/2742488</v>
      </c>
      <c r="E135" s="28" t="str">
        <f>'INCEXC A'!C135</f>
        <v>Energy Efficiency Techniques in Cloud Computing: A Survey and Taxonomy</v>
      </c>
      <c r="F135" s="28" t="str">
        <f>'INCEXC A'!D135</f>
        <v>Kaiser</v>
      </c>
      <c r="G135" s="28" t="str">
        <f>'INCEXC B'!D135</f>
        <v>Ceren</v>
      </c>
      <c r="H135" s="28" t="str">
        <f>'INCEXC A'!E135</f>
        <v>Exclude</v>
      </c>
      <c r="I135" s="28" t="str">
        <f>'INCEXC B'!E135</f>
        <v>Exclude</v>
      </c>
      <c r="J135" s="28" t="b">
        <f t="shared" si="2"/>
        <v>1</v>
      </c>
      <c r="K135" s="28" t="b">
        <f t="shared" si="3"/>
        <v>0</v>
      </c>
      <c r="L135" s="28" t="str">
        <f>'INCEXC A'!L135</f>
        <v/>
      </c>
      <c r="M135" s="28" t="str">
        <f>'INCEXC B'!L135</f>
        <v/>
      </c>
      <c r="O135" s="28" t="str">
        <f>'INCEXC A'!M135</f>
        <v/>
      </c>
      <c r="P135" s="28" t="str">
        <f>'INCEXC A'!N135</f>
        <v/>
      </c>
      <c r="Q135" s="28" t="str">
        <f>'INCEXC A'!O135</f>
        <v/>
      </c>
      <c r="R135" s="28" t="str">
        <f>'INCEXC B'!O135</f>
        <v/>
      </c>
      <c r="S135" s="28" t="str">
        <f>'INCEXC A'!P135</f>
        <v/>
      </c>
      <c r="T135" s="28" t="str">
        <f>'INCEXC B'!P135</f>
        <v/>
      </c>
      <c r="U135" s="28" t="b">
        <f t="shared" si="4"/>
        <v>1</v>
      </c>
      <c r="V135" s="28" t="b">
        <f t="shared" si="5"/>
        <v>0</v>
      </c>
    </row>
    <row r="136" hidden="1">
      <c r="A136" s="35" t="str">
        <f>'INCEXC A'!A136</f>
        <v>https://doi.org/10.1145/274644.274667</v>
      </c>
      <c r="B136" s="35" t="str">
        <f>'INCEXC B'!A136</f>
        <v>https://doi.org/10.1145/274644.274667</v>
      </c>
      <c r="C136" s="28" t="b">
        <f t="shared" si="1"/>
        <v>1</v>
      </c>
      <c r="D136" s="28" t="str">
        <f>'INCEXC A'!B136</f>
        <v>10.1145/274644.274667</v>
      </c>
      <c r="E136" s="28" t="str">
        <f>'INCEXC A'!C136</f>
        <v>When my face is the interface: an experimental comparison of interacting with one's own face or someone else's face</v>
      </c>
      <c r="F136" s="28" t="str">
        <f>'INCEXC A'!D136</f>
        <v>Kaiser</v>
      </c>
      <c r="G136" s="28" t="str">
        <f>'INCEXC B'!D136</f>
        <v>Taylor</v>
      </c>
      <c r="H136" s="28" t="str">
        <f>'INCEXC A'!E136</f>
        <v>Exclude</v>
      </c>
      <c r="I136" s="28" t="str">
        <f>'INCEXC B'!E136</f>
        <v>Exclude</v>
      </c>
      <c r="J136" s="28" t="b">
        <f t="shared" si="2"/>
        <v>1</v>
      </c>
      <c r="K136" s="28" t="b">
        <f t="shared" si="3"/>
        <v>0</v>
      </c>
      <c r="L136" s="28" t="str">
        <f>'INCEXC A'!L136</f>
        <v/>
      </c>
      <c r="M136" s="28" t="str">
        <f>'INCEXC B'!L136</f>
        <v/>
      </c>
      <c r="O136" s="28" t="str">
        <f>'INCEXC A'!M136</f>
        <v/>
      </c>
      <c r="P136" s="28" t="str">
        <f>'INCEXC A'!N136</f>
        <v/>
      </c>
      <c r="Q136" s="28" t="str">
        <f>'INCEXC A'!O136</f>
        <v/>
      </c>
      <c r="R136" s="28" t="str">
        <f>'INCEXC B'!O136</f>
        <v/>
      </c>
      <c r="S136" s="28" t="str">
        <f>'INCEXC A'!P136</f>
        <v/>
      </c>
      <c r="T136" s="28" t="str">
        <f>'INCEXC B'!P136</f>
        <v/>
      </c>
      <c r="U136" s="28" t="b">
        <f t="shared" si="4"/>
        <v>1</v>
      </c>
      <c r="V136" s="28" t="b">
        <f t="shared" si="5"/>
        <v>0</v>
      </c>
    </row>
    <row r="137" hidden="1">
      <c r="A137" s="35" t="str">
        <f>'INCEXC A'!A137</f>
        <v>https://doi.org/10.1145/2757667.2757680</v>
      </c>
      <c r="B137" s="35" t="str">
        <f>'INCEXC B'!A137</f>
        <v>https://doi.org/10.1145/2757667.2757680</v>
      </c>
      <c r="C137" s="28" t="b">
        <f t="shared" si="1"/>
        <v>1</v>
      </c>
      <c r="D137" s="28" t="str">
        <f>'INCEXC A'!B137</f>
        <v>10.1145/2757667.2757680</v>
      </c>
      <c r="E137" s="28" t="str">
        <f>'INCEXC A'!C137</f>
        <v>SMRDB: key-value data store for shingled magnetic recording disks</v>
      </c>
      <c r="F137" s="28" t="str">
        <f>'INCEXC A'!D137</f>
        <v>Jonathan</v>
      </c>
      <c r="G137" s="28" t="str">
        <f>'INCEXC B'!D137</f>
        <v>Ceren</v>
      </c>
      <c r="H137" s="28" t="str">
        <f>'INCEXC A'!E137</f>
        <v>Exclude</v>
      </c>
      <c r="I137" s="28" t="str">
        <f>'INCEXC B'!E137</f>
        <v>Exclude</v>
      </c>
      <c r="J137" s="28" t="b">
        <f t="shared" si="2"/>
        <v>1</v>
      </c>
      <c r="K137" s="28" t="b">
        <f t="shared" si="3"/>
        <v>0</v>
      </c>
      <c r="L137" s="28" t="str">
        <f>'INCEXC A'!L137</f>
        <v/>
      </c>
      <c r="M137" s="28" t="str">
        <f>'INCEXC B'!L137</f>
        <v/>
      </c>
      <c r="O137" s="28" t="str">
        <f>'INCEXC A'!M137</f>
        <v/>
      </c>
      <c r="P137" s="28" t="str">
        <f>'INCEXC A'!N137</f>
        <v/>
      </c>
      <c r="Q137" s="28" t="str">
        <f>'INCEXC A'!O137</f>
        <v/>
      </c>
      <c r="R137" s="28" t="str">
        <f>'INCEXC B'!O137</f>
        <v/>
      </c>
      <c r="S137" s="28" t="str">
        <f>'INCEXC A'!P137</f>
        <v/>
      </c>
      <c r="T137" s="28" t="str">
        <f>'INCEXC B'!P137</f>
        <v/>
      </c>
      <c r="U137" s="28" t="b">
        <f t="shared" si="4"/>
        <v>1</v>
      </c>
      <c r="V137" s="28" t="b">
        <f t="shared" si="5"/>
        <v>0</v>
      </c>
    </row>
    <row r="138" hidden="1">
      <c r="A138" s="35" t="str">
        <f>'INCEXC A'!A138</f>
        <v>https://doi.org/10.1145/2771937.2771939</v>
      </c>
      <c r="B138" s="35" t="str">
        <f>'INCEXC B'!A138</f>
        <v>https://doi.org/10.1145/2771937.2771939</v>
      </c>
      <c r="C138" s="28" t="b">
        <f t="shared" si="1"/>
        <v>1</v>
      </c>
      <c r="D138" s="28" t="str">
        <f>'INCEXC A'!B138</f>
        <v>10.1145/2771937.2771939</v>
      </c>
      <c r="E138" s="28" t="str">
        <f>'INCEXC A'!C138</f>
        <v>Energy-Efficient Query Processing on Embedded CPU-GPU Architectures</v>
      </c>
      <c r="F138" s="28" t="str">
        <f>'INCEXC A'!D138</f>
        <v>Kaiser</v>
      </c>
      <c r="G138" s="28" t="str">
        <f>'INCEXC B'!D138</f>
        <v>Taylor</v>
      </c>
      <c r="H138" s="28" t="str">
        <f>'INCEXC A'!E138</f>
        <v>Exclude</v>
      </c>
      <c r="I138" s="28" t="str">
        <f>'INCEXC B'!E138</f>
        <v>Exclude</v>
      </c>
      <c r="J138" s="28" t="b">
        <f t="shared" si="2"/>
        <v>1</v>
      </c>
      <c r="K138" s="28" t="b">
        <f t="shared" si="3"/>
        <v>0</v>
      </c>
      <c r="L138" s="28" t="str">
        <f>'INCEXC A'!L138</f>
        <v/>
      </c>
      <c r="M138" s="28" t="str">
        <f>'INCEXC B'!L138</f>
        <v/>
      </c>
      <c r="O138" s="28" t="str">
        <f>'INCEXC A'!M138</f>
        <v/>
      </c>
      <c r="P138" s="28" t="str">
        <f>'INCEXC A'!N138</f>
        <v/>
      </c>
      <c r="Q138" s="28" t="str">
        <f>'INCEXC A'!O138</f>
        <v/>
      </c>
      <c r="R138" s="28" t="str">
        <f>'INCEXC B'!O138</f>
        <v/>
      </c>
      <c r="S138" s="28" t="str">
        <f>'INCEXC A'!P138</f>
        <v/>
      </c>
      <c r="T138" s="28" t="str">
        <f>'INCEXC B'!P138</f>
        <v/>
      </c>
      <c r="U138" s="28" t="b">
        <f t="shared" si="4"/>
        <v>1</v>
      </c>
      <c r="V138" s="28" t="b">
        <f t="shared" si="5"/>
        <v>0</v>
      </c>
    </row>
    <row r="139" hidden="1">
      <c r="A139" s="35" t="str">
        <f>'INCEXC A'!A139</f>
        <v>https://doi.org/10.1145/2791285</v>
      </c>
      <c r="B139" s="35" t="str">
        <f>'INCEXC B'!A139</f>
        <v>https://doi.org/10.1145/2791285</v>
      </c>
      <c r="C139" s="28" t="b">
        <f t="shared" si="1"/>
        <v>1</v>
      </c>
      <c r="D139" s="28" t="str">
        <f>'INCEXC A'!B139</f>
        <v>10.1145/2791285</v>
      </c>
      <c r="E139" s="28" t="str">
        <f>'INCEXC A'!C139</f>
        <v>Soylent: a word processor with a crowd inside</v>
      </c>
      <c r="F139" s="28" t="str">
        <f>'INCEXC A'!D139</f>
        <v>Kaiser</v>
      </c>
      <c r="G139" s="28" t="str">
        <f>'INCEXC B'!D139</f>
        <v>Taylor</v>
      </c>
      <c r="H139" s="28" t="str">
        <f>'INCEXC A'!E139</f>
        <v>Exclude</v>
      </c>
      <c r="I139" s="28" t="str">
        <f>'INCEXC B'!E139</f>
        <v>Exclude</v>
      </c>
      <c r="J139" s="28" t="b">
        <f t="shared" si="2"/>
        <v>1</v>
      </c>
      <c r="K139" s="28" t="b">
        <f t="shared" si="3"/>
        <v>0</v>
      </c>
      <c r="L139" s="28" t="str">
        <f>'INCEXC A'!L139</f>
        <v/>
      </c>
      <c r="M139" s="28" t="str">
        <f>'INCEXC B'!L139</f>
        <v/>
      </c>
      <c r="O139" s="28" t="str">
        <f>'INCEXC A'!M139</f>
        <v/>
      </c>
      <c r="P139" s="28" t="str">
        <f>'INCEXC A'!N139</f>
        <v/>
      </c>
      <c r="Q139" s="28" t="str">
        <f>'INCEXC A'!O139</f>
        <v/>
      </c>
      <c r="R139" s="28" t="str">
        <f>'INCEXC B'!O139</f>
        <v/>
      </c>
      <c r="S139" s="28" t="str">
        <f>'INCEXC A'!P139</f>
        <v/>
      </c>
      <c r="T139" s="28" t="str">
        <f>'INCEXC B'!P139</f>
        <v/>
      </c>
      <c r="U139" s="28" t="b">
        <f t="shared" si="4"/>
        <v>1</v>
      </c>
      <c r="V139" s="28" t="b">
        <f t="shared" si="5"/>
        <v>0</v>
      </c>
    </row>
    <row r="140" hidden="1">
      <c r="A140" s="35" t="str">
        <f>'INCEXC A'!A140</f>
        <v>https://doi.org/10.1145/2798729</v>
      </c>
      <c r="B140" s="35" t="str">
        <f>'INCEXC B'!A140</f>
        <v>https://doi.org/10.1145/2798729</v>
      </c>
      <c r="C140" s="28" t="b">
        <f t="shared" si="1"/>
        <v>1</v>
      </c>
      <c r="D140" s="28" t="str">
        <f>'INCEXC A'!B140</f>
        <v>10.1145/2798729</v>
      </c>
      <c r="E140" s="28" t="str">
        <f>'INCEXC A'!C140</f>
        <v>BetrFS: Write-Optimization in a Kernel File System</v>
      </c>
      <c r="F140" s="28" t="str">
        <f>'INCEXC A'!D140</f>
        <v>Marilyn</v>
      </c>
      <c r="G140" s="28" t="str">
        <f>'INCEXC B'!D140</f>
        <v>Danni</v>
      </c>
      <c r="H140" s="28" t="str">
        <f>'INCEXC A'!E140</f>
        <v>Exclude</v>
      </c>
      <c r="I140" s="28" t="str">
        <f>'INCEXC B'!E140</f>
        <v>Exclude</v>
      </c>
      <c r="J140" s="28" t="b">
        <f t="shared" si="2"/>
        <v>1</v>
      </c>
      <c r="K140" s="28" t="b">
        <f t="shared" si="3"/>
        <v>0</v>
      </c>
      <c r="L140" s="28" t="str">
        <f>'INCEXC A'!L140</f>
        <v/>
      </c>
      <c r="M140" s="28" t="str">
        <f>'INCEXC B'!L140</f>
        <v/>
      </c>
      <c r="O140" s="28" t="str">
        <f>'INCEXC A'!M140</f>
        <v/>
      </c>
      <c r="P140" s="28" t="str">
        <f>'INCEXC A'!N140</f>
        <v/>
      </c>
      <c r="Q140" s="28" t="str">
        <f>'INCEXC A'!O140</f>
        <v/>
      </c>
      <c r="R140" s="28" t="str">
        <f>'INCEXC B'!O140</f>
        <v/>
      </c>
      <c r="S140" s="28" t="str">
        <f>'INCEXC A'!P140</f>
        <v/>
      </c>
      <c r="T140" s="28" t="str">
        <f>'INCEXC B'!P140</f>
        <v/>
      </c>
      <c r="U140" s="28" t="b">
        <f t="shared" si="4"/>
        <v>1</v>
      </c>
      <c r="V140" s="28" t="b">
        <f t="shared" si="5"/>
        <v>0</v>
      </c>
    </row>
    <row r="141" hidden="1">
      <c r="A141" s="35" t="str">
        <f>'INCEXC A'!A141</f>
        <v>https://doi.org/10.1145/2806777.2806850</v>
      </c>
      <c r="B141" s="35" t="str">
        <f>'INCEXC B'!A141</f>
        <v>https://doi.org/10.1145/2806777.2806850</v>
      </c>
      <c r="C141" s="28" t="b">
        <f t="shared" si="1"/>
        <v>1</v>
      </c>
      <c r="D141" s="28" t="str">
        <f>'INCEXC A'!B141</f>
        <v>10.1145/2806777.2806850</v>
      </c>
      <c r="E141" s="28" t="str">
        <f>'INCEXC A'!C141</f>
        <v>DSwitch: a dual mode direct and network attached disk</v>
      </c>
      <c r="F141" s="28" t="str">
        <f>'INCEXC A'!D141</f>
        <v>Kaiser</v>
      </c>
      <c r="G141" s="28" t="str">
        <f>'INCEXC B'!D141</f>
        <v>Ceren</v>
      </c>
      <c r="H141" s="28" t="str">
        <f>'INCEXC A'!E141</f>
        <v>Exclude</v>
      </c>
      <c r="I141" s="28" t="str">
        <f>'INCEXC B'!E141</f>
        <v>Exclude</v>
      </c>
      <c r="J141" s="28" t="b">
        <f t="shared" si="2"/>
        <v>1</v>
      </c>
      <c r="K141" s="28" t="b">
        <f t="shared" si="3"/>
        <v>0</v>
      </c>
      <c r="L141" s="28" t="str">
        <f>'INCEXC A'!L141</f>
        <v/>
      </c>
      <c r="M141" s="28" t="str">
        <f>'INCEXC B'!L141</f>
        <v/>
      </c>
      <c r="O141" s="28" t="str">
        <f>'INCEXC A'!M141</f>
        <v/>
      </c>
      <c r="P141" s="28" t="str">
        <f>'INCEXC A'!N141</f>
        <v/>
      </c>
      <c r="Q141" s="28" t="str">
        <f>'INCEXC A'!O141</f>
        <v/>
      </c>
      <c r="R141" s="28" t="str">
        <f>'INCEXC B'!O141</f>
        <v/>
      </c>
      <c r="S141" s="28" t="str">
        <f>'INCEXC A'!P141</f>
        <v/>
      </c>
      <c r="T141" s="28" t="str">
        <f>'INCEXC B'!P141</f>
        <v/>
      </c>
      <c r="U141" s="28" t="b">
        <f t="shared" si="4"/>
        <v>1</v>
      </c>
      <c r="V141" s="28" t="b">
        <f t="shared" si="5"/>
        <v>0</v>
      </c>
    </row>
    <row r="142" hidden="1">
      <c r="A142" s="35" t="str">
        <f>'INCEXC A'!A142</f>
        <v>https://doi.org/10.1145/2807591.2807636</v>
      </c>
      <c r="B142" s="35" t="str">
        <f>'INCEXC B'!A142</f>
        <v>https://doi.org/10.1145/2807591.2807636</v>
      </c>
      <c r="C142" s="28" t="b">
        <f t="shared" si="1"/>
        <v>1</v>
      </c>
      <c r="D142" s="28" t="str">
        <f>'INCEXC A'!B142</f>
        <v>10.1145/2807591.2807636</v>
      </c>
      <c r="E142" s="28" t="str">
        <f>'INCEXC A'!C142</f>
        <v>Multi-objective job placement in clusters</v>
      </c>
      <c r="F142" s="28" t="str">
        <f>'INCEXC A'!D142</f>
        <v>Kaiser</v>
      </c>
      <c r="G142" s="28" t="str">
        <f>'INCEXC B'!D142</f>
        <v>Danni</v>
      </c>
      <c r="H142" s="28" t="str">
        <f>'INCEXC A'!E142</f>
        <v>Exclude</v>
      </c>
      <c r="I142" s="28" t="str">
        <f>'INCEXC B'!E142</f>
        <v>Exclude</v>
      </c>
      <c r="J142" s="28" t="b">
        <f t="shared" si="2"/>
        <v>1</v>
      </c>
      <c r="K142" s="28" t="b">
        <f t="shared" si="3"/>
        <v>0</v>
      </c>
      <c r="L142" s="28" t="str">
        <f>'INCEXC A'!L142</f>
        <v/>
      </c>
      <c r="M142" s="28" t="str">
        <f>'INCEXC B'!L142</f>
        <v/>
      </c>
      <c r="O142" s="28" t="str">
        <f>'INCEXC A'!M142</f>
        <v/>
      </c>
      <c r="P142" s="28" t="str">
        <f>'INCEXC A'!N142</f>
        <v/>
      </c>
      <c r="Q142" s="28" t="str">
        <f>'INCEXC A'!O142</f>
        <v/>
      </c>
      <c r="R142" s="28" t="str">
        <f>'INCEXC B'!O142</f>
        <v/>
      </c>
      <c r="S142" s="28" t="str">
        <f>'INCEXC A'!P142</f>
        <v/>
      </c>
      <c r="T142" s="28" t="str">
        <f>'INCEXC B'!P142</f>
        <v/>
      </c>
      <c r="U142" s="28" t="b">
        <f t="shared" si="4"/>
        <v>1</v>
      </c>
      <c r="V142" s="28" t="b">
        <f t="shared" si="5"/>
        <v>0</v>
      </c>
    </row>
    <row r="143" hidden="1">
      <c r="A143" s="35" t="str">
        <f>'INCEXC A'!A143</f>
        <v>https://doi.org/10.1145/2830903.2830908</v>
      </c>
      <c r="B143" s="35" t="str">
        <f>'INCEXC B'!A143</f>
        <v>https://doi.org/10.1145/2830903.2830908</v>
      </c>
      <c r="C143" s="28" t="b">
        <f t="shared" si="1"/>
        <v>1</v>
      </c>
      <c r="D143" s="28" t="str">
        <f>'INCEXC A'!B143</f>
        <v>10.1145/2830903.2830908</v>
      </c>
      <c r="E143" s="28" t="str">
        <f>'INCEXC A'!C143</f>
        <v>Evolution of fault tolerance</v>
      </c>
      <c r="F143" s="28" t="str">
        <f>'INCEXC A'!D143</f>
        <v>Marilyn</v>
      </c>
      <c r="G143" s="28" t="str">
        <f>'INCEXC B'!D143</f>
        <v>Taylor</v>
      </c>
      <c r="H143" s="28" t="str">
        <f>'INCEXC A'!E143</f>
        <v>Exclude</v>
      </c>
      <c r="I143" s="28" t="str">
        <f>'INCEXC B'!E143</f>
        <v>Exclude</v>
      </c>
      <c r="J143" s="28" t="b">
        <f t="shared" si="2"/>
        <v>1</v>
      </c>
      <c r="K143" s="28" t="b">
        <f t="shared" si="3"/>
        <v>0</v>
      </c>
      <c r="L143" s="28" t="str">
        <f>'INCEXC A'!L143</f>
        <v/>
      </c>
      <c r="M143" s="28" t="str">
        <f>'INCEXC B'!L143</f>
        <v/>
      </c>
      <c r="O143" s="28" t="str">
        <f>'INCEXC A'!M143</f>
        <v/>
      </c>
      <c r="P143" s="28" t="str">
        <f>'INCEXC A'!N143</f>
        <v/>
      </c>
      <c r="Q143" s="28" t="str">
        <f>'INCEXC A'!O143</f>
        <v/>
      </c>
      <c r="R143" s="28" t="str">
        <f>'INCEXC B'!O143</f>
        <v/>
      </c>
      <c r="S143" s="28" t="str">
        <f>'INCEXC A'!P143</f>
        <v/>
      </c>
      <c r="T143" s="28" t="str">
        <f>'INCEXC B'!P143</f>
        <v/>
      </c>
      <c r="U143" s="28" t="b">
        <f t="shared" si="4"/>
        <v>1</v>
      </c>
      <c r="V143" s="28" t="b">
        <f t="shared" si="5"/>
        <v>0</v>
      </c>
    </row>
    <row r="144" hidden="1">
      <c r="A144" s="35" t="str">
        <f>'INCEXC A'!A144</f>
        <v>https://doi.org/10.1145/28395.28431</v>
      </c>
      <c r="B144" s="35" t="str">
        <f>'INCEXC B'!A144</f>
        <v>https://doi.org/10.1145/28395.28431</v>
      </c>
      <c r="C144" s="28" t="b">
        <f t="shared" si="1"/>
        <v>1</v>
      </c>
      <c r="D144" s="28" t="str">
        <f>'INCEXC A'!B144</f>
        <v>10.1145/28395.28431</v>
      </c>
      <c r="E144" s="28" t="str">
        <f>'INCEXC A'!C144</f>
        <v>A new graphy triconnectivity algorithm and its parallelization</v>
      </c>
      <c r="F144" s="28" t="str">
        <f>'INCEXC A'!D144</f>
        <v>Marilyn</v>
      </c>
      <c r="G144" s="28" t="str">
        <f>'INCEXC B'!D144</f>
        <v>Danni</v>
      </c>
      <c r="H144" s="28" t="str">
        <f>'INCEXC A'!E144</f>
        <v>Exclude</v>
      </c>
      <c r="I144" s="28" t="str">
        <f>'INCEXC B'!E144</f>
        <v>Exclude</v>
      </c>
      <c r="J144" s="28" t="b">
        <f t="shared" si="2"/>
        <v>1</v>
      </c>
      <c r="K144" s="28" t="b">
        <f t="shared" si="3"/>
        <v>0</v>
      </c>
      <c r="L144" s="28" t="str">
        <f>'INCEXC A'!L144</f>
        <v/>
      </c>
      <c r="M144" s="28" t="str">
        <f>'INCEXC B'!L144</f>
        <v/>
      </c>
      <c r="O144" s="28" t="str">
        <f>'INCEXC A'!M144</f>
        <v/>
      </c>
      <c r="P144" s="28" t="str">
        <f>'INCEXC A'!N144</f>
        <v/>
      </c>
      <c r="Q144" s="28" t="str">
        <f>'INCEXC A'!O144</f>
        <v/>
      </c>
      <c r="R144" s="28" t="str">
        <f>'INCEXC B'!O144</f>
        <v/>
      </c>
      <c r="S144" s="28" t="str">
        <f>'INCEXC A'!P144</f>
        <v/>
      </c>
      <c r="T144" s="28" t="str">
        <f>'INCEXC B'!P144</f>
        <v/>
      </c>
      <c r="U144" s="28" t="b">
        <f t="shared" si="4"/>
        <v>1</v>
      </c>
      <c r="V144" s="28" t="b">
        <f t="shared" si="5"/>
        <v>0</v>
      </c>
    </row>
    <row r="145" hidden="1">
      <c r="A145" s="35" t="str">
        <f>'INCEXC A'!A145</f>
        <v>https://doi.org/10.1145/2897824.2925888</v>
      </c>
      <c r="B145" s="35" t="str">
        <f>'INCEXC B'!A145</f>
        <v>https://doi.org/10.1145/2897824.2925888</v>
      </c>
      <c r="C145" s="28" t="b">
        <f t="shared" si="1"/>
        <v>1</v>
      </c>
      <c r="D145" s="28" t="str">
        <f>'INCEXC A'!B145</f>
        <v>10.1145/2897824.2925888</v>
      </c>
      <c r="E145" s="28" t="str">
        <f>'INCEXC A'!C145</f>
        <v>Designing structurally-sound ornamental curve networks</v>
      </c>
      <c r="F145" s="28" t="str">
        <f>'INCEXC A'!D145</f>
        <v>Jonathan</v>
      </c>
      <c r="G145" s="28" t="str">
        <f>'INCEXC B'!D145</f>
        <v>Danni</v>
      </c>
      <c r="H145" s="28" t="str">
        <f>'INCEXC A'!E145</f>
        <v>Exclude</v>
      </c>
      <c r="I145" s="28" t="str">
        <f>'INCEXC B'!E145</f>
        <v>Exclude</v>
      </c>
      <c r="J145" s="28" t="b">
        <f t="shared" si="2"/>
        <v>1</v>
      </c>
      <c r="K145" s="28" t="b">
        <f t="shared" si="3"/>
        <v>0</v>
      </c>
      <c r="L145" s="28" t="str">
        <f>'INCEXC A'!L145</f>
        <v/>
      </c>
      <c r="M145" s="28" t="str">
        <f>'INCEXC B'!L145</f>
        <v/>
      </c>
      <c r="O145" s="28" t="str">
        <f>'INCEXC A'!M145</f>
        <v/>
      </c>
      <c r="P145" s="28" t="str">
        <f>'INCEXC A'!N145</f>
        <v/>
      </c>
      <c r="Q145" s="28" t="str">
        <f>'INCEXC A'!O145</f>
        <v/>
      </c>
      <c r="R145" s="28" t="str">
        <f>'INCEXC B'!O145</f>
        <v/>
      </c>
      <c r="S145" s="28" t="str">
        <f>'INCEXC A'!P145</f>
        <v/>
      </c>
      <c r="T145" s="28" t="str">
        <f>'INCEXC B'!P145</f>
        <v/>
      </c>
      <c r="U145" s="28" t="b">
        <f t="shared" si="4"/>
        <v>1</v>
      </c>
      <c r="V145" s="28" t="b">
        <f t="shared" si="5"/>
        <v>0</v>
      </c>
    </row>
    <row r="146" hidden="1">
      <c r="A146" s="35" t="str">
        <f>'INCEXC A'!A146</f>
        <v>https://doi.org/10.1145/2901318.2901337</v>
      </c>
      <c r="B146" s="35" t="str">
        <f>'INCEXC B'!A146</f>
        <v>https://doi.org/10.1145/2901318.2901337</v>
      </c>
      <c r="C146" s="28" t="b">
        <f t="shared" si="1"/>
        <v>1</v>
      </c>
      <c r="D146" s="28" t="str">
        <f>'INCEXC A'!B146</f>
        <v>10.1145/2901318.2901337</v>
      </c>
      <c r="E146" s="28" t="str">
        <f>'INCEXC A'!C146</f>
        <v>Flash storage disaggregation</v>
      </c>
      <c r="F146" s="28" t="str">
        <f>'INCEXC A'!D146</f>
        <v>Marilyn</v>
      </c>
      <c r="G146" s="28" t="str">
        <f>'INCEXC B'!D146</f>
        <v>Ceren</v>
      </c>
      <c r="H146" s="28" t="str">
        <f>'INCEXC A'!E146</f>
        <v>Exclude</v>
      </c>
      <c r="I146" s="28" t="str">
        <f>'INCEXC B'!E146</f>
        <v>Exclude</v>
      </c>
      <c r="J146" s="28" t="b">
        <f t="shared" si="2"/>
        <v>1</v>
      </c>
      <c r="K146" s="28" t="b">
        <f t="shared" si="3"/>
        <v>0</v>
      </c>
      <c r="L146" s="28" t="str">
        <f>'INCEXC A'!L146</f>
        <v/>
      </c>
      <c r="M146" s="28" t="str">
        <f>'INCEXC B'!L146</f>
        <v/>
      </c>
      <c r="O146" s="28" t="str">
        <f>'INCEXC A'!M146</f>
        <v/>
      </c>
      <c r="P146" s="28" t="str">
        <f>'INCEXC A'!N146</f>
        <v/>
      </c>
      <c r="Q146" s="28" t="str">
        <f>'INCEXC A'!O146</f>
        <v/>
      </c>
      <c r="R146" s="28" t="str">
        <f>'INCEXC B'!O146</f>
        <v/>
      </c>
      <c r="S146" s="28" t="str">
        <f>'INCEXC A'!P146</f>
        <v/>
      </c>
      <c r="T146" s="28" t="str">
        <f>'INCEXC B'!P146</f>
        <v/>
      </c>
      <c r="U146" s="28" t="b">
        <f t="shared" si="4"/>
        <v>1</v>
      </c>
      <c r="V146" s="28" t="b">
        <f t="shared" si="5"/>
        <v>0</v>
      </c>
    </row>
    <row r="147" hidden="1">
      <c r="A147" s="35" t="str">
        <f>'INCEXC A'!A147</f>
        <v>https://doi.org/10.1145/2933349.2933359</v>
      </c>
      <c r="B147" s="35" t="str">
        <f>'INCEXC B'!A147</f>
        <v>https://doi.org/10.1145/2933349.2933359</v>
      </c>
      <c r="C147" s="28" t="b">
        <f t="shared" si="1"/>
        <v>1</v>
      </c>
      <c r="D147" s="28" t="str">
        <f>'INCEXC A'!B147</f>
        <v>10.1145/2933349.2933359</v>
      </c>
      <c r="E147" s="28" t="str">
        <f>'INCEXC A'!C147</f>
        <v>OLTP on a server-grade ARM: power</v>
      </c>
      <c r="F147" s="28" t="str">
        <f>'INCEXC A'!D147</f>
        <v>Kaiser</v>
      </c>
      <c r="G147" s="28" t="str">
        <f>'INCEXC B'!D147</f>
        <v>Taylor</v>
      </c>
      <c r="H147" s="28" t="str">
        <f>'INCEXC A'!E147</f>
        <v>Exclude</v>
      </c>
      <c r="I147" s="28" t="str">
        <f>'INCEXC B'!E147</f>
        <v>Exclude</v>
      </c>
      <c r="J147" s="28" t="b">
        <f t="shared" si="2"/>
        <v>1</v>
      </c>
      <c r="K147" s="28" t="b">
        <f t="shared" si="3"/>
        <v>0</v>
      </c>
      <c r="L147" s="28" t="str">
        <f>'INCEXC A'!L147</f>
        <v/>
      </c>
      <c r="M147" s="28" t="str">
        <f>'INCEXC B'!L147</f>
        <v/>
      </c>
      <c r="O147" s="28" t="str">
        <f>'INCEXC A'!M147</f>
        <v/>
      </c>
      <c r="P147" s="28" t="str">
        <f>'INCEXC A'!N147</f>
        <v/>
      </c>
      <c r="Q147" s="28" t="str">
        <f>'INCEXC A'!O147</f>
        <v/>
      </c>
      <c r="R147" s="28" t="str">
        <f>'INCEXC B'!O147</f>
        <v/>
      </c>
      <c r="S147" s="28" t="str">
        <f>'INCEXC A'!P147</f>
        <v/>
      </c>
      <c r="T147" s="28" t="str">
        <f>'INCEXC B'!P147</f>
        <v/>
      </c>
      <c r="U147" s="28" t="b">
        <f t="shared" si="4"/>
        <v>1</v>
      </c>
      <c r="V147" s="28" t="b">
        <f t="shared" si="5"/>
        <v>0</v>
      </c>
    </row>
    <row r="148" hidden="1">
      <c r="A148" s="35" t="str">
        <f>'INCEXC A'!A148</f>
        <v>https://doi.org/10.1145/296336.296354</v>
      </c>
      <c r="B148" s="35" t="str">
        <f>'INCEXC B'!A148</f>
        <v>https://doi.org/10.1145/296336.296354</v>
      </c>
      <c r="C148" s="28" t="b">
        <f t="shared" si="1"/>
        <v>1</v>
      </c>
      <c r="D148" s="28" t="str">
        <f>'INCEXC A'!B148</f>
        <v>10.1145/296336.296354</v>
      </c>
      <c r="E148" s="28" t="str">
        <f>'INCEXC A'!C148</f>
        <v>Who exactly is trying to help us? The ethos of help systems in popular computer applications</v>
      </c>
      <c r="F148" s="28" t="str">
        <f>'INCEXC A'!D148</f>
        <v>Marilyn</v>
      </c>
      <c r="G148" s="28" t="str">
        <f>'INCEXC B'!D148</f>
        <v>Taylor</v>
      </c>
      <c r="H148" s="28" t="str">
        <f>'INCEXC A'!E148</f>
        <v>Exclude</v>
      </c>
      <c r="I148" s="28" t="str">
        <f>'INCEXC B'!E148</f>
        <v>Exclude</v>
      </c>
      <c r="J148" s="28" t="b">
        <f t="shared" si="2"/>
        <v>1</v>
      </c>
      <c r="K148" s="28" t="b">
        <f t="shared" si="3"/>
        <v>0</v>
      </c>
      <c r="L148" s="28" t="str">
        <f>'INCEXC A'!L148</f>
        <v/>
      </c>
      <c r="M148" s="28" t="str">
        <f>'INCEXC B'!L148</f>
        <v/>
      </c>
      <c r="O148" s="28" t="str">
        <f>'INCEXC A'!M148</f>
        <v/>
      </c>
      <c r="P148" s="28" t="str">
        <f>'INCEXC A'!N148</f>
        <v/>
      </c>
      <c r="Q148" s="28" t="str">
        <f>'INCEXC A'!O148</f>
        <v/>
      </c>
      <c r="R148" s="28" t="str">
        <f>'INCEXC B'!O148</f>
        <v/>
      </c>
      <c r="S148" s="28" t="str">
        <f>'INCEXC A'!P148</f>
        <v/>
      </c>
      <c r="T148" s="28" t="str">
        <f>'INCEXC B'!P148</f>
        <v/>
      </c>
      <c r="U148" s="28" t="b">
        <f t="shared" si="4"/>
        <v>1</v>
      </c>
      <c r="V148" s="28" t="b">
        <f t="shared" si="5"/>
        <v>0</v>
      </c>
    </row>
    <row r="149" hidden="1">
      <c r="A149" s="35" t="str">
        <f>'INCEXC A'!A149</f>
        <v>https://doi.org/10.1145/2964284.2984067</v>
      </c>
      <c r="B149" s="35" t="str">
        <f>'INCEXC B'!A149</f>
        <v>https://doi.org/10.1145/2964284.2984067</v>
      </c>
      <c r="C149" s="28" t="b">
        <f t="shared" si="1"/>
        <v>1</v>
      </c>
      <c r="D149" s="28" t="str">
        <f>'INCEXC A'!B149</f>
        <v>10.1145/2964284.2984067</v>
      </c>
      <c r="E149" s="28" t="str">
        <f>'INCEXC A'!C149</f>
        <v>Tracking Natural Events through Social Media and Computer Vision</v>
      </c>
      <c r="F149" s="28" t="str">
        <f>'INCEXC A'!D149</f>
        <v>Marilyn</v>
      </c>
      <c r="G149" s="28" t="str">
        <f>'INCEXC B'!D149</f>
        <v>Ceren</v>
      </c>
      <c r="H149" s="28" t="str">
        <f>'INCEXC A'!E149</f>
        <v>Exclude</v>
      </c>
      <c r="I149" s="28" t="str">
        <f>'INCEXC B'!E149</f>
        <v>Exclude</v>
      </c>
      <c r="J149" s="28" t="b">
        <f t="shared" si="2"/>
        <v>1</v>
      </c>
      <c r="K149" s="28" t="b">
        <f t="shared" si="3"/>
        <v>0</v>
      </c>
      <c r="L149" s="28" t="str">
        <f>'INCEXC A'!L149</f>
        <v/>
      </c>
      <c r="M149" s="28" t="str">
        <f>'INCEXC B'!L149</f>
        <v/>
      </c>
      <c r="O149" s="28" t="str">
        <f>'INCEXC A'!M149</f>
        <v/>
      </c>
      <c r="P149" s="28" t="str">
        <f>'INCEXC A'!N149</f>
        <v/>
      </c>
      <c r="Q149" s="28" t="str">
        <f>'INCEXC A'!O149</f>
        <v/>
      </c>
      <c r="R149" s="28" t="str">
        <f>'INCEXC B'!O149</f>
        <v/>
      </c>
      <c r="S149" s="28" t="str">
        <f>'INCEXC A'!P149</f>
        <v/>
      </c>
      <c r="T149" s="28" t="str">
        <f>'INCEXC B'!P149</f>
        <v/>
      </c>
      <c r="U149" s="28" t="b">
        <f t="shared" si="4"/>
        <v>1</v>
      </c>
      <c r="V149" s="28" t="b">
        <f t="shared" si="5"/>
        <v>0</v>
      </c>
    </row>
    <row r="150" hidden="1">
      <c r="A150" s="35" t="str">
        <f>'INCEXC A'!A150</f>
        <v>https://doi.org/10.1145/2983927</v>
      </c>
      <c r="B150" s="35" t="str">
        <f>'INCEXC B'!A150</f>
        <v>https://doi.org/10.1145/2983927</v>
      </c>
      <c r="C150" s="28" t="b">
        <f t="shared" si="1"/>
        <v>1</v>
      </c>
      <c r="D150" s="28" t="str">
        <f>'INCEXC A'!B150</f>
        <v>10.1145/2983927</v>
      </c>
      <c r="E150" s="28" t="str">
        <f>'INCEXC A'!C150</f>
        <v>Effects of Speed</v>
      </c>
      <c r="F150" s="28" t="str">
        <f>'INCEXC A'!D150</f>
        <v>Kaiser</v>
      </c>
      <c r="G150" s="28" t="str">
        <f>'INCEXC B'!D150</f>
        <v>Taylor</v>
      </c>
      <c r="H150" s="28" t="str">
        <f>'INCEXC A'!E150</f>
        <v>Exclude</v>
      </c>
      <c r="I150" s="28" t="str">
        <f>'INCEXC B'!E150</f>
        <v>Exclude</v>
      </c>
      <c r="J150" s="28" t="b">
        <f t="shared" si="2"/>
        <v>1</v>
      </c>
      <c r="K150" s="28" t="b">
        <f t="shared" si="3"/>
        <v>0</v>
      </c>
      <c r="L150" s="28" t="str">
        <f>'INCEXC A'!L150</f>
        <v/>
      </c>
      <c r="M150" s="28" t="str">
        <f>'INCEXC B'!L150</f>
        <v/>
      </c>
      <c r="O150" s="28" t="str">
        <f>'INCEXC A'!M150</f>
        <v/>
      </c>
      <c r="P150" s="28" t="str">
        <f>'INCEXC A'!N150</f>
        <v/>
      </c>
      <c r="Q150" s="28" t="str">
        <f>'INCEXC A'!O150</f>
        <v/>
      </c>
      <c r="R150" s="28" t="str">
        <f>'INCEXC B'!O150</f>
        <v/>
      </c>
      <c r="S150" s="28" t="str">
        <f>'INCEXC A'!P150</f>
        <v/>
      </c>
      <c r="T150" s="28" t="str">
        <f>'INCEXC B'!P150</f>
        <v/>
      </c>
      <c r="U150" s="28" t="b">
        <f t="shared" si="4"/>
        <v>1</v>
      </c>
      <c r="V150" s="28" t="b">
        <f t="shared" si="5"/>
        <v>0</v>
      </c>
    </row>
    <row r="151" hidden="1">
      <c r="A151" s="35" t="str">
        <f>'INCEXC A'!A151</f>
        <v>https://doi.org/10.1145/2987550.2987579</v>
      </c>
      <c r="B151" s="35" t="str">
        <f>'INCEXC B'!A151</f>
        <v>https://doi.org/10.1145/2987550.2987579</v>
      </c>
      <c r="C151" s="28" t="b">
        <f t="shared" si="1"/>
        <v>1</v>
      </c>
      <c r="D151" s="28" t="str">
        <f>'INCEXC A'!B151</f>
        <v>10.1145/2987550.2987579</v>
      </c>
      <c r="E151" s="28" t="str">
        <f>'INCEXC A'!C151</f>
        <v>Towards Weakly Consistent Local Storage Systems</v>
      </c>
      <c r="F151" s="28" t="str">
        <f>'INCEXC A'!D151</f>
        <v>Kaiser</v>
      </c>
      <c r="G151" s="28" t="str">
        <f>'INCEXC B'!D151</f>
        <v>Danni</v>
      </c>
      <c r="H151" s="28" t="str">
        <f>'INCEXC A'!E151</f>
        <v>Exclude</v>
      </c>
      <c r="I151" s="28" t="str">
        <f>'INCEXC B'!E151</f>
        <v>Exclude</v>
      </c>
      <c r="J151" s="28" t="b">
        <f t="shared" si="2"/>
        <v>1</v>
      </c>
      <c r="K151" s="28" t="b">
        <f t="shared" si="3"/>
        <v>0</v>
      </c>
      <c r="L151" s="28" t="str">
        <f>'INCEXC A'!L151</f>
        <v/>
      </c>
      <c r="M151" s="28" t="str">
        <f>'INCEXC B'!L151</f>
        <v/>
      </c>
      <c r="O151" s="28" t="str">
        <f>'INCEXC A'!M151</f>
        <v/>
      </c>
      <c r="P151" s="28" t="str">
        <f>'INCEXC A'!N151</f>
        <v/>
      </c>
      <c r="Q151" s="28" t="str">
        <f>'INCEXC A'!O151</f>
        <v/>
      </c>
      <c r="R151" s="28" t="str">
        <f>'INCEXC B'!O151</f>
        <v/>
      </c>
      <c r="S151" s="28" t="str">
        <f>'INCEXC A'!P151</f>
        <v/>
      </c>
      <c r="T151" s="28" t="str">
        <f>'INCEXC B'!P151</f>
        <v/>
      </c>
      <c r="U151" s="28" t="b">
        <f t="shared" si="4"/>
        <v>1</v>
      </c>
      <c r="V151" s="28" t="b">
        <f t="shared" si="5"/>
        <v>0</v>
      </c>
    </row>
    <row r="152" hidden="1">
      <c r="A152" s="35" t="str">
        <f>'INCEXC A'!A152</f>
        <v>https://doi.org/10.1145/3007210</v>
      </c>
      <c r="B152" s="35" t="str">
        <f>'INCEXC B'!A152</f>
        <v>https://doi.org/10.1145/3007210</v>
      </c>
      <c r="C152" s="28" t="b">
        <f t="shared" si="1"/>
        <v>1</v>
      </c>
      <c r="D152" s="28" t="str">
        <f>'INCEXC A'!B152</f>
        <v>10.1145/3007210</v>
      </c>
      <c r="E152" s="28" t="str">
        <f>'INCEXC A'!C152</f>
        <v>Debating Technology for Dialogical Argument: Sensemaking</v>
      </c>
      <c r="F152" s="28" t="str">
        <f>'INCEXC A'!D152</f>
        <v>Jonathan</v>
      </c>
      <c r="G152" s="28" t="str">
        <f>'INCEXC B'!D152</f>
        <v>Taylor</v>
      </c>
      <c r="H152" s="28" t="str">
        <f>'INCEXC A'!E152</f>
        <v>Exclude</v>
      </c>
      <c r="I152" s="28" t="str">
        <f>'INCEXC B'!E152</f>
        <v>Exclude</v>
      </c>
      <c r="J152" s="28" t="b">
        <f t="shared" si="2"/>
        <v>1</v>
      </c>
      <c r="K152" s="28" t="b">
        <f t="shared" si="3"/>
        <v>0</v>
      </c>
      <c r="L152" s="28" t="str">
        <f>'INCEXC A'!L152</f>
        <v/>
      </c>
      <c r="M152" s="28" t="str">
        <f>'INCEXC B'!L152</f>
        <v/>
      </c>
      <c r="O152" s="28" t="str">
        <f>'INCEXC A'!M152</f>
        <v/>
      </c>
      <c r="P152" s="28" t="str">
        <f>'INCEXC A'!N152</f>
        <v/>
      </c>
      <c r="Q152" s="28" t="str">
        <f>'INCEXC A'!O152</f>
        <v/>
      </c>
      <c r="R152" s="28" t="str">
        <f>'INCEXC B'!O152</f>
        <v/>
      </c>
      <c r="S152" s="28" t="str">
        <f>'INCEXC A'!P152</f>
        <v/>
      </c>
      <c r="T152" s="28" t="str">
        <f>'INCEXC B'!P152</f>
        <v/>
      </c>
      <c r="U152" s="28" t="b">
        <f t="shared" si="4"/>
        <v>1</v>
      </c>
      <c r="V152" s="28" t="b">
        <f t="shared" si="5"/>
        <v>0</v>
      </c>
    </row>
    <row r="153" hidden="1">
      <c r="A153" s="35" t="str">
        <f>'INCEXC A'!A153</f>
        <v>https://doi.org/10.1145/3033273</v>
      </c>
      <c r="B153" s="35" t="str">
        <f>'INCEXC B'!A153</f>
        <v>https://doi.org/10.1145/3033273</v>
      </c>
      <c r="C153" s="28" t="b">
        <f t="shared" si="1"/>
        <v>1</v>
      </c>
      <c r="D153" s="28" t="str">
        <f>'INCEXC A'!B153</f>
        <v>10.1145/3033273</v>
      </c>
      <c r="E153" s="28" t="str">
        <f>'INCEXC A'!C153</f>
        <v>WiscKey: Separating Keys from Values in SSD-Conscious Storage</v>
      </c>
      <c r="F153" s="28" t="str">
        <f>'INCEXC A'!D153</f>
        <v>Marilyn</v>
      </c>
      <c r="G153" s="28" t="str">
        <f>'INCEXC B'!D153</f>
        <v>Danni</v>
      </c>
      <c r="H153" s="28" t="str">
        <f>'INCEXC A'!E153</f>
        <v>Exclude</v>
      </c>
      <c r="I153" s="28" t="str">
        <f>'INCEXC B'!E153</f>
        <v>Exclude</v>
      </c>
      <c r="J153" s="28" t="b">
        <f t="shared" si="2"/>
        <v>1</v>
      </c>
      <c r="K153" s="28" t="b">
        <f t="shared" si="3"/>
        <v>0</v>
      </c>
      <c r="L153" s="28" t="str">
        <f>'INCEXC A'!L153</f>
        <v/>
      </c>
      <c r="M153" s="28" t="str">
        <f>'INCEXC B'!L153</f>
        <v/>
      </c>
      <c r="O153" s="28" t="str">
        <f>'INCEXC A'!M153</f>
        <v/>
      </c>
      <c r="P153" s="28" t="str">
        <f>'INCEXC A'!N153</f>
        <v/>
      </c>
      <c r="Q153" s="28" t="str">
        <f>'INCEXC A'!O153</f>
        <v/>
      </c>
      <c r="R153" s="28" t="str">
        <f>'INCEXC B'!O153</f>
        <v/>
      </c>
      <c r="S153" s="28" t="str">
        <f>'INCEXC A'!P153</f>
        <v/>
      </c>
      <c r="T153" s="28" t="str">
        <f>'INCEXC B'!P153</f>
        <v/>
      </c>
      <c r="U153" s="28" t="b">
        <f t="shared" si="4"/>
        <v>1</v>
      </c>
      <c r="V153" s="28" t="b">
        <f t="shared" si="5"/>
        <v>0</v>
      </c>
    </row>
    <row r="154" hidden="1">
      <c r="A154" s="35" t="str">
        <f>'INCEXC A'!A154</f>
        <v>https://doi.org/10.1145/3041960</v>
      </c>
      <c r="B154" s="35" t="str">
        <f>'INCEXC B'!A154</f>
        <v>https://doi.org/10.1145/3041960</v>
      </c>
      <c r="C154" s="28" t="b">
        <f t="shared" si="1"/>
        <v>1</v>
      </c>
      <c r="D154" s="28" t="str">
        <f>'INCEXC A'!B154</f>
        <v>10.1145/3041960</v>
      </c>
      <c r="E154" s="28" t="str">
        <f>'INCEXC A'!C154</f>
        <v>Smart Computing and Sensing Technologies for Animal Welfare: A Systematic Review</v>
      </c>
      <c r="F154" s="28" t="str">
        <f>'INCEXC A'!D154</f>
        <v>Jonathan</v>
      </c>
      <c r="G154" s="28" t="str">
        <f>'INCEXC B'!D154</f>
        <v>Danni</v>
      </c>
      <c r="H154" s="28" t="str">
        <f>'INCEXC A'!E154</f>
        <v>Exclude</v>
      </c>
      <c r="I154" s="28" t="str">
        <f>'INCEXC B'!E154</f>
        <v>Exclude</v>
      </c>
      <c r="J154" s="28" t="b">
        <f t="shared" si="2"/>
        <v>1</v>
      </c>
      <c r="K154" s="28" t="b">
        <f t="shared" si="3"/>
        <v>0</v>
      </c>
      <c r="L154" s="28" t="str">
        <f>'INCEXC A'!L154</f>
        <v/>
      </c>
      <c r="M154" s="28" t="str">
        <f>'INCEXC B'!L154</f>
        <v/>
      </c>
      <c r="O154" s="28" t="str">
        <f>'INCEXC A'!M154</f>
        <v/>
      </c>
      <c r="P154" s="28" t="str">
        <f>'INCEXC A'!N154</f>
        <v/>
      </c>
      <c r="Q154" s="28" t="str">
        <f>'INCEXC A'!O154</f>
        <v/>
      </c>
      <c r="R154" s="28" t="str">
        <f>'INCEXC B'!O154</f>
        <v/>
      </c>
      <c r="S154" s="28" t="str">
        <f>'INCEXC A'!P154</f>
        <v/>
      </c>
      <c r="T154" s="28" t="str">
        <f>'INCEXC B'!P154</f>
        <v/>
      </c>
      <c r="U154" s="28" t="b">
        <f t="shared" si="4"/>
        <v>1</v>
      </c>
      <c r="V154" s="28" t="b">
        <f t="shared" si="5"/>
        <v>0</v>
      </c>
    </row>
    <row r="155" hidden="1">
      <c r="A155" s="35" t="str">
        <f>'INCEXC A'!A155</f>
        <v>https://doi.org/10.1145/3056662.3056667</v>
      </c>
      <c r="B155" s="35" t="str">
        <f>'INCEXC B'!A155</f>
        <v>https://doi.org/10.1145/3056662.3056667</v>
      </c>
      <c r="C155" s="28" t="b">
        <f t="shared" si="1"/>
        <v>1</v>
      </c>
      <c r="D155" s="28" t="str">
        <f>'INCEXC A'!B155</f>
        <v>10.1145/3056662.3056667</v>
      </c>
      <c r="E155" s="28" t="str">
        <f>'INCEXC A'!C155</f>
        <v>Performance and energy efficiency of big data systems: characterization</v>
      </c>
      <c r="F155" s="28" t="str">
        <f>'INCEXC A'!D155</f>
        <v>Kaiser</v>
      </c>
      <c r="G155" s="28" t="str">
        <f>'INCEXC B'!D155</f>
        <v>Ceren</v>
      </c>
      <c r="H155" s="28" t="str">
        <f>'INCEXC A'!E155</f>
        <v>Exclude</v>
      </c>
      <c r="I155" s="28" t="str">
        <f>'INCEXC B'!E155</f>
        <v>Exclude</v>
      </c>
      <c r="J155" s="28" t="b">
        <f t="shared" si="2"/>
        <v>1</v>
      </c>
      <c r="K155" s="28" t="b">
        <f t="shared" si="3"/>
        <v>0</v>
      </c>
      <c r="L155" s="28" t="str">
        <f>'INCEXC A'!L155</f>
        <v/>
      </c>
      <c r="M155" s="28" t="str">
        <f>'INCEXC B'!L155</f>
        <v/>
      </c>
      <c r="O155" s="28" t="str">
        <f>'INCEXC A'!M155</f>
        <v/>
      </c>
      <c r="P155" s="28" t="str">
        <f>'INCEXC A'!N155</f>
        <v/>
      </c>
      <c r="Q155" s="28" t="str">
        <f>'INCEXC A'!O155</f>
        <v/>
      </c>
      <c r="R155" s="28" t="str">
        <f>'INCEXC B'!O155</f>
        <v/>
      </c>
      <c r="S155" s="28" t="str">
        <f>'INCEXC A'!P155</f>
        <v/>
      </c>
      <c r="T155" s="28" t="str">
        <f>'INCEXC B'!P155</f>
        <v/>
      </c>
      <c r="U155" s="28" t="b">
        <f t="shared" si="4"/>
        <v>1</v>
      </c>
      <c r="V155" s="28" t="b">
        <f t="shared" si="5"/>
        <v>0</v>
      </c>
    </row>
    <row r="156" hidden="1">
      <c r="A156" s="35" t="str">
        <f>'INCEXC A'!A156</f>
        <v>https://doi.org/10.1145/3078468.3078471</v>
      </c>
      <c r="B156" s="35" t="str">
        <f>'INCEXC B'!A156</f>
        <v>https://doi.org/10.1145/3078468.3078471</v>
      </c>
      <c r="C156" s="28" t="b">
        <f t="shared" si="1"/>
        <v>1</v>
      </c>
      <c r="D156" s="28" t="str">
        <f>'INCEXC A'!B156</f>
        <v>10.1145/3078468.3078471</v>
      </c>
      <c r="E156" s="28" t="str">
        <f>'INCEXC A'!C156</f>
        <v>Freewrite: creating (almost) zero-cost writes to SSD in applications</v>
      </c>
      <c r="F156" s="28" t="str">
        <f>'INCEXC A'!D156</f>
        <v>Kaiser</v>
      </c>
      <c r="G156" s="28" t="str">
        <f>'INCEXC B'!D156</f>
        <v>Taylor</v>
      </c>
      <c r="H156" s="28" t="str">
        <f>'INCEXC A'!E156</f>
        <v>Exclude</v>
      </c>
      <c r="I156" s="28" t="str">
        <f>'INCEXC B'!E156</f>
        <v>Exclude</v>
      </c>
      <c r="J156" s="28" t="b">
        <f t="shared" si="2"/>
        <v>1</v>
      </c>
      <c r="K156" s="28" t="b">
        <f t="shared" si="3"/>
        <v>0</v>
      </c>
      <c r="L156" s="28" t="str">
        <f>'INCEXC A'!L156</f>
        <v/>
      </c>
      <c r="M156" s="28" t="str">
        <f>'INCEXC B'!L156</f>
        <v/>
      </c>
      <c r="O156" s="28" t="str">
        <f>'INCEXC A'!M156</f>
        <v/>
      </c>
      <c r="P156" s="28" t="str">
        <f>'INCEXC A'!N156</f>
        <v/>
      </c>
      <c r="Q156" s="28" t="str">
        <f>'INCEXC A'!O156</f>
        <v/>
      </c>
      <c r="R156" s="28" t="str">
        <f>'INCEXC B'!O156</f>
        <v/>
      </c>
      <c r="S156" s="28" t="str">
        <f>'INCEXC A'!P156</f>
        <v/>
      </c>
      <c r="T156" s="28" t="str">
        <f>'INCEXC B'!P156</f>
        <v/>
      </c>
      <c r="U156" s="28" t="b">
        <f t="shared" si="4"/>
        <v>1</v>
      </c>
      <c r="V156" s="28" t="b">
        <f t="shared" si="5"/>
        <v>0</v>
      </c>
    </row>
    <row r="157" hidden="1">
      <c r="A157" s="35" t="str">
        <f>'INCEXC A'!A157</f>
        <v>https://doi.org/10.1145/3085574</v>
      </c>
      <c r="B157" s="35" t="str">
        <f>'INCEXC B'!A157</f>
        <v>https://doi.org/10.1145/3085574</v>
      </c>
      <c r="C157" s="28" t="b">
        <f t="shared" si="1"/>
        <v>1</v>
      </c>
      <c r="D157" s="28" t="str">
        <f>'INCEXC A'!B157</f>
        <v>10.1145/3085574</v>
      </c>
      <c r="E157" s="28" t="str">
        <f>'INCEXC A'!C157</f>
        <v>How to choose a conference</v>
      </c>
      <c r="F157" s="28" t="str">
        <f>'INCEXC A'!D157</f>
        <v>Marilyn</v>
      </c>
      <c r="G157" s="28" t="str">
        <f>'INCEXC B'!D157</f>
        <v>Ceren</v>
      </c>
      <c r="H157" s="28" t="str">
        <f>'INCEXC A'!E157</f>
        <v>Exclude</v>
      </c>
      <c r="I157" s="28" t="str">
        <f>'INCEXC B'!E157</f>
        <v>Exclude</v>
      </c>
      <c r="J157" s="28" t="b">
        <f t="shared" si="2"/>
        <v>1</v>
      </c>
      <c r="K157" s="28" t="b">
        <f t="shared" si="3"/>
        <v>0</v>
      </c>
      <c r="L157" s="28" t="str">
        <f>'INCEXC A'!L157</f>
        <v/>
      </c>
      <c r="M157" s="28" t="str">
        <f>'INCEXC B'!L157</f>
        <v/>
      </c>
      <c r="O157" s="28" t="str">
        <f>'INCEXC A'!M157</f>
        <v/>
      </c>
      <c r="P157" s="28" t="str">
        <f>'INCEXC A'!N157</f>
        <v/>
      </c>
      <c r="Q157" s="28" t="str">
        <f>'INCEXC A'!O157</f>
        <v/>
      </c>
      <c r="R157" s="28" t="str">
        <f>'INCEXC B'!O157</f>
        <v/>
      </c>
      <c r="S157" s="28" t="str">
        <f>'INCEXC A'!P157</f>
        <v/>
      </c>
      <c r="T157" s="28" t="str">
        <f>'INCEXC B'!P157</f>
        <v/>
      </c>
      <c r="U157" s="28" t="b">
        <f t="shared" si="4"/>
        <v>1</v>
      </c>
      <c r="V157" s="28" t="b">
        <f t="shared" si="5"/>
        <v>0</v>
      </c>
    </row>
    <row r="158" hidden="1">
      <c r="A158" s="35" t="str">
        <f>'INCEXC A'!A158</f>
        <v>https://doi.org/10.1145/309831.309929</v>
      </c>
      <c r="B158" s="35" t="str">
        <f>'INCEXC B'!A158</f>
        <v>https://doi.org/10.1145/309831.309929</v>
      </c>
      <c r="C158" s="28" t="b">
        <f t="shared" si="1"/>
        <v>1</v>
      </c>
      <c r="D158" s="28" t="str">
        <f>'INCEXC A'!B158</f>
        <v>10.1145/309831.309929</v>
      </c>
      <c r="E158" s="28" t="str">
        <f>'INCEXC A'!C158</f>
        <v>Shifted normal forms of polynomial matrices</v>
      </c>
      <c r="F158" s="28" t="str">
        <f>'INCEXC A'!D158</f>
        <v>Marilyn</v>
      </c>
      <c r="G158" s="28" t="str">
        <f>'INCEXC B'!D158</f>
        <v>Taylor</v>
      </c>
      <c r="H158" s="28" t="str">
        <f>'INCEXC A'!E158</f>
        <v>Exclude</v>
      </c>
      <c r="I158" s="28" t="str">
        <f>'INCEXC B'!E158</f>
        <v>Exclude</v>
      </c>
      <c r="J158" s="28" t="b">
        <f t="shared" si="2"/>
        <v>1</v>
      </c>
      <c r="K158" s="28" t="b">
        <f t="shared" si="3"/>
        <v>0</v>
      </c>
      <c r="L158" s="28" t="str">
        <f>'INCEXC A'!L158</f>
        <v/>
      </c>
      <c r="M158" s="28" t="str">
        <f>'INCEXC B'!L158</f>
        <v/>
      </c>
      <c r="O158" s="28" t="str">
        <f>'INCEXC A'!M158</f>
        <v/>
      </c>
      <c r="P158" s="28" t="str">
        <f>'INCEXC A'!N158</f>
        <v/>
      </c>
      <c r="Q158" s="28" t="str">
        <f>'INCEXC A'!O158</f>
        <v/>
      </c>
      <c r="R158" s="28" t="str">
        <f>'INCEXC B'!O158</f>
        <v/>
      </c>
      <c r="S158" s="28" t="str">
        <f>'INCEXC A'!P158</f>
        <v/>
      </c>
      <c r="T158" s="28" t="str">
        <f>'INCEXC B'!P158</f>
        <v/>
      </c>
      <c r="U158" s="28" t="b">
        <f t="shared" si="4"/>
        <v>1</v>
      </c>
      <c r="V158" s="28" t="b">
        <f t="shared" si="5"/>
        <v>0</v>
      </c>
    </row>
    <row r="159" hidden="1">
      <c r="A159" s="35" t="str">
        <f>'INCEXC A'!A159</f>
        <v>https://doi.org/10.1145/3126594.3126640</v>
      </c>
      <c r="B159" s="35" t="str">
        <f>'INCEXC B'!A159</f>
        <v>https://doi.org/10.1145/3126594.3126640</v>
      </c>
      <c r="C159" s="28" t="b">
        <f t="shared" si="1"/>
        <v>1</v>
      </c>
      <c r="D159" s="28" t="str">
        <f>'INCEXC A'!B159</f>
        <v>10.1145/3126594.3126640</v>
      </c>
      <c r="E159" s="28" t="str">
        <f>'INCEXC A'!C159</f>
        <v>More than a Feeling: The MiFace Framework for Defining Facial Communication Mappings</v>
      </c>
      <c r="F159" s="28" t="str">
        <f>'INCEXC A'!D159</f>
        <v>Kaiser</v>
      </c>
      <c r="G159" s="28" t="str">
        <f>'INCEXC B'!D159</f>
        <v>Taylor</v>
      </c>
      <c r="H159" s="28" t="str">
        <f>'INCEXC A'!E159</f>
        <v>Exclude</v>
      </c>
      <c r="I159" s="28" t="str">
        <f>'INCEXC B'!E159</f>
        <v>Exclude</v>
      </c>
      <c r="J159" s="28" t="b">
        <f t="shared" si="2"/>
        <v>1</v>
      </c>
      <c r="K159" s="28" t="b">
        <f t="shared" si="3"/>
        <v>0</v>
      </c>
      <c r="L159" s="28" t="str">
        <f>'INCEXC A'!L159</f>
        <v/>
      </c>
      <c r="M159" s="28" t="str">
        <f>'INCEXC B'!L159</f>
        <v/>
      </c>
      <c r="O159" s="28" t="str">
        <f>'INCEXC A'!M159</f>
        <v/>
      </c>
      <c r="P159" s="28" t="str">
        <f>'INCEXC A'!N159</f>
        <v/>
      </c>
      <c r="Q159" s="28" t="str">
        <f>'INCEXC A'!O159</f>
        <v/>
      </c>
      <c r="R159" s="28" t="str">
        <f>'INCEXC B'!O159</f>
        <v/>
      </c>
      <c r="S159" s="28" t="str">
        <f>'INCEXC A'!P159</f>
        <v/>
      </c>
      <c r="T159" s="28" t="str">
        <f>'INCEXC B'!P159</f>
        <v/>
      </c>
      <c r="U159" s="28" t="b">
        <f t="shared" si="4"/>
        <v>1</v>
      </c>
      <c r="V159" s="28" t="b">
        <f t="shared" si="5"/>
        <v>0</v>
      </c>
    </row>
    <row r="160" hidden="1">
      <c r="A160" s="35" t="str">
        <f>'INCEXC A'!A160</f>
        <v>https://doi.org/10.1145/3232162</v>
      </c>
      <c r="B160" s="35" t="str">
        <f>'INCEXC B'!A160</f>
        <v>https://doi.org/10.1145/3232162</v>
      </c>
      <c r="C160" s="28" t="b">
        <f t="shared" si="1"/>
        <v>1</v>
      </c>
      <c r="D160" s="28" t="str">
        <f>'INCEXC A'!B160</f>
        <v>10.1145/3232162</v>
      </c>
      <c r="E160" s="28" t="str">
        <f>'INCEXC A'!C160</f>
        <v>Scale-Out vs Scale-Up: A Study of ARM-based SoCs on Server-Class Workloads</v>
      </c>
      <c r="F160" s="28" t="str">
        <f>'INCEXC A'!D160</f>
        <v>Marilyn</v>
      </c>
      <c r="G160" s="28" t="str">
        <f>'INCEXC B'!D160</f>
        <v>Ceren</v>
      </c>
      <c r="H160" s="28" t="str">
        <f>'INCEXC A'!E160</f>
        <v>Exclude</v>
      </c>
      <c r="I160" s="28" t="str">
        <f>'INCEXC B'!E160</f>
        <v>Exclude</v>
      </c>
      <c r="J160" s="28" t="b">
        <f t="shared" si="2"/>
        <v>1</v>
      </c>
      <c r="K160" s="28" t="b">
        <f t="shared" si="3"/>
        <v>0</v>
      </c>
      <c r="L160" s="28" t="str">
        <f>'INCEXC A'!L160</f>
        <v/>
      </c>
      <c r="M160" s="28" t="str">
        <f>'INCEXC B'!L160</f>
        <v/>
      </c>
      <c r="O160" s="28" t="str">
        <f>'INCEXC A'!M160</f>
        <v/>
      </c>
      <c r="P160" s="28" t="str">
        <f>'INCEXC A'!N160</f>
        <v/>
      </c>
      <c r="Q160" s="28" t="str">
        <f>'INCEXC A'!O160</f>
        <v/>
      </c>
      <c r="R160" s="28" t="str">
        <f>'INCEXC B'!O160</f>
        <v/>
      </c>
      <c r="S160" s="28" t="str">
        <f>'INCEXC A'!P160</f>
        <v/>
      </c>
      <c r="T160" s="28" t="str">
        <f>'INCEXC B'!P160</f>
        <v/>
      </c>
      <c r="U160" s="28" t="b">
        <f t="shared" si="4"/>
        <v>1</v>
      </c>
      <c r="V160" s="28" t="b">
        <f t="shared" si="5"/>
        <v>0</v>
      </c>
    </row>
    <row r="161" hidden="1">
      <c r="A161" s="35" t="str">
        <f>'INCEXC A'!A161</f>
        <v>https://doi.org/10.1145/3241038</v>
      </c>
      <c r="B161" s="35" t="str">
        <f>'INCEXC B'!A161</f>
        <v>https://doi.org/10.1145/3241038</v>
      </c>
      <c r="C161" s="28" t="b">
        <f t="shared" si="1"/>
        <v>1</v>
      </c>
      <c r="D161" s="28" t="str">
        <f>'INCEXC A'!B161</f>
        <v>10.1145/3241038</v>
      </c>
      <c r="E161" s="28" t="str">
        <f>'INCEXC A'!C161</f>
        <v>A Taxonomy and Future Directions for Sustainable Cloud Computing: 360 Degree View</v>
      </c>
      <c r="F161" s="28" t="str">
        <f>'INCEXC A'!D161</f>
        <v>Kaiser</v>
      </c>
      <c r="G161" s="28" t="str">
        <f>'INCEXC B'!D161</f>
        <v>Danni</v>
      </c>
      <c r="H161" s="28" t="str">
        <f>'INCEXC A'!E161</f>
        <v>Exclude</v>
      </c>
      <c r="I161" s="28" t="str">
        <f>'INCEXC B'!E161</f>
        <v>Exclude</v>
      </c>
      <c r="J161" s="28" t="b">
        <f t="shared" si="2"/>
        <v>1</v>
      </c>
      <c r="K161" s="28" t="b">
        <f t="shared" si="3"/>
        <v>0</v>
      </c>
      <c r="L161" s="28" t="str">
        <f>'INCEXC A'!L161</f>
        <v/>
      </c>
      <c r="M161" s="28" t="str">
        <f>'INCEXC B'!L161</f>
        <v/>
      </c>
      <c r="O161" s="28" t="str">
        <f>'INCEXC A'!M161</f>
        <v/>
      </c>
      <c r="P161" s="28" t="str">
        <f>'INCEXC A'!N161</f>
        <v/>
      </c>
      <c r="Q161" s="28" t="str">
        <f>'INCEXC A'!O161</f>
        <v/>
      </c>
      <c r="R161" s="28" t="str">
        <f>'INCEXC B'!O161</f>
        <v/>
      </c>
      <c r="S161" s="28" t="str">
        <f>'INCEXC A'!P161</f>
        <v/>
      </c>
      <c r="T161" s="28" t="str">
        <f>'INCEXC B'!P161</f>
        <v/>
      </c>
      <c r="U161" s="28" t="b">
        <f t="shared" si="4"/>
        <v>1</v>
      </c>
      <c r="V161" s="28" t="b">
        <f t="shared" si="5"/>
        <v>0</v>
      </c>
    </row>
    <row r="162" hidden="1">
      <c r="A162" s="35" t="str">
        <f>'INCEXC A'!A162</f>
        <v>https://doi.org/10.1145/3267809.3267847</v>
      </c>
      <c r="B162" s="35" t="str">
        <f>'INCEXC B'!A162</f>
        <v>https://doi.org/10.1145/3267809.3267847</v>
      </c>
      <c r="C162" s="28" t="b">
        <f t="shared" si="1"/>
        <v>1</v>
      </c>
      <c r="D162" s="28" t="str">
        <f>'INCEXC A'!B162</f>
        <v>10.1145/3267809.3267847</v>
      </c>
      <c r="E162" s="28" t="str">
        <f>'INCEXC A'!C162</f>
        <v>Cascade Mapping: Optimizing Memory Efficiency for Flash-based Key-value Caching</v>
      </c>
      <c r="F162" s="28" t="str">
        <f>'INCEXC A'!D162</f>
        <v>Jonathan</v>
      </c>
      <c r="G162" s="28" t="str">
        <f>'INCEXC B'!D162</f>
        <v>Taylor</v>
      </c>
      <c r="H162" s="28" t="str">
        <f>'INCEXC A'!E162</f>
        <v>Exclude</v>
      </c>
      <c r="I162" s="28" t="str">
        <f>'INCEXC B'!E162</f>
        <v>Exclude</v>
      </c>
      <c r="J162" s="28" t="b">
        <f t="shared" si="2"/>
        <v>1</v>
      </c>
      <c r="K162" s="28" t="b">
        <f t="shared" si="3"/>
        <v>0</v>
      </c>
      <c r="L162" s="28" t="str">
        <f>'INCEXC A'!L162</f>
        <v/>
      </c>
      <c r="M162" s="28" t="str">
        <f>'INCEXC B'!L162</f>
        <v/>
      </c>
      <c r="O162" s="28" t="str">
        <f>'INCEXC A'!M162</f>
        <v/>
      </c>
      <c r="P162" s="28" t="str">
        <f>'INCEXC A'!N162</f>
        <v/>
      </c>
      <c r="Q162" s="28" t="str">
        <f>'INCEXC A'!O162</f>
        <v/>
      </c>
      <c r="R162" s="28" t="str">
        <f>'INCEXC B'!O162</f>
        <v/>
      </c>
      <c r="S162" s="28" t="str">
        <f>'INCEXC A'!P162</f>
        <v/>
      </c>
      <c r="T162" s="28" t="str">
        <f>'INCEXC B'!P162</f>
        <v/>
      </c>
      <c r="U162" s="28" t="b">
        <f t="shared" si="4"/>
        <v>1</v>
      </c>
      <c r="V162" s="28" t="b">
        <f t="shared" si="5"/>
        <v>0</v>
      </c>
    </row>
    <row r="163" hidden="1">
      <c r="A163" s="35" t="str">
        <f>'INCEXC A'!A163</f>
        <v>https://doi.org/10.1145/3273982.3273989</v>
      </c>
      <c r="B163" s="35" t="str">
        <f>'INCEXC B'!A163</f>
        <v>https://doi.org/10.1145/3273982.3273989</v>
      </c>
      <c r="C163" s="28" t="b">
        <f t="shared" si="1"/>
        <v>1</v>
      </c>
      <c r="D163" s="28" t="str">
        <f>'INCEXC A'!B163</f>
        <v>10.1145/3273982.3273989</v>
      </c>
      <c r="E163" s="28" t="str">
        <f>'INCEXC A'!C163</f>
        <v>Morpheus: Exploring the Potential of Near-Data Processing for Creating Application Objects in Heterogeneous Computing</v>
      </c>
      <c r="F163" s="28" t="str">
        <f>'INCEXC A'!D163</f>
        <v>Kaiser</v>
      </c>
      <c r="G163" s="28" t="str">
        <f>'INCEXC B'!D163</f>
        <v>Danni</v>
      </c>
      <c r="H163" s="28" t="str">
        <f>'INCEXC A'!E163</f>
        <v>Exclude</v>
      </c>
      <c r="I163" s="28" t="str">
        <f>'INCEXC B'!E163</f>
        <v>Exclude</v>
      </c>
      <c r="J163" s="28" t="b">
        <f t="shared" si="2"/>
        <v>1</v>
      </c>
      <c r="K163" s="28" t="b">
        <f t="shared" si="3"/>
        <v>0</v>
      </c>
      <c r="L163" s="28" t="str">
        <f>'INCEXC A'!L163</f>
        <v/>
      </c>
      <c r="M163" s="28" t="str">
        <f>'INCEXC B'!L163</f>
        <v/>
      </c>
      <c r="O163" s="28" t="str">
        <f>'INCEXC A'!M163</f>
        <v/>
      </c>
      <c r="P163" s="28" t="str">
        <f>'INCEXC A'!N163</f>
        <v/>
      </c>
      <c r="Q163" s="28" t="str">
        <f>'INCEXC A'!O163</f>
        <v/>
      </c>
      <c r="R163" s="28" t="str">
        <f>'INCEXC B'!O163</f>
        <v/>
      </c>
      <c r="S163" s="28" t="str">
        <f>'INCEXC A'!P163</f>
        <v/>
      </c>
      <c r="T163" s="28" t="str">
        <f>'INCEXC B'!P163</f>
        <v/>
      </c>
      <c r="U163" s="28" t="b">
        <f t="shared" si="4"/>
        <v>1</v>
      </c>
      <c r="V163" s="28" t="b">
        <f t="shared" si="5"/>
        <v>0</v>
      </c>
    </row>
    <row r="164" hidden="1">
      <c r="A164" s="35" t="str">
        <f>'INCEXC A'!A164</f>
        <v>https://doi.org/10.1145/3289604</v>
      </c>
      <c r="B164" s="35" t="str">
        <f>'INCEXC B'!A164</f>
        <v>https://doi.org/10.1145/3289604</v>
      </c>
      <c r="C164" s="28" t="b">
        <f t="shared" si="1"/>
        <v>1</v>
      </c>
      <c r="D164" s="28" t="str">
        <f>'INCEXC A'!B164</f>
        <v>10.1145/3289604</v>
      </c>
      <c r="E164" s="28" t="str">
        <f>'INCEXC A'!C164</f>
        <v>Leveraging Glocality for Fast Failure Recovery in Distributed RAM Storage</v>
      </c>
      <c r="F164" s="28" t="str">
        <f>'INCEXC A'!D164</f>
        <v>Marilyn</v>
      </c>
      <c r="G164" s="28" t="str">
        <f>'INCEXC B'!D164</f>
        <v>Danni</v>
      </c>
      <c r="H164" s="28" t="str">
        <f>'INCEXC A'!E164</f>
        <v>Exclude</v>
      </c>
      <c r="I164" s="28" t="str">
        <f>'INCEXC B'!E164</f>
        <v>Exclude</v>
      </c>
      <c r="J164" s="28" t="b">
        <f t="shared" si="2"/>
        <v>1</v>
      </c>
      <c r="K164" s="28" t="b">
        <f t="shared" si="3"/>
        <v>0</v>
      </c>
      <c r="L164" s="28" t="str">
        <f>'INCEXC A'!L164</f>
        <v/>
      </c>
      <c r="M164" s="28" t="str">
        <f>'INCEXC B'!L164</f>
        <v/>
      </c>
      <c r="O164" s="28" t="str">
        <f>'INCEXC A'!M164</f>
        <v/>
      </c>
      <c r="P164" s="28" t="str">
        <f>'INCEXC A'!N164</f>
        <v/>
      </c>
      <c r="Q164" s="28" t="str">
        <f>'INCEXC A'!O164</f>
        <v/>
      </c>
      <c r="R164" s="28" t="str">
        <f>'INCEXC B'!O164</f>
        <v/>
      </c>
      <c r="S164" s="28" t="str">
        <f>'INCEXC A'!P164</f>
        <v/>
      </c>
      <c r="T164" s="28" t="str">
        <f>'INCEXC B'!P164</f>
        <v/>
      </c>
      <c r="U164" s="28" t="b">
        <f t="shared" si="4"/>
        <v>1</v>
      </c>
      <c r="V164" s="28" t="b">
        <f t="shared" si="5"/>
        <v>0</v>
      </c>
    </row>
    <row r="165" hidden="1">
      <c r="A165" s="35" t="str">
        <f>'INCEXC A'!A165</f>
        <v>https://doi.org/10.1145/3290607.3312915</v>
      </c>
      <c r="B165" s="35" t="str">
        <f>'INCEXC B'!A165</f>
        <v>https://doi.org/10.1145/3290607.3312915</v>
      </c>
      <c r="C165" s="28" t="b">
        <f t="shared" si="1"/>
        <v>1</v>
      </c>
      <c r="D165" s="28" t="str">
        <f>'INCEXC A'!B165</f>
        <v>10.1145/3290607.3312915</v>
      </c>
      <c r="E165" s="28" t="str">
        <f>'INCEXC A'!C165</f>
        <v>It Sounds Like A Woman: Exploring Gender Stereotypes in South Korean Voice Assistants</v>
      </c>
      <c r="F165" s="28" t="str">
        <f>'INCEXC A'!D165</f>
        <v>Marilyn</v>
      </c>
      <c r="G165" s="28" t="str">
        <f>'INCEXC B'!D165</f>
        <v>Taylor</v>
      </c>
      <c r="H165" s="28" t="str">
        <f>'INCEXC A'!E165</f>
        <v>Exclude</v>
      </c>
      <c r="I165" s="28" t="str">
        <f>'INCEXC B'!E165</f>
        <v>Exclude</v>
      </c>
      <c r="J165" s="28" t="b">
        <f t="shared" si="2"/>
        <v>1</v>
      </c>
      <c r="K165" s="28" t="b">
        <f t="shared" si="3"/>
        <v>0</v>
      </c>
      <c r="L165" s="28" t="str">
        <f>'INCEXC A'!L165</f>
        <v/>
      </c>
      <c r="M165" s="28" t="str">
        <f>'INCEXC B'!L165</f>
        <v/>
      </c>
      <c r="O165" s="28" t="str">
        <f>'INCEXC A'!M165</f>
        <v/>
      </c>
      <c r="P165" s="28" t="str">
        <f>'INCEXC A'!N165</f>
        <v/>
      </c>
      <c r="Q165" s="28" t="str">
        <f>'INCEXC A'!O165</f>
        <v/>
      </c>
      <c r="R165" s="28" t="str">
        <f>'INCEXC B'!O165</f>
        <v/>
      </c>
      <c r="S165" s="28" t="str">
        <f>'INCEXC A'!P165</f>
        <v/>
      </c>
      <c r="T165" s="28" t="str">
        <f>'INCEXC B'!P165</f>
        <v/>
      </c>
      <c r="U165" s="28" t="b">
        <f t="shared" si="4"/>
        <v>1</v>
      </c>
      <c r="V165" s="28" t="b">
        <f t="shared" si="5"/>
        <v>0</v>
      </c>
    </row>
    <row r="166" hidden="1">
      <c r="A166" s="35" t="str">
        <f>'INCEXC A'!A166</f>
        <v>https://doi.org/10.1145/3297858.3304022</v>
      </c>
      <c r="B166" s="35" t="str">
        <f>'INCEXC B'!A166</f>
        <v>https://doi.org/10.1145/3297858.3304022</v>
      </c>
      <c r="C166" s="28" t="b">
        <f t="shared" si="1"/>
        <v>1</v>
      </c>
      <c r="D166" s="28" t="str">
        <f>'INCEXC A'!B166</f>
        <v>10.1145/3297858.3304022</v>
      </c>
      <c r="E166" s="28" t="str">
        <f>'INCEXC A'!C166</f>
        <v>LightStore: Software-defined Network-attached Key-value Drives</v>
      </c>
      <c r="F166" s="28" t="str">
        <f>'INCEXC A'!D166</f>
        <v>Kaiser</v>
      </c>
      <c r="G166" s="28" t="str">
        <f>'INCEXC B'!D166</f>
        <v>Danni</v>
      </c>
      <c r="H166" s="28" t="str">
        <f>'INCEXC A'!E166</f>
        <v>Exclude</v>
      </c>
      <c r="I166" s="28" t="str">
        <f>'INCEXC B'!E166</f>
        <v>Exclude</v>
      </c>
      <c r="J166" s="28" t="b">
        <f t="shared" si="2"/>
        <v>1</v>
      </c>
      <c r="K166" s="28" t="b">
        <f t="shared" si="3"/>
        <v>0</v>
      </c>
      <c r="L166" s="28" t="str">
        <f>'INCEXC A'!L166</f>
        <v/>
      </c>
      <c r="M166" s="28" t="str">
        <f>'INCEXC B'!L166</f>
        <v/>
      </c>
      <c r="O166" s="28" t="str">
        <f>'INCEXC A'!M166</f>
        <v/>
      </c>
      <c r="P166" s="28" t="str">
        <f>'INCEXC A'!N166</f>
        <v/>
      </c>
      <c r="Q166" s="28" t="str">
        <f>'INCEXC A'!O166</f>
        <v/>
      </c>
      <c r="R166" s="28" t="str">
        <f>'INCEXC B'!O166</f>
        <v/>
      </c>
      <c r="S166" s="28" t="str">
        <f>'INCEXC A'!P166</f>
        <v/>
      </c>
      <c r="T166" s="28" t="str">
        <f>'INCEXC B'!P166</f>
        <v/>
      </c>
      <c r="U166" s="28" t="b">
        <f t="shared" si="4"/>
        <v>1</v>
      </c>
      <c r="V166" s="28" t="b">
        <f t="shared" si="5"/>
        <v>0</v>
      </c>
    </row>
    <row r="167" hidden="1">
      <c r="A167" s="35" t="str">
        <f>'INCEXC A'!A167</f>
        <v>https://doi.org/10.1145/3308558.3313400</v>
      </c>
      <c r="B167" s="35" t="str">
        <f>'INCEXC B'!A167</f>
        <v>https://doi.org/10.1145/3308558.3313400</v>
      </c>
      <c r="C167" s="28" t="b">
        <f t="shared" si="1"/>
        <v>1</v>
      </c>
      <c r="D167" s="28" t="str">
        <f>'INCEXC A'!B167</f>
        <v>10.1145/3308558.3313400</v>
      </c>
      <c r="E167" s="28" t="str">
        <f>'INCEXC A'!C167</f>
        <v>Exploring Perceived Emotional Intelligence of Personality-Driven Virtual Agents in Handling User Challenges</v>
      </c>
      <c r="F167" s="28" t="str">
        <f>'INCEXC A'!D167</f>
        <v>Kaiser</v>
      </c>
      <c r="G167" s="28" t="str">
        <f>'INCEXC B'!D167</f>
        <v>Ceren</v>
      </c>
      <c r="H167" s="28" t="str">
        <f>'INCEXC A'!E167</f>
        <v>Exclude</v>
      </c>
      <c r="I167" s="28" t="str">
        <f>'INCEXC B'!E167</f>
        <v>Exclude</v>
      </c>
      <c r="J167" s="28" t="b">
        <f t="shared" si="2"/>
        <v>1</v>
      </c>
      <c r="K167" s="28" t="b">
        <f t="shared" si="3"/>
        <v>0</v>
      </c>
      <c r="L167" s="28" t="str">
        <f>'INCEXC A'!L167</f>
        <v/>
      </c>
      <c r="M167" s="28" t="str">
        <f>'INCEXC B'!L167</f>
        <v/>
      </c>
      <c r="O167" s="28" t="str">
        <f>'INCEXC A'!M167</f>
        <v/>
      </c>
      <c r="P167" s="28" t="str">
        <f>'INCEXC A'!N167</f>
        <v/>
      </c>
      <c r="Q167" s="28" t="str">
        <f>'INCEXC A'!O167</f>
        <v/>
      </c>
      <c r="R167" s="28" t="str">
        <f>'INCEXC B'!O167</f>
        <v/>
      </c>
      <c r="S167" s="28" t="str">
        <f>'INCEXC A'!P167</f>
        <v/>
      </c>
      <c r="T167" s="28" t="str">
        <f>'INCEXC B'!P167</f>
        <v/>
      </c>
      <c r="U167" s="28" t="b">
        <f t="shared" si="4"/>
        <v>1</v>
      </c>
      <c r="V167" s="28" t="b">
        <f t="shared" si="5"/>
        <v>0</v>
      </c>
    </row>
    <row r="168" hidden="1">
      <c r="A168" s="35" t="str">
        <f>'INCEXC A'!A168</f>
        <v>https://doi.org/10.1145/3313831.3376612</v>
      </c>
      <c r="B168" s="35" t="str">
        <f>'INCEXC B'!A168</f>
        <v>https://doi.org/10.1145/3313831.3376612</v>
      </c>
      <c r="C168" s="28" t="b">
        <f t="shared" si="1"/>
        <v>1</v>
      </c>
      <c r="D168" s="28" t="str">
        <f>'INCEXC A'!B168</f>
        <v>10.1145/3313831.3376612</v>
      </c>
      <c r="E168" s="28" t="str">
        <f>'INCEXC A'!C168</f>
        <v>The Government's Dividend: Complex Perceptions of Social Media Misinformation in China</v>
      </c>
      <c r="F168" s="28" t="str">
        <f>'INCEXC A'!D168</f>
        <v>Marilyn</v>
      </c>
      <c r="G168" s="28" t="str">
        <f>'INCEXC B'!D168</f>
        <v>Taylor</v>
      </c>
      <c r="H168" s="28" t="str">
        <f>'INCEXC A'!E168</f>
        <v>Exclude</v>
      </c>
      <c r="I168" s="28" t="str">
        <f>'INCEXC B'!E168</f>
        <v>Exclude</v>
      </c>
      <c r="J168" s="28" t="b">
        <f t="shared" si="2"/>
        <v>1</v>
      </c>
      <c r="K168" s="28" t="b">
        <f t="shared" si="3"/>
        <v>0</v>
      </c>
      <c r="L168" s="28" t="str">
        <f>'INCEXC A'!L168</f>
        <v/>
      </c>
      <c r="M168" s="28" t="str">
        <f>'INCEXC B'!L168</f>
        <v/>
      </c>
      <c r="O168" s="28" t="str">
        <f>'INCEXC A'!M168</f>
        <v/>
      </c>
      <c r="P168" s="28" t="str">
        <f>'INCEXC A'!N168</f>
        <v/>
      </c>
      <c r="Q168" s="28" t="str">
        <f>'INCEXC A'!O168</f>
        <v/>
      </c>
      <c r="R168" s="28" t="str">
        <f>'INCEXC B'!O168</f>
        <v/>
      </c>
      <c r="S168" s="28" t="str">
        <f>'INCEXC A'!P168</f>
        <v/>
      </c>
      <c r="T168" s="28" t="str">
        <f>'INCEXC B'!P168</f>
        <v/>
      </c>
      <c r="U168" s="28" t="b">
        <f t="shared" si="4"/>
        <v>1</v>
      </c>
      <c r="V168" s="28" t="b">
        <f t="shared" si="5"/>
        <v>0</v>
      </c>
    </row>
    <row r="169" hidden="1">
      <c r="A169" s="35" t="str">
        <f>'INCEXC A'!A169</f>
        <v>https://doi.org/10.1145/332040.332406</v>
      </c>
      <c r="B169" s="35" t="str">
        <f>'INCEXC B'!A169</f>
        <v>https://doi.org/10.1145/332040.332406</v>
      </c>
      <c r="C169" s="28" t="b">
        <f t="shared" si="1"/>
        <v>1</v>
      </c>
      <c r="D169" s="28" t="str">
        <f>'INCEXC A'!B169</f>
        <v>10.1145/332040.332406</v>
      </c>
      <c r="E169" s="28" t="str">
        <f>'INCEXC A'!C169</f>
        <v>The effects of animated characters on anxiety</v>
      </c>
      <c r="F169" s="28" t="str">
        <f>'INCEXC A'!D169</f>
        <v>Marilyn</v>
      </c>
      <c r="G169" s="28" t="str">
        <f>'INCEXC B'!D169</f>
        <v>Taylor</v>
      </c>
      <c r="H169" s="28" t="str">
        <f>'INCEXC A'!E169</f>
        <v>Exclude</v>
      </c>
      <c r="I169" s="28" t="str">
        <f>'INCEXC B'!E169</f>
        <v>Exclude</v>
      </c>
      <c r="J169" s="28" t="b">
        <f t="shared" si="2"/>
        <v>1</v>
      </c>
      <c r="K169" s="28" t="b">
        <f t="shared" si="3"/>
        <v>0</v>
      </c>
      <c r="L169" s="28" t="str">
        <f>'INCEXC A'!L169</f>
        <v/>
      </c>
      <c r="M169" s="28" t="str">
        <f>'INCEXC B'!L169</f>
        <v/>
      </c>
      <c r="O169" s="28" t="str">
        <f>'INCEXC A'!M169</f>
        <v/>
      </c>
      <c r="P169" s="28" t="str">
        <f>'INCEXC A'!N169</f>
        <v/>
      </c>
      <c r="Q169" s="28" t="str">
        <f>'INCEXC A'!O169</f>
        <v/>
      </c>
      <c r="R169" s="28" t="str">
        <f>'INCEXC B'!O169</f>
        <v/>
      </c>
      <c r="S169" s="28" t="str">
        <f>'INCEXC A'!P169</f>
        <v/>
      </c>
      <c r="T169" s="28" t="str">
        <f>'INCEXC B'!P169</f>
        <v/>
      </c>
      <c r="U169" s="28" t="b">
        <f t="shared" si="4"/>
        <v>1</v>
      </c>
      <c r="V169" s="28" t="b">
        <f t="shared" si="5"/>
        <v>0</v>
      </c>
    </row>
    <row r="170" hidden="1">
      <c r="A170" s="35" t="str">
        <f>'INCEXC A'!A170</f>
        <v>https://doi.org/10.1145/3330393.3330402</v>
      </c>
      <c r="B170" s="35" t="str">
        <f>'INCEXC B'!A170</f>
        <v>https://doi.org/10.1145/3330393.3330402</v>
      </c>
      <c r="C170" s="28" t="b">
        <f t="shared" si="1"/>
        <v>1</v>
      </c>
      <c r="D170" s="28" t="str">
        <f>'INCEXC A'!B170</f>
        <v>10.1145/3330393.3330402</v>
      </c>
      <c r="E170" s="28" t="str">
        <f>'INCEXC A'!C170</f>
        <v>A Biogeography-Based Optimization Algorithm for Criminisi Algorithm</v>
      </c>
      <c r="F170" s="28" t="str">
        <f>'INCEXC A'!D170</f>
        <v>Kaiser</v>
      </c>
      <c r="G170" s="28" t="str">
        <f>'INCEXC B'!D170</f>
        <v>Danni</v>
      </c>
      <c r="H170" s="28" t="str">
        <f>'INCEXC A'!E170</f>
        <v>Exclude</v>
      </c>
      <c r="I170" s="28" t="str">
        <f>'INCEXC B'!E170</f>
        <v>Exclude</v>
      </c>
      <c r="J170" s="28" t="b">
        <f t="shared" si="2"/>
        <v>1</v>
      </c>
      <c r="K170" s="28" t="b">
        <f t="shared" si="3"/>
        <v>0</v>
      </c>
      <c r="L170" s="28" t="str">
        <f>'INCEXC A'!L170</f>
        <v/>
      </c>
      <c r="M170" s="28" t="str">
        <f>'INCEXC B'!L170</f>
        <v/>
      </c>
      <c r="O170" s="28" t="str">
        <f>'INCEXC A'!M170</f>
        <v/>
      </c>
      <c r="P170" s="28" t="str">
        <f>'INCEXC A'!N170</f>
        <v/>
      </c>
      <c r="Q170" s="28" t="str">
        <f>'INCEXC A'!O170</f>
        <v/>
      </c>
      <c r="R170" s="28" t="str">
        <f>'INCEXC B'!O170</f>
        <v/>
      </c>
      <c r="S170" s="28" t="str">
        <f>'INCEXC A'!P170</f>
        <v/>
      </c>
      <c r="T170" s="28" t="str">
        <f>'INCEXC B'!P170</f>
        <v/>
      </c>
      <c r="U170" s="28" t="b">
        <f t="shared" si="4"/>
        <v>1</v>
      </c>
      <c r="V170" s="28" t="b">
        <f t="shared" si="5"/>
        <v>0</v>
      </c>
    </row>
    <row r="171" hidden="1">
      <c r="A171" s="35" t="str">
        <f>'INCEXC A'!A171</f>
        <v>https://doi.org/10.1145/333140.333146</v>
      </c>
      <c r="B171" s="35" t="str">
        <f>'INCEXC B'!A171</f>
        <v>https://doi.org/10.1145/333140.333146</v>
      </c>
      <c r="C171" s="28" t="b">
        <f t="shared" si="1"/>
        <v>1</v>
      </c>
      <c r="D171" s="28" t="str">
        <f>'INCEXC A'!B171</f>
        <v>10.1145/333140.333146</v>
      </c>
      <c r="E171" s="28" t="str">
        <f>'INCEXC A'!C171</f>
        <v>Networking on the network</v>
      </c>
      <c r="F171" s="28" t="str">
        <f>'INCEXC A'!D171</f>
        <v>Kaiser</v>
      </c>
      <c r="G171" s="28" t="str">
        <f>'INCEXC B'!D171</f>
        <v>Danni</v>
      </c>
      <c r="H171" s="28" t="str">
        <f>'INCEXC A'!E171</f>
        <v>Exclude</v>
      </c>
      <c r="I171" s="28" t="str">
        <f>'INCEXC B'!E171</f>
        <v>Exclude</v>
      </c>
      <c r="J171" s="28" t="b">
        <f t="shared" si="2"/>
        <v>1</v>
      </c>
      <c r="K171" s="28" t="b">
        <f t="shared" si="3"/>
        <v>0</v>
      </c>
      <c r="L171" s="28" t="str">
        <f>'INCEXC A'!L171</f>
        <v/>
      </c>
      <c r="M171" s="28" t="str">
        <f>'INCEXC B'!L171</f>
        <v/>
      </c>
      <c r="O171" s="28" t="str">
        <f>'INCEXC A'!M171</f>
        <v/>
      </c>
      <c r="P171" s="28" t="str">
        <f>'INCEXC A'!N171</f>
        <v/>
      </c>
      <c r="Q171" s="28" t="str">
        <f>'INCEXC A'!O171</f>
        <v/>
      </c>
      <c r="R171" s="28" t="str">
        <f>'INCEXC B'!O171</f>
        <v/>
      </c>
      <c r="S171" s="28" t="str">
        <f>'INCEXC A'!P171</f>
        <v/>
      </c>
      <c r="T171" s="28" t="str">
        <f>'INCEXC B'!P171</f>
        <v/>
      </c>
      <c r="U171" s="28" t="b">
        <f t="shared" si="4"/>
        <v>1</v>
      </c>
      <c r="V171" s="28" t="b">
        <f t="shared" si="5"/>
        <v>0</v>
      </c>
    </row>
    <row r="172" hidden="1">
      <c r="A172" s="35" t="str">
        <f>'INCEXC A'!A172</f>
        <v>https://doi.org/10.1145/3331543.3342580</v>
      </c>
      <c r="B172" s="35" t="str">
        <f>'INCEXC B'!A172</f>
        <v>https://doi.org/10.1145/3331543.3342580</v>
      </c>
      <c r="C172" s="28" t="b">
        <f t="shared" si="1"/>
        <v>1</v>
      </c>
      <c r="D172" s="28" t="str">
        <f>'INCEXC A'!B172</f>
        <v>10.1145/3331543.3342580</v>
      </c>
      <c r="E172" s="28" t="str">
        <f>'INCEXC A'!C172</f>
        <v>Mobile game programming in Haskell</v>
      </c>
      <c r="F172" s="28" t="str">
        <f>'INCEXC A'!D172</f>
        <v>Kaiser</v>
      </c>
      <c r="G172" s="28" t="str">
        <f>'INCEXC B'!D172</f>
        <v>Ceren</v>
      </c>
      <c r="H172" s="28" t="str">
        <f>'INCEXC A'!E172</f>
        <v>Exclude</v>
      </c>
      <c r="I172" s="28" t="str">
        <f>'INCEXC B'!E172</f>
        <v>Exclude</v>
      </c>
      <c r="J172" s="28" t="b">
        <f t="shared" si="2"/>
        <v>1</v>
      </c>
      <c r="K172" s="28" t="b">
        <f t="shared" si="3"/>
        <v>0</v>
      </c>
      <c r="L172" s="28" t="str">
        <f>'INCEXC A'!L172</f>
        <v/>
      </c>
      <c r="M172" s="28" t="str">
        <f>'INCEXC B'!L172</f>
        <v/>
      </c>
      <c r="O172" s="28" t="str">
        <f>'INCEXC A'!M172</f>
        <v/>
      </c>
      <c r="P172" s="28" t="str">
        <f>'INCEXC A'!N172</f>
        <v/>
      </c>
      <c r="Q172" s="28" t="str">
        <f>'INCEXC A'!O172</f>
        <v/>
      </c>
      <c r="R172" s="28" t="str">
        <f>'INCEXC B'!O172</f>
        <v/>
      </c>
      <c r="S172" s="28" t="str">
        <f>'INCEXC A'!P172</f>
        <v/>
      </c>
      <c r="T172" s="28" t="str">
        <f>'INCEXC B'!P172</f>
        <v/>
      </c>
      <c r="U172" s="28" t="b">
        <f t="shared" si="4"/>
        <v>1</v>
      </c>
      <c r="V172" s="28" t="b">
        <f t="shared" si="5"/>
        <v>0</v>
      </c>
    </row>
    <row r="173" hidden="1">
      <c r="A173" s="35" t="str">
        <f>'INCEXC A'!A173</f>
        <v>https://doi.org/10.1145/3339458</v>
      </c>
      <c r="B173" s="35" t="str">
        <f>'INCEXC B'!A173</f>
        <v>https://doi.org/10.1145/3339458</v>
      </c>
      <c r="C173" s="28" t="b">
        <f t="shared" si="1"/>
        <v>1</v>
      </c>
      <c r="D173" s="28" t="str">
        <f>'INCEXC A'!B173</f>
        <v>10.1145/3339458</v>
      </c>
      <c r="E173" s="28" t="str">
        <f>'INCEXC A'!C173</f>
        <v>The algorithm that changed quantum machine learning</v>
      </c>
      <c r="F173" s="28" t="str">
        <f>'INCEXC A'!D173</f>
        <v>Kaiser</v>
      </c>
      <c r="G173" s="28" t="str">
        <f>'INCEXC B'!D173</f>
        <v>Ceren</v>
      </c>
      <c r="H173" s="28" t="str">
        <f>'INCEXC A'!E173</f>
        <v>Exclude</v>
      </c>
      <c r="I173" s="28" t="str">
        <f>'INCEXC B'!E173</f>
        <v>Exclude</v>
      </c>
      <c r="J173" s="28" t="b">
        <f t="shared" si="2"/>
        <v>1</v>
      </c>
      <c r="K173" s="28" t="b">
        <f t="shared" si="3"/>
        <v>0</v>
      </c>
      <c r="L173" s="28" t="str">
        <f>'INCEXC A'!L173</f>
        <v/>
      </c>
      <c r="M173" s="28" t="str">
        <f>'INCEXC B'!L173</f>
        <v/>
      </c>
      <c r="O173" s="28" t="str">
        <f>'INCEXC A'!M173</f>
        <v/>
      </c>
      <c r="P173" s="28" t="str">
        <f>'INCEXC A'!N173</f>
        <v/>
      </c>
      <c r="Q173" s="28" t="str">
        <f>'INCEXC A'!O173</f>
        <v/>
      </c>
      <c r="R173" s="28" t="str">
        <f>'INCEXC B'!O173</f>
        <v/>
      </c>
      <c r="S173" s="28" t="str">
        <f>'INCEXC A'!P173</f>
        <v/>
      </c>
      <c r="T173" s="28" t="str">
        <f>'INCEXC B'!P173</f>
        <v/>
      </c>
      <c r="U173" s="28" t="b">
        <f t="shared" si="4"/>
        <v>1</v>
      </c>
      <c r="V173" s="28" t="b">
        <f t="shared" si="5"/>
        <v>0</v>
      </c>
    </row>
    <row r="174" hidden="1">
      <c r="A174" s="35" t="str">
        <f>'INCEXC A'!A174</f>
        <v>https://doi.org/10.1145/3363459.3363540</v>
      </c>
      <c r="B174" s="35" t="str">
        <f>'INCEXC B'!A174</f>
        <v>https://doi.org/10.1145/3363459.3363540</v>
      </c>
      <c r="C174" s="28" t="b">
        <f t="shared" si="1"/>
        <v>1</v>
      </c>
      <c r="D174" s="28" t="str">
        <f>'INCEXC A'!B174</f>
        <v>10.1145/3363459.3363540</v>
      </c>
      <c r="E174" s="28" t="str">
        <f>'INCEXC A'!C174</f>
        <v>Climate Change Impacts on Campus Buildings Energy Use: An AI-based Scenario Analysis</v>
      </c>
      <c r="F174" s="28" t="str">
        <f>'INCEXC A'!D174</f>
        <v>Jonathan</v>
      </c>
      <c r="G174" s="28" t="str">
        <f>'INCEXC B'!D174</f>
        <v>Taylor</v>
      </c>
      <c r="H174" s="28" t="str">
        <f>'INCEXC A'!E174</f>
        <v>Exclude</v>
      </c>
      <c r="I174" s="28" t="str">
        <f>'INCEXC B'!E174</f>
        <v>Exclude</v>
      </c>
      <c r="J174" s="28" t="b">
        <f t="shared" si="2"/>
        <v>1</v>
      </c>
      <c r="K174" s="28" t="b">
        <f t="shared" si="3"/>
        <v>0</v>
      </c>
      <c r="L174" s="28" t="str">
        <f>'INCEXC A'!L174</f>
        <v/>
      </c>
      <c r="M174" s="28" t="str">
        <f>'INCEXC B'!L174</f>
        <v/>
      </c>
      <c r="O174" s="28" t="str">
        <f>'INCEXC A'!M174</f>
        <v/>
      </c>
      <c r="P174" s="28" t="str">
        <f>'INCEXC A'!N174</f>
        <v/>
      </c>
      <c r="Q174" s="28" t="str">
        <f>'INCEXC A'!O174</f>
        <v/>
      </c>
      <c r="R174" s="28" t="str">
        <f>'INCEXC B'!O174</f>
        <v/>
      </c>
      <c r="S174" s="28" t="str">
        <f>'INCEXC A'!P174</f>
        <v/>
      </c>
      <c r="T174" s="28" t="str">
        <f>'INCEXC B'!P174</f>
        <v/>
      </c>
      <c r="U174" s="28" t="b">
        <f t="shared" si="4"/>
        <v>1</v>
      </c>
      <c r="V174" s="28" t="b">
        <f t="shared" si="5"/>
        <v>0</v>
      </c>
    </row>
    <row r="175" hidden="1">
      <c r="A175" s="35" t="str">
        <f>'INCEXC A'!A175</f>
        <v>https://doi.org/10.1145/3383668.3419909</v>
      </c>
      <c r="B175" s="35" t="str">
        <f>'INCEXC B'!A175</f>
        <v>https://doi.org/10.1145/3383668.3419909</v>
      </c>
      <c r="C175" s="28" t="b">
        <f t="shared" si="1"/>
        <v>1</v>
      </c>
      <c r="D175" s="28" t="str">
        <f>'INCEXC A'!B175</f>
        <v>10.1145/3383668.3419909</v>
      </c>
      <c r="E175" s="28" t="str">
        <f>'INCEXC A'!C175</f>
        <v>Unpacking Mathematical Play within Makerspaces using Embodied Cognition</v>
      </c>
      <c r="F175" s="28" t="str">
        <f>'INCEXC A'!D175</f>
        <v>Kaiser</v>
      </c>
      <c r="G175" s="28" t="str">
        <f>'INCEXC B'!D175</f>
        <v>Danni</v>
      </c>
      <c r="H175" s="28" t="str">
        <f>'INCEXC A'!E175</f>
        <v>Exclude</v>
      </c>
      <c r="I175" s="28" t="str">
        <f>'INCEXC B'!E175</f>
        <v>Exclude</v>
      </c>
      <c r="J175" s="28" t="b">
        <f t="shared" si="2"/>
        <v>1</v>
      </c>
      <c r="K175" s="28" t="b">
        <f t="shared" si="3"/>
        <v>0</v>
      </c>
      <c r="L175" s="28" t="str">
        <f>'INCEXC A'!L175</f>
        <v/>
      </c>
      <c r="M175" s="28" t="str">
        <f>'INCEXC B'!L175</f>
        <v/>
      </c>
      <c r="O175" s="28" t="str">
        <f>'INCEXC A'!M175</f>
        <v/>
      </c>
      <c r="P175" s="28" t="str">
        <f>'INCEXC A'!N175</f>
        <v/>
      </c>
      <c r="Q175" s="28" t="str">
        <f>'INCEXC A'!O175</f>
        <v/>
      </c>
      <c r="R175" s="28" t="str">
        <f>'INCEXC B'!O175</f>
        <v/>
      </c>
      <c r="S175" s="28" t="str">
        <f>'INCEXC A'!P175</f>
        <v/>
      </c>
      <c r="T175" s="28" t="str">
        <f>'INCEXC B'!P175</f>
        <v/>
      </c>
      <c r="U175" s="28" t="b">
        <f t="shared" si="4"/>
        <v>1</v>
      </c>
      <c r="V175" s="28" t="b">
        <f t="shared" si="5"/>
        <v>0</v>
      </c>
    </row>
    <row r="176" hidden="1">
      <c r="A176" s="35" t="str">
        <f>'INCEXC A'!A176</f>
        <v>https://doi.org/10.1145/3384473</v>
      </c>
      <c r="B176" s="35" t="str">
        <f>'INCEXC B'!A176</f>
        <v>https://doi.org/10.1145/3384473</v>
      </c>
      <c r="C176" s="28" t="b">
        <f t="shared" si="1"/>
        <v>1</v>
      </c>
      <c r="D176" s="28" t="str">
        <f>'INCEXC A'!B176</f>
        <v>10.1145/3384473</v>
      </c>
      <c r="E176" s="28" t="str">
        <f>'INCEXC A'!C176</f>
        <v>Mining the Local Dependency Itemset in a Products Network</v>
      </c>
      <c r="F176" s="28" t="str">
        <f>'INCEXC A'!D176</f>
        <v>Jonathan</v>
      </c>
      <c r="G176" s="28" t="str">
        <f>'INCEXC B'!D176</f>
        <v>Taylor</v>
      </c>
      <c r="H176" s="28" t="str">
        <f>'INCEXC A'!E176</f>
        <v>Exclude</v>
      </c>
      <c r="I176" s="28" t="str">
        <f>'INCEXC B'!E176</f>
        <v>Exclude</v>
      </c>
      <c r="J176" s="28" t="b">
        <f t="shared" si="2"/>
        <v>1</v>
      </c>
      <c r="K176" s="28" t="b">
        <f t="shared" si="3"/>
        <v>0</v>
      </c>
      <c r="L176" s="28" t="str">
        <f>'INCEXC A'!L176</f>
        <v/>
      </c>
      <c r="M176" s="28" t="str">
        <f>'INCEXC B'!L176</f>
        <v/>
      </c>
      <c r="O176" s="28" t="str">
        <f>'INCEXC A'!M176</f>
        <v/>
      </c>
      <c r="P176" s="28" t="str">
        <f>'INCEXC A'!N176</f>
        <v/>
      </c>
      <c r="Q176" s="28" t="str">
        <f>'INCEXC A'!O176</f>
        <v/>
      </c>
      <c r="R176" s="28" t="str">
        <f>'INCEXC B'!O176</f>
        <v/>
      </c>
      <c r="S176" s="28" t="str">
        <f>'INCEXC A'!P176</f>
        <v/>
      </c>
      <c r="T176" s="28" t="str">
        <f>'INCEXC B'!P176</f>
        <v/>
      </c>
      <c r="U176" s="28" t="b">
        <f t="shared" si="4"/>
        <v>1</v>
      </c>
      <c r="V176" s="28" t="b">
        <f t="shared" si="5"/>
        <v>0</v>
      </c>
    </row>
    <row r="177" hidden="1">
      <c r="A177" s="35" t="str">
        <f>'INCEXC A'!A177</f>
        <v>https://doi.org/10.1145/3387514.3405863</v>
      </c>
      <c r="B177" s="35" t="str">
        <f>'INCEXC B'!A177</f>
        <v>https://doi.org/10.1145/3387514.3405863</v>
      </c>
      <c r="C177" s="28" t="b">
        <f t="shared" si="1"/>
        <v>1</v>
      </c>
      <c r="D177" s="28" t="str">
        <f>'INCEXC A'!B177</f>
        <v>10.1145/3387514.3405863</v>
      </c>
      <c r="E177" s="28" t="str">
        <f>'INCEXC A'!C177</f>
        <v>Fault Tolerant Service Function Chaining</v>
      </c>
      <c r="F177" s="28" t="str">
        <f>'INCEXC A'!D177</f>
        <v>Marilyn</v>
      </c>
      <c r="G177" s="28" t="str">
        <f>'INCEXC B'!D177</f>
        <v>Ceren</v>
      </c>
      <c r="H177" s="28" t="str">
        <f>'INCEXC A'!E177</f>
        <v>Exclude</v>
      </c>
      <c r="I177" s="28" t="str">
        <f>'INCEXC B'!E177</f>
        <v>Exclude</v>
      </c>
      <c r="J177" s="28" t="b">
        <f t="shared" si="2"/>
        <v>1</v>
      </c>
      <c r="K177" s="28" t="b">
        <f t="shared" si="3"/>
        <v>0</v>
      </c>
      <c r="L177" s="28" t="str">
        <f>'INCEXC A'!L177</f>
        <v/>
      </c>
      <c r="M177" s="28" t="str">
        <f>'INCEXC B'!L177</f>
        <v/>
      </c>
      <c r="O177" s="28" t="str">
        <f>'INCEXC A'!M177</f>
        <v/>
      </c>
      <c r="P177" s="28" t="str">
        <f>'INCEXC A'!N177</f>
        <v/>
      </c>
      <c r="Q177" s="28" t="str">
        <f>'INCEXC A'!O177</f>
        <v/>
      </c>
      <c r="R177" s="28" t="str">
        <f>'INCEXC B'!O177</f>
        <v/>
      </c>
      <c r="S177" s="28" t="str">
        <f>'INCEXC A'!P177</f>
        <v/>
      </c>
      <c r="T177" s="28" t="str">
        <f>'INCEXC B'!P177</f>
        <v/>
      </c>
      <c r="U177" s="28" t="b">
        <f t="shared" si="4"/>
        <v>1</v>
      </c>
      <c r="V177" s="28" t="b">
        <f t="shared" si="5"/>
        <v>0</v>
      </c>
    </row>
    <row r="178" hidden="1">
      <c r="A178" s="35" t="str">
        <f>'INCEXC A'!A178</f>
        <v>https://doi.org/10.1145/343048.343076</v>
      </c>
      <c r="B178" s="35" t="str">
        <f>'INCEXC B'!A178</f>
        <v>https://doi.org/10.1145/343048.343076</v>
      </c>
      <c r="C178" s="28" t="b">
        <f t="shared" si="1"/>
        <v>1</v>
      </c>
      <c r="D178" s="28" t="str">
        <f>'INCEXC A'!B178</f>
        <v>10.1145/343048.343076</v>
      </c>
      <c r="E178" s="28" t="str">
        <f>'INCEXC A'!C178</f>
        <v>Enter the usability engineer: integrating HCI and software engineering</v>
      </c>
      <c r="F178" s="28" t="str">
        <f>'INCEXC A'!D178</f>
        <v>Jonathan</v>
      </c>
      <c r="G178" s="28" t="str">
        <f>'INCEXC B'!D178</f>
        <v>Ceren</v>
      </c>
      <c r="H178" s="28" t="str">
        <f>'INCEXC A'!E178</f>
        <v>Exclude</v>
      </c>
      <c r="I178" s="28" t="str">
        <f>'INCEXC B'!E178</f>
        <v>Exclude</v>
      </c>
      <c r="J178" s="28" t="b">
        <f t="shared" si="2"/>
        <v>1</v>
      </c>
      <c r="K178" s="28" t="b">
        <f t="shared" si="3"/>
        <v>0</v>
      </c>
      <c r="L178" s="28" t="str">
        <f>'INCEXC A'!L178</f>
        <v/>
      </c>
      <c r="M178" s="28" t="str">
        <f>'INCEXC B'!L178</f>
        <v/>
      </c>
      <c r="O178" s="28" t="str">
        <f>'INCEXC A'!M178</f>
        <v/>
      </c>
      <c r="P178" s="28" t="str">
        <f>'INCEXC A'!N178</f>
        <v/>
      </c>
      <c r="Q178" s="28" t="str">
        <f>'INCEXC A'!O178</f>
        <v/>
      </c>
      <c r="R178" s="28" t="str">
        <f>'INCEXC B'!O178</f>
        <v/>
      </c>
      <c r="S178" s="28" t="str">
        <f>'INCEXC A'!P178</f>
        <v/>
      </c>
      <c r="T178" s="28" t="str">
        <f>'INCEXC B'!P178</f>
        <v/>
      </c>
      <c r="U178" s="28" t="b">
        <f t="shared" si="4"/>
        <v>1</v>
      </c>
      <c r="V178" s="28" t="b">
        <f t="shared" si="5"/>
        <v>0</v>
      </c>
    </row>
    <row r="179" hidden="1">
      <c r="A179" s="35" t="str">
        <f>'INCEXC A'!A179</f>
        <v>https://doi.org/10.1145/3442381.3449990</v>
      </c>
      <c r="B179" s="35" t="str">
        <f>'INCEXC B'!A179</f>
        <v>https://doi.org/10.1145/3442381.3449990</v>
      </c>
      <c r="C179" s="28" t="b">
        <f t="shared" si="1"/>
        <v>1</v>
      </c>
      <c r="D179" s="28" t="str">
        <f>'INCEXC A'!B179</f>
        <v>10.1145/3442381.3449990</v>
      </c>
      <c r="E179" s="28" t="str">
        <f>'INCEXC A'!C179</f>
        <v>A Longitudinal Study of Removed Apps in iOS App Store</v>
      </c>
      <c r="F179" s="28" t="str">
        <f>'INCEXC A'!D179</f>
        <v>Jonathan</v>
      </c>
      <c r="G179" s="28" t="str">
        <f>'INCEXC B'!D179</f>
        <v>Ceren</v>
      </c>
      <c r="H179" s="28" t="str">
        <f>'INCEXC A'!E179</f>
        <v>Exclude</v>
      </c>
      <c r="I179" s="28" t="str">
        <f>'INCEXC B'!E179</f>
        <v>Exclude</v>
      </c>
      <c r="J179" s="28" t="b">
        <f t="shared" si="2"/>
        <v>1</v>
      </c>
      <c r="K179" s="28" t="b">
        <f t="shared" si="3"/>
        <v>0</v>
      </c>
      <c r="L179" s="28" t="str">
        <f>'INCEXC A'!L179</f>
        <v/>
      </c>
      <c r="M179" s="28" t="str">
        <f>'INCEXC B'!L179</f>
        <v/>
      </c>
      <c r="O179" s="28" t="str">
        <f>'INCEXC A'!M179</f>
        <v/>
      </c>
      <c r="P179" s="28" t="str">
        <f>'INCEXC A'!N179</f>
        <v/>
      </c>
      <c r="Q179" s="28" t="str">
        <f>'INCEXC A'!O179</f>
        <v/>
      </c>
      <c r="R179" s="28" t="str">
        <f>'INCEXC B'!O179</f>
        <v/>
      </c>
      <c r="S179" s="28" t="str">
        <f>'INCEXC A'!P179</f>
        <v/>
      </c>
      <c r="T179" s="28" t="str">
        <f>'INCEXC B'!P179</f>
        <v/>
      </c>
      <c r="U179" s="28" t="b">
        <f t="shared" si="4"/>
        <v>1</v>
      </c>
      <c r="V179" s="28" t="b">
        <f t="shared" si="5"/>
        <v>0</v>
      </c>
    </row>
    <row r="180" hidden="1">
      <c r="A180" s="35" t="str">
        <f>'INCEXC A'!A180</f>
        <v>https://doi.org/10.1145/3448018.3458007</v>
      </c>
      <c r="B180" s="35" t="str">
        <f>'INCEXC B'!A180</f>
        <v>https://doi.org/10.1145/3448018.3458007</v>
      </c>
      <c r="C180" s="28" t="b">
        <f t="shared" si="1"/>
        <v>1</v>
      </c>
      <c r="D180" s="28" t="str">
        <f>'INCEXC A'!B180</f>
        <v>10.1145/3448018.3458007</v>
      </c>
      <c r="E180" s="28" t="str">
        <f>'INCEXC A'!C180</f>
        <v>Fixation: A universal framework for experimental eye&amp;nbsp;movement research✱</v>
      </c>
      <c r="F180" s="28" t="str">
        <f>'INCEXC A'!D180</f>
        <v>Kaiser</v>
      </c>
      <c r="G180" s="28" t="str">
        <f>'INCEXC B'!D180</f>
        <v>Ceren</v>
      </c>
      <c r="H180" s="28" t="str">
        <f>'INCEXC A'!E180</f>
        <v>Exclude</v>
      </c>
      <c r="I180" s="28" t="str">
        <f>'INCEXC B'!E180</f>
        <v>Exclude</v>
      </c>
      <c r="J180" s="28" t="b">
        <f t="shared" si="2"/>
        <v>1</v>
      </c>
      <c r="K180" s="28" t="b">
        <f t="shared" si="3"/>
        <v>0</v>
      </c>
      <c r="L180" s="28" t="str">
        <f>'INCEXC A'!L180</f>
        <v/>
      </c>
      <c r="M180" s="28" t="str">
        <f>'INCEXC B'!L180</f>
        <v/>
      </c>
      <c r="O180" s="28" t="str">
        <f>'INCEXC A'!M180</f>
        <v/>
      </c>
      <c r="P180" s="28" t="str">
        <f>'INCEXC A'!N180</f>
        <v/>
      </c>
      <c r="Q180" s="28" t="str">
        <f>'INCEXC A'!O180</f>
        <v/>
      </c>
      <c r="R180" s="28" t="str">
        <f>'INCEXC B'!O180</f>
        <v/>
      </c>
      <c r="S180" s="28" t="str">
        <f>'INCEXC A'!P180</f>
        <v/>
      </c>
      <c r="T180" s="28" t="str">
        <f>'INCEXC B'!P180</f>
        <v/>
      </c>
      <c r="U180" s="28" t="b">
        <f t="shared" si="4"/>
        <v>1</v>
      </c>
      <c r="V180" s="28" t="b">
        <f t="shared" si="5"/>
        <v>0</v>
      </c>
    </row>
    <row r="181" hidden="1">
      <c r="A181" s="35" t="str">
        <f>'INCEXC A'!A181</f>
        <v>https://doi.org/10.1145/3461778.3462087</v>
      </c>
      <c r="B181" s="35" t="str">
        <f>'INCEXC B'!A181</f>
        <v>https://doi.org/10.1145/3461778.3462087</v>
      </c>
      <c r="C181" s="28" t="b">
        <f t="shared" si="1"/>
        <v>1</v>
      </c>
      <c r="D181" s="28" t="str">
        <f>'INCEXC A'!B181</f>
        <v>10.1145/3461778.3462087</v>
      </c>
      <c r="E181" s="28" t="str">
        <f>'INCEXC A'!C181</f>
        <v>Analysis of Gender Stereotypes for the Design of Service Robots: Case Study on the Chinese Catering Market</v>
      </c>
      <c r="F181" s="28" t="str">
        <f>'INCEXC A'!D181</f>
        <v>Kaiser</v>
      </c>
      <c r="G181" s="28" t="str">
        <f>'INCEXC B'!D181</f>
        <v>Danni</v>
      </c>
      <c r="H181" s="28" t="str">
        <f>'INCEXC A'!E181</f>
        <v>Exclude</v>
      </c>
      <c r="I181" s="28" t="str">
        <f>'INCEXC B'!E181</f>
        <v>Exclude</v>
      </c>
      <c r="J181" s="28" t="b">
        <f t="shared" si="2"/>
        <v>1</v>
      </c>
      <c r="K181" s="28" t="b">
        <f t="shared" si="3"/>
        <v>0</v>
      </c>
      <c r="L181" s="28" t="str">
        <f>'INCEXC A'!L181</f>
        <v/>
      </c>
      <c r="M181" s="28" t="str">
        <f>'INCEXC B'!L181</f>
        <v/>
      </c>
      <c r="O181" s="28" t="str">
        <f>'INCEXC A'!M181</f>
        <v/>
      </c>
      <c r="P181" s="28" t="str">
        <f>'INCEXC A'!N181</f>
        <v/>
      </c>
      <c r="Q181" s="28" t="str">
        <f>'INCEXC A'!O181</f>
        <v/>
      </c>
      <c r="R181" s="28" t="str">
        <f>'INCEXC B'!O181</f>
        <v/>
      </c>
      <c r="S181" s="28" t="str">
        <f>'INCEXC A'!P181</f>
        <v/>
      </c>
      <c r="T181" s="28" t="str">
        <f>'INCEXC B'!P181</f>
        <v/>
      </c>
      <c r="U181" s="28" t="b">
        <f t="shared" si="4"/>
        <v>1</v>
      </c>
      <c r="V181" s="28" t="b">
        <f t="shared" si="5"/>
        <v>0</v>
      </c>
    </row>
    <row r="182" hidden="1">
      <c r="A182" s="35" t="str">
        <f>'INCEXC A'!A182</f>
        <v>https://doi.org/10.1145/3491102.3517546</v>
      </c>
      <c r="B182" s="35" t="str">
        <f>'INCEXC B'!A182</f>
        <v>https://doi.org/10.1145/3491102.3517546</v>
      </c>
      <c r="C182" s="28" t="b">
        <f t="shared" si="1"/>
        <v>1</v>
      </c>
      <c r="D182" s="28" t="str">
        <f>'INCEXC A'!B182</f>
        <v>10.1145/3491102.3517546</v>
      </c>
      <c r="E182" s="28" t="str">
        <f>'INCEXC A'!C182</f>
        <v>A Little Too Personal: Effects of Standardization versus Personalization on Job Acquisition</v>
      </c>
      <c r="F182" s="28" t="str">
        <f>'INCEXC A'!D182</f>
        <v>Marilyn</v>
      </c>
      <c r="G182" s="28" t="str">
        <f>'INCEXC B'!D182</f>
        <v>Ceren</v>
      </c>
      <c r="H182" s="28" t="str">
        <f>'INCEXC A'!E182</f>
        <v>Exclude</v>
      </c>
      <c r="I182" s="28" t="str">
        <f>'INCEXC B'!E182</f>
        <v>Exclude</v>
      </c>
      <c r="J182" s="28" t="b">
        <f t="shared" si="2"/>
        <v>1</v>
      </c>
      <c r="K182" s="28" t="b">
        <f t="shared" si="3"/>
        <v>0</v>
      </c>
      <c r="L182" s="28" t="str">
        <f>'INCEXC A'!L182</f>
        <v/>
      </c>
      <c r="M182" s="28" t="str">
        <f>'INCEXC B'!L182</f>
        <v/>
      </c>
      <c r="O182" s="28" t="str">
        <f>'INCEXC A'!M182</f>
        <v/>
      </c>
      <c r="P182" s="28" t="str">
        <f>'INCEXC A'!N182</f>
        <v/>
      </c>
      <c r="Q182" s="28" t="str">
        <f>'INCEXC A'!O182</f>
        <v/>
      </c>
      <c r="R182" s="28" t="str">
        <f>'INCEXC B'!O182</f>
        <v/>
      </c>
      <c r="S182" s="28" t="str">
        <f>'INCEXC A'!P182</f>
        <v/>
      </c>
      <c r="T182" s="28" t="str">
        <f>'INCEXC B'!P182</f>
        <v/>
      </c>
      <c r="U182" s="28" t="b">
        <f t="shared" si="4"/>
        <v>1</v>
      </c>
      <c r="V182" s="28" t="b">
        <f t="shared" si="5"/>
        <v>0</v>
      </c>
    </row>
    <row r="183" hidden="1">
      <c r="A183" s="35" t="str">
        <f>'INCEXC A'!A183</f>
        <v>https://doi.org/10.1145/3492833</v>
      </c>
      <c r="B183" s="35" t="str">
        <f>'INCEXC B'!A183</f>
        <v>https://doi.org/10.1145/3492833</v>
      </c>
      <c r="C183" s="28" t="b">
        <f t="shared" si="1"/>
        <v>1</v>
      </c>
      <c r="D183" s="28" t="str">
        <f>'INCEXC A'!B183</f>
        <v>10.1145/3492833</v>
      </c>
      <c r="E183" s="28" t="str">
        <f>'INCEXC A'!C183</f>
        <v>Access Under Duress: Pandemic-Era Lessons on Digital Participation and Datafication in Civic Engagement</v>
      </c>
      <c r="F183" s="28" t="str">
        <f>'INCEXC A'!D183</f>
        <v>Kaiser</v>
      </c>
      <c r="G183" s="28" t="str">
        <f>'INCEXC B'!D183</f>
        <v>Ceren</v>
      </c>
      <c r="H183" s="28" t="str">
        <f>'INCEXC A'!E183</f>
        <v>Exclude</v>
      </c>
      <c r="I183" s="28" t="str">
        <f>'INCEXC B'!E183</f>
        <v>Exclude</v>
      </c>
      <c r="J183" s="28" t="b">
        <f t="shared" si="2"/>
        <v>1</v>
      </c>
      <c r="K183" s="28" t="b">
        <f t="shared" si="3"/>
        <v>0</v>
      </c>
      <c r="L183" s="28" t="str">
        <f>'INCEXC A'!L183</f>
        <v/>
      </c>
      <c r="M183" s="28" t="str">
        <f>'INCEXC B'!L183</f>
        <v/>
      </c>
      <c r="O183" s="28" t="str">
        <f>'INCEXC A'!M183</f>
        <v/>
      </c>
      <c r="P183" s="28" t="str">
        <f>'INCEXC A'!N183</f>
        <v/>
      </c>
      <c r="Q183" s="28" t="str">
        <f>'INCEXC A'!O183</f>
        <v/>
      </c>
      <c r="R183" s="28" t="str">
        <f>'INCEXC B'!O183</f>
        <v/>
      </c>
      <c r="S183" s="28" t="str">
        <f>'INCEXC A'!P183</f>
        <v/>
      </c>
      <c r="T183" s="28" t="str">
        <f>'INCEXC B'!P183</f>
        <v/>
      </c>
      <c r="U183" s="28" t="b">
        <f t="shared" si="4"/>
        <v>1</v>
      </c>
      <c r="V183" s="28" t="b">
        <f t="shared" si="5"/>
        <v>0</v>
      </c>
    </row>
    <row r="184" hidden="1">
      <c r="A184" s="35" t="str">
        <f>'INCEXC A'!A184</f>
        <v>https://doi.org/10.1145/3511047.3536406</v>
      </c>
      <c r="B184" s="35" t="str">
        <f>'INCEXC B'!A184</f>
        <v>https://doi.org/10.1145/3511047.3536406</v>
      </c>
      <c r="C184" s="28" t="b">
        <f t="shared" si="1"/>
        <v>1</v>
      </c>
      <c r="D184" s="28" t="str">
        <f>'INCEXC A'!B184</f>
        <v>10.1145/3511047.3536406</v>
      </c>
      <c r="E184" s="28" t="str">
        <f>'INCEXC A'!C184</f>
        <v>Optimizing the User Experience in VR-based Anti-Bullying Education</v>
      </c>
      <c r="F184" s="28" t="str">
        <f>'INCEXC A'!D184</f>
        <v>Jonathan</v>
      </c>
      <c r="G184" s="28" t="str">
        <f>'INCEXC B'!D184</f>
        <v>Danni</v>
      </c>
      <c r="H184" s="28" t="str">
        <f>'INCEXC A'!E184</f>
        <v>Exclude</v>
      </c>
      <c r="I184" s="28" t="str">
        <f>'INCEXC B'!E184</f>
        <v>Exclude</v>
      </c>
      <c r="J184" s="28" t="b">
        <f t="shared" si="2"/>
        <v>1</v>
      </c>
      <c r="K184" s="28" t="b">
        <f t="shared" si="3"/>
        <v>0</v>
      </c>
      <c r="L184" s="28" t="str">
        <f>'INCEXC A'!L184</f>
        <v/>
      </c>
      <c r="M184" s="28" t="str">
        <f>'INCEXC B'!L184</f>
        <v/>
      </c>
      <c r="O184" s="28" t="str">
        <f>'INCEXC A'!M184</f>
        <v/>
      </c>
      <c r="P184" s="28" t="str">
        <f>'INCEXC A'!N184</f>
        <v/>
      </c>
      <c r="Q184" s="28" t="str">
        <f>'INCEXC A'!O184</f>
        <v/>
      </c>
      <c r="R184" s="28" t="str">
        <f>'INCEXC B'!O184</f>
        <v/>
      </c>
      <c r="S184" s="28" t="str">
        <f>'INCEXC A'!P184</f>
        <v/>
      </c>
      <c r="T184" s="28" t="str">
        <f>'INCEXC B'!P184</f>
        <v/>
      </c>
      <c r="U184" s="28" t="b">
        <f t="shared" si="4"/>
        <v>1</v>
      </c>
      <c r="V184" s="28" t="b">
        <f t="shared" si="5"/>
        <v>0</v>
      </c>
    </row>
    <row r="185" hidden="1">
      <c r="A185" s="35" t="str">
        <f>'INCEXC A'!A185</f>
        <v>https://doi.org/10.1145/3528381</v>
      </c>
      <c r="B185" s="35" t="str">
        <f>'INCEXC B'!A185</f>
        <v>https://doi.org/10.1145/3528381</v>
      </c>
      <c r="C185" s="28" t="b">
        <f t="shared" si="1"/>
        <v>1</v>
      </c>
      <c r="D185" s="28" t="str">
        <f>'INCEXC A'!B185</f>
        <v>10.1145/3528381</v>
      </c>
      <c r="E185" s="28" t="str">
        <f>'INCEXC A'!C185</f>
        <v>Government as a Brain: How Can Governments Better Understand</v>
      </c>
      <c r="F185" s="28" t="str">
        <f>'INCEXC A'!D185</f>
        <v>Marilyn</v>
      </c>
      <c r="G185" s="28" t="str">
        <f>'INCEXC B'!D185</f>
        <v>Taylor</v>
      </c>
      <c r="H185" s="28" t="str">
        <f>'INCEXC A'!E185</f>
        <v>Exclude</v>
      </c>
      <c r="I185" s="28" t="str">
        <f>'INCEXC B'!E185</f>
        <v>Exclude</v>
      </c>
      <c r="J185" s="28" t="b">
        <f t="shared" si="2"/>
        <v>1</v>
      </c>
      <c r="K185" s="28" t="b">
        <f t="shared" si="3"/>
        <v>0</v>
      </c>
      <c r="L185" s="28" t="str">
        <f>'INCEXC A'!L185</f>
        <v/>
      </c>
      <c r="M185" s="28" t="str">
        <f>'INCEXC B'!L185</f>
        <v/>
      </c>
      <c r="O185" s="28" t="str">
        <f>'INCEXC A'!M185</f>
        <v/>
      </c>
      <c r="P185" s="28" t="str">
        <f>'INCEXC A'!N185</f>
        <v/>
      </c>
      <c r="Q185" s="28" t="str">
        <f>'INCEXC A'!O185</f>
        <v/>
      </c>
      <c r="R185" s="28" t="str">
        <f>'INCEXC B'!O185</f>
        <v/>
      </c>
      <c r="S185" s="28" t="str">
        <f>'INCEXC A'!P185</f>
        <v/>
      </c>
      <c r="T185" s="28" t="str">
        <f>'INCEXC B'!P185</f>
        <v/>
      </c>
      <c r="U185" s="28" t="b">
        <f t="shared" si="4"/>
        <v>1</v>
      </c>
      <c r="V185" s="28" t="b">
        <f t="shared" si="5"/>
        <v>0</v>
      </c>
    </row>
    <row r="186" hidden="1">
      <c r="A186" s="35" t="str">
        <f>'INCEXC A'!A186</f>
        <v>https://doi.org/10.1145/3538225</v>
      </c>
      <c r="B186" s="35" t="str">
        <f>'INCEXC B'!A186</f>
        <v>https://doi.org/10.1145/3538225</v>
      </c>
      <c r="C186" s="28" t="b">
        <f t="shared" si="1"/>
        <v>1</v>
      </c>
      <c r="D186" s="28" t="str">
        <f>'INCEXC A'!B186</f>
        <v>10.1145/3538225</v>
      </c>
      <c r="E186" s="28" t="str">
        <f>'INCEXC A'!C186</f>
        <v>Energy-Efficient Database Systems: A Systematic Survey</v>
      </c>
      <c r="F186" s="28" t="str">
        <f>'INCEXC A'!D186</f>
        <v>Kaiser</v>
      </c>
      <c r="G186" s="28" t="str">
        <f>'INCEXC B'!D186</f>
        <v>Taylor</v>
      </c>
      <c r="H186" s="28" t="str">
        <f>'INCEXC A'!E186</f>
        <v>Exclude</v>
      </c>
      <c r="I186" s="28" t="str">
        <f>'INCEXC B'!E186</f>
        <v>Exclude</v>
      </c>
      <c r="J186" s="28" t="b">
        <f t="shared" si="2"/>
        <v>1</v>
      </c>
      <c r="K186" s="28" t="b">
        <f t="shared" si="3"/>
        <v>0</v>
      </c>
      <c r="L186" s="28" t="str">
        <f>'INCEXC A'!L186</f>
        <v/>
      </c>
      <c r="M186" s="28" t="str">
        <f>'INCEXC B'!L186</f>
        <v/>
      </c>
      <c r="O186" s="28" t="str">
        <f>'INCEXC A'!M186</f>
        <v/>
      </c>
      <c r="P186" s="28" t="str">
        <f>'INCEXC A'!N186</f>
        <v/>
      </c>
      <c r="Q186" s="28" t="str">
        <f>'INCEXC A'!O186</f>
        <v/>
      </c>
      <c r="R186" s="28" t="str">
        <f>'INCEXC B'!O186</f>
        <v/>
      </c>
      <c r="S186" s="28" t="str">
        <f>'INCEXC A'!P186</f>
        <v/>
      </c>
      <c r="T186" s="28" t="str">
        <f>'INCEXC B'!P186</f>
        <v/>
      </c>
      <c r="U186" s="28" t="b">
        <f t="shared" si="4"/>
        <v>1</v>
      </c>
      <c r="V186" s="28" t="b">
        <f t="shared" si="5"/>
        <v>0</v>
      </c>
    </row>
    <row r="187" hidden="1">
      <c r="A187" s="35" t="str">
        <f>'INCEXC A'!A187</f>
        <v>https://doi.org/10.1145/3544549.3582735</v>
      </c>
      <c r="B187" s="35" t="str">
        <f>'INCEXC B'!A187</f>
        <v>https://doi.org/10.1145/3544549.3582735</v>
      </c>
      <c r="C187" s="28" t="b">
        <f t="shared" si="1"/>
        <v>1</v>
      </c>
      <c r="D187" s="28" t="str">
        <f>'INCEXC A'!B187</f>
        <v>10.1145/3544549.3582735</v>
      </c>
      <c r="E187" s="28" t="str">
        <f>'INCEXC A'!C187</f>
        <v>Enough With “Human-AI Collaboration”</v>
      </c>
      <c r="F187" s="28" t="str">
        <f>'INCEXC A'!D187</f>
        <v>Jonathan</v>
      </c>
      <c r="G187" s="28" t="str">
        <f>'INCEXC B'!D187</f>
        <v>Danni</v>
      </c>
      <c r="H187" s="28" t="str">
        <f>'INCEXC A'!E187</f>
        <v>Exclude</v>
      </c>
      <c r="I187" s="28" t="str">
        <f>'INCEXC B'!E187</f>
        <v>Exclude</v>
      </c>
      <c r="J187" s="28" t="b">
        <f t="shared" si="2"/>
        <v>1</v>
      </c>
      <c r="K187" s="28" t="b">
        <f t="shared" si="3"/>
        <v>0</v>
      </c>
      <c r="L187" s="28" t="str">
        <f>'INCEXC A'!L187</f>
        <v/>
      </c>
      <c r="M187" s="28" t="str">
        <f>'INCEXC B'!L187</f>
        <v/>
      </c>
      <c r="O187" s="28" t="str">
        <f>'INCEXC A'!M187</f>
        <v/>
      </c>
      <c r="P187" s="28" t="str">
        <f>'INCEXC A'!N187</f>
        <v/>
      </c>
      <c r="Q187" s="28" t="str">
        <f>'INCEXC A'!O187</f>
        <v/>
      </c>
      <c r="R187" s="28" t="str">
        <f>'INCEXC B'!O187</f>
        <v/>
      </c>
      <c r="S187" s="28" t="str">
        <f>'INCEXC A'!P187</f>
        <v/>
      </c>
      <c r="T187" s="28" t="str">
        <f>'INCEXC B'!P187</f>
        <v/>
      </c>
      <c r="U187" s="28" t="b">
        <f t="shared" si="4"/>
        <v>1</v>
      </c>
      <c r="V187" s="28" t="b">
        <f t="shared" si="5"/>
        <v>0</v>
      </c>
    </row>
    <row r="188" hidden="1">
      <c r="A188" s="35" t="str">
        <f>'INCEXC A'!A188</f>
        <v>https://doi.org/10.1145/3544793.3560382</v>
      </c>
      <c r="B188" s="35" t="str">
        <f>'INCEXC B'!A188</f>
        <v>https://doi.org/10.1145/3544793.3560382</v>
      </c>
      <c r="C188" s="28" t="b">
        <f t="shared" si="1"/>
        <v>1</v>
      </c>
      <c r="D188" s="28" t="str">
        <f>'INCEXC A'!B188</f>
        <v>10.1145/3544793.3560382</v>
      </c>
      <c r="E188" s="28" t="str">
        <f>'INCEXC A'!C188</f>
        <v>Experience is the Best Teacher: Personalized Vocabulary Building Within the Context of Instagram Posts and Sentences from GPT-3</v>
      </c>
      <c r="F188" s="28" t="str">
        <f>'INCEXC A'!D188</f>
        <v>Kaiser</v>
      </c>
      <c r="G188" s="28" t="str">
        <f>'INCEXC B'!D188</f>
        <v>Taylor</v>
      </c>
      <c r="H188" s="28" t="str">
        <f>'INCEXC A'!E188</f>
        <v>Exclude</v>
      </c>
      <c r="I188" s="28" t="str">
        <f>'INCEXC B'!E188</f>
        <v>Exclude</v>
      </c>
      <c r="J188" s="28" t="b">
        <f t="shared" si="2"/>
        <v>1</v>
      </c>
      <c r="K188" s="28" t="b">
        <f t="shared" si="3"/>
        <v>0</v>
      </c>
      <c r="L188" s="28" t="str">
        <f>'INCEXC A'!L188</f>
        <v/>
      </c>
      <c r="M188" s="28" t="str">
        <f>'INCEXC B'!L188</f>
        <v/>
      </c>
      <c r="O188" s="28" t="str">
        <f>'INCEXC A'!M188</f>
        <v/>
      </c>
      <c r="P188" s="28" t="str">
        <f>'INCEXC A'!N188</f>
        <v/>
      </c>
      <c r="Q188" s="28" t="str">
        <f>'INCEXC A'!O188</f>
        <v/>
      </c>
      <c r="R188" s="28" t="str">
        <f>'INCEXC B'!O188</f>
        <v/>
      </c>
      <c r="S188" s="28" t="str">
        <f>'INCEXC A'!P188</f>
        <v/>
      </c>
      <c r="T188" s="28" t="str">
        <f>'INCEXC B'!P188</f>
        <v/>
      </c>
      <c r="U188" s="28" t="b">
        <f t="shared" si="4"/>
        <v>1</v>
      </c>
      <c r="V188" s="28" t="b">
        <f t="shared" si="5"/>
        <v>0</v>
      </c>
    </row>
    <row r="189" hidden="1">
      <c r="A189" s="35" t="str">
        <f>'INCEXC A'!A189</f>
        <v>https://doi.org/10.1145/3555153</v>
      </c>
      <c r="B189" s="35" t="str">
        <f>'INCEXC B'!A189</f>
        <v>https://doi.org/10.1145/3555153</v>
      </c>
      <c r="C189" s="28" t="b">
        <f t="shared" si="1"/>
        <v>1</v>
      </c>
      <c r="D189" s="28" t="str">
        <f>'INCEXC A'!B189</f>
        <v>10.1145/3555153</v>
      </c>
      <c r="E189" s="28" t="str">
        <f>'INCEXC A'!C189</f>
        <v>Acting Out Queer Identity: The Embodied Visibility in Social Virtual Reality</v>
      </c>
      <c r="F189" s="28" t="str">
        <f>'INCEXC A'!D189</f>
        <v>Marilyn</v>
      </c>
      <c r="G189" s="28" t="str">
        <f>'INCEXC B'!D189</f>
        <v>Taylor</v>
      </c>
      <c r="H189" s="28" t="str">
        <f>'INCEXC A'!E189</f>
        <v>Exclude</v>
      </c>
      <c r="I189" s="28" t="str">
        <f>'INCEXC B'!E189</f>
        <v>Exclude</v>
      </c>
      <c r="J189" s="28" t="b">
        <f t="shared" si="2"/>
        <v>1</v>
      </c>
      <c r="K189" s="28" t="b">
        <f t="shared" si="3"/>
        <v>0</v>
      </c>
      <c r="L189" s="28" t="str">
        <f>'INCEXC A'!L189</f>
        <v/>
      </c>
      <c r="M189" s="28" t="str">
        <f>'INCEXC B'!L189</f>
        <v/>
      </c>
      <c r="O189" s="28" t="str">
        <f>'INCEXC A'!M189</f>
        <v/>
      </c>
      <c r="P189" s="28" t="str">
        <f>'INCEXC A'!N189</f>
        <v/>
      </c>
      <c r="Q189" s="28" t="str">
        <f>'INCEXC A'!O189</f>
        <v/>
      </c>
      <c r="R189" s="28" t="str">
        <f>'INCEXC B'!O189</f>
        <v/>
      </c>
      <c r="S189" s="28" t="str">
        <f>'INCEXC A'!P189</f>
        <v/>
      </c>
      <c r="T189" s="28" t="str">
        <f>'INCEXC B'!P189</f>
        <v/>
      </c>
      <c r="U189" s="28" t="b">
        <f t="shared" si="4"/>
        <v>1</v>
      </c>
      <c r="V189" s="28" t="b">
        <f t="shared" si="5"/>
        <v>0</v>
      </c>
    </row>
    <row r="190" hidden="1">
      <c r="A190" s="35" t="str">
        <f>'INCEXC A'!A190</f>
        <v>https://doi.org/10.1145/3563456</v>
      </c>
      <c r="B190" s="35" t="str">
        <f>'INCEXC B'!A190</f>
        <v>https://doi.org/10.1145/3563456</v>
      </c>
      <c r="C190" s="28" t="b">
        <f t="shared" si="1"/>
        <v>1</v>
      </c>
      <c r="D190" s="28" t="str">
        <f>'INCEXC A'!B190</f>
        <v>10.1145/3563456</v>
      </c>
      <c r="E190" s="28" t="str">
        <f>'INCEXC A'!C190</f>
        <v>TH-iSSD: Design and Implementation of a Generic and Reconfigurable Near-Data Processing Framework</v>
      </c>
      <c r="F190" s="28" t="str">
        <f>'INCEXC A'!D190</f>
        <v>Marilyn</v>
      </c>
      <c r="G190" s="28" t="str">
        <f>'INCEXC B'!D190</f>
        <v>Taylor</v>
      </c>
      <c r="H190" s="28" t="str">
        <f>'INCEXC A'!E190</f>
        <v>Exclude</v>
      </c>
      <c r="I190" s="28" t="str">
        <f>'INCEXC B'!E190</f>
        <v>Exclude</v>
      </c>
      <c r="J190" s="28" t="b">
        <f t="shared" si="2"/>
        <v>1</v>
      </c>
      <c r="K190" s="28" t="b">
        <f t="shared" si="3"/>
        <v>0</v>
      </c>
      <c r="L190" s="28" t="str">
        <f>'INCEXC A'!L190</f>
        <v/>
      </c>
      <c r="M190" s="28" t="str">
        <f>'INCEXC B'!L190</f>
        <v/>
      </c>
      <c r="O190" s="28" t="str">
        <f>'INCEXC A'!M190</f>
        <v/>
      </c>
      <c r="P190" s="28" t="str">
        <f>'INCEXC A'!N190</f>
        <v/>
      </c>
      <c r="Q190" s="28" t="str">
        <f>'INCEXC A'!O190</f>
        <v/>
      </c>
      <c r="R190" s="28" t="str">
        <f>'INCEXC B'!O190</f>
        <v/>
      </c>
      <c r="S190" s="28" t="str">
        <f>'INCEXC A'!P190</f>
        <v/>
      </c>
      <c r="T190" s="28" t="str">
        <f>'INCEXC B'!P190</f>
        <v/>
      </c>
      <c r="U190" s="28" t="b">
        <f t="shared" si="4"/>
        <v>1</v>
      </c>
      <c r="V190" s="28" t="b">
        <f t="shared" si="5"/>
        <v>0</v>
      </c>
    </row>
    <row r="191" hidden="1">
      <c r="A191" s="35" t="str">
        <f>'INCEXC A'!A191</f>
        <v>https://doi.org/10.1145/358027.358046</v>
      </c>
      <c r="B191" s="35" t="str">
        <f>'INCEXC B'!A191</f>
        <v>https://doi.org/10.1145/358027.358046</v>
      </c>
      <c r="C191" s="28" t="b">
        <f t="shared" si="1"/>
        <v>1</v>
      </c>
      <c r="D191" s="28" t="str">
        <f>'INCEXC A'!B191</f>
        <v>10.1145/358027.358046</v>
      </c>
      <c r="E191" s="28" t="str">
        <f>'INCEXC A'!C191</f>
        <v>Languages: three interviews</v>
      </c>
      <c r="F191" s="28" t="str">
        <f>'INCEXC A'!D191</f>
        <v>Marilyn</v>
      </c>
      <c r="G191" s="28" t="str">
        <f>'INCEXC B'!D191</f>
        <v>Ceren</v>
      </c>
      <c r="H191" s="28" t="str">
        <f>'INCEXC A'!E191</f>
        <v>Exclude</v>
      </c>
      <c r="I191" s="28" t="str">
        <f>'INCEXC B'!E191</f>
        <v>Exclude</v>
      </c>
      <c r="J191" s="28" t="b">
        <f t="shared" si="2"/>
        <v>1</v>
      </c>
      <c r="K191" s="28" t="b">
        <f t="shared" si="3"/>
        <v>0</v>
      </c>
      <c r="L191" s="28" t="str">
        <f>'INCEXC A'!L191</f>
        <v/>
      </c>
      <c r="M191" s="28" t="str">
        <f>'INCEXC B'!L191</f>
        <v/>
      </c>
      <c r="O191" s="28" t="str">
        <f>'INCEXC A'!M191</f>
        <v/>
      </c>
      <c r="P191" s="28" t="str">
        <f>'INCEXC A'!N191</f>
        <v/>
      </c>
      <c r="Q191" s="28" t="str">
        <f>'INCEXC A'!O191</f>
        <v/>
      </c>
      <c r="R191" s="28" t="str">
        <f>'INCEXC B'!O191</f>
        <v/>
      </c>
      <c r="S191" s="28" t="str">
        <f>'INCEXC A'!P191</f>
        <v/>
      </c>
      <c r="T191" s="28" t="str">
        <f>'INCEXC B'!P191</f>
        <v/>
      </c>
      <c r="U191" s="28" t="b">
        <f t="shared" si="4"/>
        <v>1</v>
      </c>
      <c r="V191" s="28" t="b">
        <f t="shared" si="5"/>
        <v>0</v>
      </c>
    </row>
    <row r="192" hidden="1">
      <c r="A192" s="35" t="str">
        <f>'INCEXC A'!A192</f>
        <v>https://doi.org/10.1145/3582515.3609571</v>
      </c>
      <c r="B192" s="35" t="str">
        <f>'INCEXC B'!A192</f>
        <v>https://doi.org/10.1145/3582515.3609571</v>
      </c>
      <c r="C192" s="28" t="b">
        <f t="shared" si="1"/>
        <v>1</v>
      </c>
      <c r="D192" s="28" t="str">
        <f>'INCEXC A'!B192</f>
        <v>10.1145/3582515.3609571</v>
      </c>
      <c r="E192" s="28" t="str">
        <f>'INCEXC A'!C192</f>
        <v>The 8th Continent: Echoing the Unheard Sounds of Pollution</v>
      </c>
      <c r="F192" s="28" t="str">
        <f>'INCEXC A'!D192</f>
        <v>Jonathan</v>
      </c>
      <c r="G192" s="28" t="str">
        <f>'INCEXC B'!D192</f>
        <v>Ceren</v>
      </c>
      <c r="H192" s="28" t="str">
        <f>'INCEXC A'!E192</f>
        <v>Exclude</v>
      </c>
      <c r="I192" s="28" t="str">
        <f>'INCEXC B'!E192</f>
        <v>Exclude</v>
      </c>
      <c r="J192" s="28" t="b">
        <f t="shared" si="2"/>
        <v>1</v>
      </c>
      <c r="K192" s="28" t="b">
        <f t="shared" si="3"/>
        <v>0</v>
      </c>
      <c r="L192" s="28" t="str">
        <f>'INCEXC A'!L192</f>
        <v/>
      </c>
      <c r="M192" s="28" t="str">
        <f>'INCEXC B'!L192</f>
        <v/>
      </c>
      <c r="O192" s="28" t="str">
        <f>'INCEXC A'!M192</f>
        <v/>
      </c>
      <c r="P192" s="28" t="str">
        <f>'INCEXC A'!N192</f>
        <v/>
      </c>
      <c r="Q192" s="28" t="str">
        <f>'INCEXC A'!O192</f>
        <v/>
      </c>
      <c r="R192" s="28" t="str">
        <f>'INCEXC B'!O192</f>
        <v/>
      </c>
      <c r="S192" s="28" t="str">
        <f>'INCEXC A'!P192</f>
        <v/>
      </c>
      <c r="T192" s="28" t="str">
        <f>'INCEXC B'!P192</f>
        <v/>
      </c>
      <c r="U192" s="28" t="b">
        <f t="shared" si="4"/>
        <v>1</v>
      </c>
      <c r="V192" s="28" t="b">
        <f t="shared" si="5"/>
        <v>0</v>
      </c>
    </row>
    <row r="193" hidden="1">
      <c r="A193" s="35" t="str">
        <f>'INCEXC A'!A193</f>
        <v>https://doi.org/10.1145/3603269.3604880</v>
      </c>
      <c r="B193" s="35" t="str">
        <f>'INCEXC B'!A193</f>
        <v>https://doi.org/10.1145/3603269.3604880</v>
      </c>
      <c r="C193" s="28" t="b">
        <f t="shared" si="1"/>
        <v>1</v>
      </c>
      <c r="D193" s="28" t="str">
        <f>'INCEXC A'!B193</f>
        <v>10.1145/3603269.3604880</v>
      </c>
      <c r="E193" s="28" t="str">
        <f>'INCEXC A'!C193</f>
        <v>LEED: A Low-Power</v>
      </c>
      <c r="F193" s="28" t="str">
        <f>'INCEXC A'!D193</f>
        <v>Jonathan</v>
      </c>
      <c r="G193" s="28" t="str">
        <f>'INCEXC B'!D193</f>
        <v>Ceren</v>
      </c>
      <c r="H193" s="28" t="str">
        <f>'INCEXC A'!E193</f>
        <v>Exclude</v>
      </c>
      <c r="I193" s="28" t="str">
        <f>'INCEXC B'!E193</f>
        <v>Exclude</v>
      </c>
      <c r="J193" s="28" t="b">
        <f t="shared" si="2"/>
        <v>1</v>
      </c>
      <c r="K193" s="28" t="b">
        <f t="shared" si="3"/>
        <v>0</v>
      </c>
      <c r="L193" s="28" t="str">
        <f>'INCEXC A'!L193</f>
        <v/>
      </c>
      <c r="M193" s="28" t="str">
        <f>'INCEXC B'!L193</f>
        <v/>
      </c>
      <c r="O193" s="28" t="str">
        <f>'INCEXC A'!M193</f>
        <v/>
      </c>
      <c r="P193" s="28" t="str">
        <f>'INCEXC A'!N193</f>
        <v/>
      </c>
      <c r="Q193" s="28" t="str">
        <f>'INCEXC A'!O193</f>
        <v/>
      </c>
      <c r="R193" s="28" t="str">
        <f>'INCEXC B'!O193</f>
        <v/>
      </c>
      <c r="S193" s="28" t="str">
        <f>'INCEXC A'!P193</f>
        <v/>
      </c>
      <c r="T193" s="28" t="str">
        <f>'INCEXC B'!P193</f>
        <v/>
      </c>
      <c r="U193" s="28" t="b">
        <f t="shared" si="4"/>
        <v>1</v>
      </c>
      <c r="V193" s="28" t="b">
        <f t="shared" si="5"/>
        <v>0</v>
      </c>
    </row>
    <row r="194" hidden="1">
      <c r="A194" s="35" t="str">
        <f>'INCEXC A'!A194</f>
        <v>https://doi.org/10.1145/3605764.3623985</v>
      </c>
      <c r="B194" s="35" t="str">
        <f>'INCEXC B'!A194</f>
        <v>https://doi.org/10.1145/3605764.3623985</v>
      </c>
      <c r="C194" s="28" t="b">
        <f t="shared" si="1"/>
        <v>1</v>
      </c>
      <c r="D194" s="28" t="str">
        <f>'INCEXC A'!B194</f>
        <v>10.1145/3605764.3623985</v>
      </c>
      <c r="E194" s="28" t="str">
        <f>'INCEXC A'!C194</f>
        <v>Not What You've Signed Up For: Compromising Real-World LLM-Integrated Applications with Indirect Prompt Injection</v>
      </c>
      <c r="F194" s="28" t="str">
        <f>'INCEXC A'!D194</f>
        <v>Jonathan</v>
      </c>
      <c r="G194" s="28" t="str">
        <f>'INCEXC B'!D194</f>
        <v>Ceren</v>
      </c>
      <c r="H194" s="28" t="str">
        <f>'INCEXC A'!E194</f>
        <v>Exclude</v>
      </c>
      <c r="I194" s="28" t="str">
        <f>'INCEXC B'!E194</f>
        <v>Exclude</v>
      </c>
      <c r="J194" s="28" t="b">
        <f t="shared" si="2"/>
        <v>1</v>
      </c>
      <c r="K194" s="28" t="b">
        <f t="shared" si="3"/>
        <v>0</v>
      </c>
      <c r="L194" s="28" t="str">
        <f>'INCEXC A'!L194</f>
        <v/>
      </c>
      <c r="M194" s="28" t="str">
        <f>'INCEXC B'!L194</f>
        <v/>
      </c>
      <c r="O194" s="28" t="str">
        <f>'INCEXC A'!M194</f>
        <v/>
      </c>
      <c r="P194" s="28" t="str">
        <f>'INCEXC A'!N194</f>
        <v/>
      </c>
      <c r="Q194" s="28" t="str">
        <f>'INCEXC A'!O194</f>
        <v/>
      </c>
      <c r="R194" s="28" t="str">
        <f>'INCEXC B'!O194</f>
        <v/>
      </c>
      <c r="S194" s="28" t="str">
        <f>'INCEXC A'!P194</f>
        <v/>
      </c>
      <c r="T194" s="28" t="str">
        <f>'INCEXC B'!P194</f>
        <v/>
      </c>
      <c r="U194" s="28" t="b">
        <f t="shared" si="4"/>
        <v>1</v>
      </c>
      <c r="V194" s="28" t="b">
        <f t="shared" si="5"/>
        <v>0</v>
      </c>
    </row>
    <row r="195" hidden="1">
      <c r="A195" s="35" t="str">
        <f>'INCEXC A'!A195</f>
        <v>https://doi.org/10.1145/3610027</v>
      </c>
      <c r="B195" s="35" t="str">
        <f>'INCEXC B'!A195</f>
        <v>https://doi.org/10.1145/3610027</v>
      </c>
      <c r="C195" s="28" t="b">
        <f t="shared" si="1"/>
        <v>1</v>
      </c>
      <c r="D195" s="28" t="str">
        <f>'INCEXC A'!B195</f>
        <v>10.1145/3610027</v>
      </c>
      <c r="E195" s="28" t="str">
        <f>'INCEXC A'!C195</f>
        <v>Creepy Towards My Avatar Body	Creepy Towards My Body: How Women Experience and Manage Harassment Risks in Social Virtual Reality</v>
      </c>
      <c r="F195" s="28" t="str">
        <f>'INCEXC A'!D195</f>
        <v>Marilyn</v>
      </c>
      <c r="G195" s="28" t="str">
        <f>'INCEXC B'!D195</f>
        <v>Ceren</v>
      </c>
      <c r="H195" s="28" t="str">
        <f>'INCEXC A'!E195</f>
        <v>Exclude</v>
      </c>
      <c r="I195" s="28" t="str">
        <f>'INCEXC B'!E195</f>
        <v>Exclude</v>
      </c>
      <c r="J195" s="28" t="b">
        <f t="shared" si="2"/>
        <v>1</v>
      </c>
      <c r="K195" s="28" t="b">
        <f t="shared" si="3"/>
        <v>0</v>
      </c>
      <c r="L195" s="28" t="str">
        <f>'INCEXC A'!L195</f>
        <v/>
      </c>
      <c r="M195" s="28" t="str">
        <f>'INCEXC B'!L195</f>
        <v/>
      </c>
      <c r="O195" s="28" t="str">
        <f>'INCEXC A'!M195</f>
        <v/>
      </c>
      <c r="P195" s="28" t="str">
        <f>'INCEXC A'!N195</f>
        <v/>
      </c>
      <c r="Q195" s="28" t="str">
        <f>'INCEXC A'!O195</f>
        <v/>
      </c>
      <c r="R195" s="28" t="str">
        <f>'INCEXC B'!O195</f>
        <v/>
      </c>
      <c r="S195" s="28" t="str">
        <f>'INCEXC A'!P195</f>
        <v/>
      </c>
      <c r="T195" s="28" t="str">
        <f>'INCEXC B'!P195</f>
        <v/>
      </c>
      <c r="U195" s="28" t="b">
        <f t="shared" si="4"/>
        <v>1</v>
      </c>
      <c r="V195" s="28" t="b">
        <f t="shared" si="5"/>
        <v>0</v>
      </c>
    </row>
    <row r="196" hidden="1">
      <c r="A196" s="35" t="str">
        <f>'INCEXC A'!A196</f>
        <v>https://doi.org/10.1145/3610073</v>
      </c>
      <c r="B196" s="35" t="str">
        <f>'INCEXC B'!A196</f>
        <v>https://doi.org/10.1145/3610073</v>
      </c>
      <c r="C196" s="28" t="b">
        <f t="shared" si="1"/>
        <v>1</v>
      </c>
      <c r="D196" s="28" t="str">
        <f>'INCEXC A'!B196</f>
        <v>10.1145/3610073</v>
      </c>
      <c r="E196" s="28" t="str">
        <f>'INCEXC A'!C196</f>
        <v>It Takes Two to Avoid Pregnancy: Addressing Conflicting Perceptions of Birth Control Pill Responsibility in Romantic Relationships</v>
      </c>
      <c r="F196" s="28" t="str">
        <f>'INCEXC A'!D196</f>
        <v>Kaiser</v>
      </c>
      <c r="G196" s="28" t="str">
        <f>'INCEXC B'!D196</f>
        <v>Ceren</v>
      </c>
      <c r="H196" s="28" t="str">
        <f>'INCEXC A'!E196</f>
        <v>Exclude</v>
      </c>
      <c r="I196" s="28" t="str">
        <f>'INCEXC B'!E196</f>
        <v>Exclude</v>
      </c>
      <c r="J196" s="28" t="b">
        <f t="shared" si="2"/>
        <v>1</v>
      </c>
      <c r="K196" s="28" t="b">
        <f t="shared" si="3"/>
        <v>0</v>
      </c>
      <c r="L196" s="28" t="str">
        <f>'INCEXC A'!L196</f>
        <v/>
      </c>
      <c r="M196" s="28" t="str">
        <f>'INCEXC B'!L196</f>
        <v/>
      </c>
      <c r="O196" s="28" t="str">
        <f>'INCEXC A'!M196</f>
        <v/>
      </c>
      <c r="P196" s="28" t="str">
        <f>'INCEXC A'!N196</f>
        <v/>
      </c>
      <c r="Q196" s="28" t="str">
        <f>'INCEXC A'!O196</f>
        <v/>
      </c>
      <c r="R196" s="28" t="str">
        <f>'INCEXC B'!O196</f>
        <v/>
      </c>
      <c r="S196" s="28" t="str">
        <f>'INCEXC A'!P196</f>
        <v/>
      </c>
      <c r="T196" s="28" t="str">
        <f>'INCEXC B'!P196</f>
        <v/>
      </c>
      <c r="U196" s="28" t="b">
        <f t="shared" si="4"/>
        <v>1</v>
      </c>
      <c r="V196" s="28" t="b">
        <f t="shared" si="5"/>
        <v>0</v>
      </c>
    </row>
    <row r="197" hidden="1">
      <c r="A197" s="35" t="str">
        <f>'INCEXC A'!A197</f>
        <v>https://doi.org/10.1145/3613904.3642038</v>
      </c>
      <c r="B197" s="35" t="str">
        <f>'INCEXC B'!A197</f>
        <v>https://doi.org/10.1145/3613904.3642038</v>
      </c>
      <c r="C197" s="28" t="b">
        <f t="shared" si="1"/>
        <v>1</v>
      </c>
      <c r="D197" s="28" t="str">
        <f>'INCEXC A'!B197</f>
        <v>10.1145/3613904.3642038</v>
      </c>
      <c r="E197" s="28" t="str">
        <f>'INCEXC A'!C197</f>
        <v>Giving Robots a Voice: Human-in-the-Loop Voice Creation and open-ended Labeling</v>
      </c>
      <c r="F197" s="28" t="str">
        <f>'INCEXC A'!D197</f>
        <v>Jonathan</v>
      </c>
      <c r="G197" s="28" t="str">
        <f>'INCEXC B'!D197</f>
        <v>Ceren</v>
      </c>
      <c r="H197" s="28" t="str">
        <f>'INCEXC A'!E197</f>
        <v>Exclude</v>
      </c>
      <c r="I197" s="28" t="str">
        <f>'INCEXC B'!E197</f>
        <v>Exclude</v>
      </c>
      <c r="J197" s="28" t="b">
        <f t="shared" si="2"/>
        <v>1</v>
      </c>
      <c r="K197" s="28" t="b">
        <f t="shared" si="3"/>
        <v>0</v>
      </c>
      <c r="L197" s="28" t="str">
        <f>'INCEXC A'!L197</f>
        <v/>
      </c>
      <c r="M197" s="28" t="str">
        <f>'INCEXC B'!L197</f>
        <v/>
      </c>
      <c r="O197" s="28" t="str">
        <f>'INCEXC A'!M197</f>
        <v/>
      </c>
      <c r="P197" s="28" t="str">
        <f>'INCEXC A'!N197</f>
        <v/>
      </c>
      <c r="Q197" s="28" t="str">
        <f>'INCEXC A'!O197</f>
        <v/>
      </c>
      <c r="R197" s="28" t="str">
        <f>'INCEXC B'!O197</f>
        <v/>
      </c>
      <c r="S197" s="28" t="str">
        <f>'INCEXC A'!P197</f>
        <v/>
      </c>
      <c r="T197" s="28" t="str">
        <f>'INCEXC B'!P197</f>
        <v/>
      </c>
      <c r="U197" s="28" t="b">
        <f t="shared" si="4"/>
        <v>1</v>
      </c>
      <c r="V197" s="28" t="b">
        <f t="shared" si="5"/>
        <v>0</v>
      </c>
    </row>
    <row r="198" hidden="1">
      <c r="A198" s="35" t="str">
        <f>'INCEXC A'!A198</f>
        <v>https://doi.org/10.1145/3613904.3642159</v>
      </c>
      <c r="B198" s="35" t="str">
        <f>'INCEXC B'!A198</f>
        <v>https://doi.org/10.1145/3613904.3642159</v>
      </c>
      <c r="C198" s="28" t="b">
        <f t="shared" si="1"/>
        <v>1</v>
      </c>
      <c r="D198" s="28" t="str">
        <f>'INCEXC A'!B198</f>
        <v>10.1145/3613904.3642159</v>
      </c>
      <c r="E198" s="28" t="str">
        <f>'INCEXC A'!C198</f>
        <v>Rehearsal: Simulating Conflict to Teach Conflict Resolution</v>
      </c>
      <c r="F198" s="28" t="str">
        <f>'INCEXC A'!D198</f>
        <v>Kaiser</v>
      </c>
      <c r="G198" s="28" t="str">
        <f>'INCEXC B'!D198</f>
        <v>Ceren</v>
      </c>
      <c r="H198" s="28" t="str">
        <f>'INCEXC A'!E198</f>
        <v>Exclude</v>
      </c>
      <c r="I198" s="28" t="str">
        <f>'INCEXC B'!E198</f>
        <v>Exclude</v>
      </c>
      <c r="J198" s="28" t="b">
        <f t="shared" si="2"/>
        <v>1</v>
      </c>
      <c r="K198" s="28" t="b">
        <f t="shared" si="3"/>
        <v>0</v>
      </c>
      <c r="L198" s="28" t="str">
        <f>'INCEXC A'!L198</f>
        <v/>
      </c>
      <c r="M198" s="28" t="str">
        <f>'INCEXC B'!L198</f>
        <v/>
      </c>
      <c r="O198" s="28" t="str">
        <f>'INCEXC A'!M198</f>
        <v/>
      </c>
      <c r="P198" s="28" t="str">
        <f>'INCEXC A'!N198</f>
        <v/>
      </c>
      <c r="Q198" s="28" t="str">
        <f>'INCEXC A'!O198</f>
        <v/>
      </c>
      <c r="R198" s="28" t="str">
        <f>'INCEXC B'!O198</f>
        <v/>
      </c>
      <c r="S198" s="28" t="str">
        <f>'INCEXC A'!P198</f>
        <v/>
      </c>
      <c r="T198" s="28" t="str">
        <f>'INCEXC B'!P198</f>
        <v/>
      </c>
      <c r="U198" s="28" t="b">
        <f t="shared" si="4"/>
        <v>1</v>
      </c>
      <c r="V198" s="28" t="b">
        <f t="shared" si="5"/>
        <v>0</v>
      </c>
    </row>
    <row r="199" hidden="1">
      <c r="A199" s="35" t="str">
        <f>'INCEXC A'!A199</f>
        <v>https://doi.org/10.1145/3630106.3659037</v>
      </c>
      <c r="B199" s="35" t="str">
        <f>'INCEXC B'!A199</f>
        <v>https://doi.org/10.1145/3630106.3659037</v>
      </c>
      <c r="C199" s="28" t="b">
        <f t="shared" si="1"/>
        <v>1</v>
      </c>
      <c r="D199" s="28" t="str">
        <f>'INCEXC A'!B199</f>
        <v>10.1145/3630106.3659037</v>
      </c>
      <c r="E199" s="28" t="str">
        <f>'INCEXC A'!C199</f>
        <v>Black-Box Access is Insufficient for Rigorous AI Audits</v>
      </c>
      <c r="F199" s="28" t="str">
        <f>'INCEXC A'!D199</f>
        <v>Kaiser</v>
      </c>
      <c r="G199" s="28" t="str">
        <f>'INCEXC B'!D199</f>
        <v>Ceren</v>
      </c>
      <c r="H199" s="28" t="str">
        <f>'INCEXC A'!E199</f>
        <v>Exclude</v>
      </c>
      <c r="I199" s="28" t="str">
        <f>'INCEXC B'!E199</f>
        <v>Exclude</v>
      </c>
      <c r="J199" s="28" t="b">
        <f t="shared" si="2"/>
        <v>1</v>
      </c>
      <c r="K199" s="28" t="b">
        <f t="shared" si="3"/>
        <v>0</v>
      </c>
      <c r="L199" s="28" t="str">
        <f>'INCEXC A'!L199</f>
        <v/>
      </c>
      <c r="M199" s="28" t="str">
        <f>'INCEXC B'!L199</f>
        <v/>
      </c>
      <c r="O199" s="28" t="str">
        <f>'INCEXC A'!M199</f>
        <v/>
      </c>
      <c r="P199" s="28" t="str">
        <f>'INCEXC A'!N199</f>
        <v/>
      </c>
      <c r="Q199" s="28" t="str">
        <f>'INCEXC A'!O199</f>
        <v/>
      </c>
      <c r="R199" s="28" t="str">
        <f>'INCEXC B'!O199</f>
        <v/>
      </c>
      <c r="S199" s="28" t="str">
        <f>'INCEXC A'!P199</f>
        <v/>
      </c>
      <c r="T199" s="28" t="str">
        <f>'INCEXC B'!P199</f>
        <v/>
      </c>
      <c r="U199" s="28" t="b">
        <f t="shared" si="4"/>
        <v>1</v>
      </c>
      <c r="V199" s="28" t="b">
        <f t="shared" si="5"/>
        <v>0</v>
      </c>
    </row>
    <row r="200" hidden="1">
      <c r="A200" s="35" t="str">
        <f>'INCEXC A'!A200</f>
        <v>https://doi.org/10.1145/3637528.3671481</v>
      </c>
      <c r="B200" s="35" t="str">
        <f>'INCEXC B'!A200</f>
        <v>https://doi.org/10.1145/3637528.3671481</v>
      </c>
      <c r="C200" s="28" t="b">
        <f t="shared" si="1"/>
        <v>1</v>
      </c>
      <c r="D200" s="28" t="str">
        <f>'INCEXC A'!B200</f>
        <v>10.1145/3637528.3671481</v>
      </c>
      <c r="E200" s="28" t="str">
        <f>'INCEXC A'!C200</f>
        <v>KDD workshop on Evaluation and Trustworthiness of Generative AI Models</v>
      </c>
      <c r="F200" s="28" t="str">
        <f>'INCEXC A'!D200</f>
        <v>Jonathan</v>
      </c>
      <c r="G200" s="28" t="str">
        <f>'INCEXC B'!D200</f>
        <v>Danni</v>
      </c>
      <c r="H200" s="28" t="str">
        <f>'INCEXC A'!E200</f>
        <v>Exclude</v>
      </c>
      <c r="I200" s="28" t="str">
        <f>'INCEXC B'!E200</f>
        <v>Exclude</v>
      </c>
      <c r="J200" s="28" t="b">
        <f t="shared" si="2"/>
        <v>1</v>
      </c>
      <c r="K200" s="28" t="b">
        <f t="shared" si="3"/>
        <v>0</v>
      </c>
      <c r="L200" s="28" t="str">
        <f>'INCEXC A'!L200</f>
        <v/>
      </c>
      <c r="M200" s="28" t="str">
        <f>'INCEXC B'!L200</f>
        <v/>
      </c>
      <c r="O200" s="28" t="str">
        <f>'INCEXC A'!M200</f>
        <v/>
      </c>
      <c r="P200" s="28" t="str">
        <f>'INCEXC A'!N200</f>
        <v/>
      </c>
      <c r="Q200" s="28" t="str">
        <f>'INCEXC A'!O200</f>
        <v/>
      </c>
      <c r="R200" s="28" t="str">
        <f>'INCEXC B'!O200</f>
        <v/>
      </c>
      <c r="S200" s="28" t="str">
        <f>'INCEXC A'!P200</f>
        <v/>
      </c>
      <c r="T200" s="28" t="str">
        <f>'INCEXC B'!P200</f>
        <v/>
      </c>
      <c r="U200" s="28" t="b">
        <f t="shared" si="4"/>
        <v>1</v>
      </c>
      <c r="V200" s="28" t="b">
        <f t="shared" si="5"/>
        <v>0</v>
      </c>
    </row>
    <row r="201" hidden="1">
      <c r="A201" s="35" t="str">
        <f>'INCEXC A'!A201</f>
        <v>https://doi.org/10.1145/3639372</v>
      </c>
      <c r="B201" s="35" t="str">
        <f>'INCEXC B'!A201</f>
        <v>https://doi.org/10.1145/3639372</v>
      </c>
      <c r="C201" s="28" t="b">
        <f t="shared" si="1"/>
        <v>1</v>
      </c>
      <c r="D201" s="28" t="str">
        <f>'INCEXC A'!B201</f>
        <v>10.1145/3639372</v>
      </c>
      <c r="E201" s="28" t="str">
        <f>'INCEXC A'!C201</f>
        <v>Explainability for Large Language Models: A Survey</v>
      </c>
      <c r="F201" s="28" t="str">
        <f>'INCEXC A'!D201</f>
        <v>Marilyn</v>
      </c>
      <c r="G201" s="28" t="str">
        <f>'INCEXC B'!D201</f>
        <v>Ceren</v>
      </c>
      <c r="H201" s="28" t="str">
        <f>'INCEXC A'!E201</f>
        <v>Exclude</v>
      </c>
      <c r="I201" s="28" t="str">
        <f>'INCEXC B'!E201</f>
        <v>Exclude</v>
      </c>
      <c r="J201" s="28" t="b">
        <f t="shared" si="2"/>
        <v>1</v>
      </c>
      <c r="K201" s="28" t="b">
        <f t="shared" si="3"/>
        <v>0</v>
      </c>
      <c r="L201" s="28" t="str">
        <f>'INCEXC A'!L201</f>
        <v/>
      </c>
      <c r="M201" s="28" t="str">
        <f>'INCEXC B'!L201</f>
        <v/>
      </c>
      <c r="O201" s="28" t="str">
        <f>'INCEXC A'!M201</f>
        <v/>
      </c>
      <c r="P201" s="28" t="str">
        <f>'INCEXC A'!N201</f>
        <v/>
      </c>
      <c r="Q201" s="28" t="str">
        <f>'INCEXC A'!O201</f>
        <v/>
      </c>
      <c r="R201" s="28" t="str">
        <f>'INCEXC B'!O201</f>
        <v/>
      </c>
      <c r="S201" s="28" t="str">
        <f>'INCEXC A'!P201</f>
        <v/>
      </c>
      <c r="T201" s="28" t="str">
        <f>'INCEXC B'!P201</f>
        <v/>
      </c>
      <c r="U201" s="28" t="b">
        <f t="shared" si="4"/>
        <v>1</v>
      </c>
      <c r="V201" s="28" t="b">
        <f t="shared" si="5"/>
        <v>0</v>
      </c>
    </row>
    <row r="202" hidden="1">
      <c r="A202" s="35" t="str">
        <f>'INCEXC A'!A202</f>
        <v>https://doi.org/10.1145/3640352</v>
      </c>
      <c r="B202" s="35" t="str">
        <f>'INCEXC B'!A202</f>
        <v>https://doi.org/10.1145/3640352</v>
      </c>
      <c r="C202" s="28" t="b">
        <f t="shared" si="1"/>
        <v>1</v>
      </c>
      <c r="D202" s="28" t="str">
        <f>'INCEXC A'!B202</f>
        <v>10.1145/3640352</v>
      </c>
      <c r="E202" s="28" t="str">
        <f>'INCEXC A'!C202</f>
        <v>Thirsty Fabs</v>
      </c>
      <c r="F202" s="28" t="str">
        <f>'INCEXC A'!D202</f>
        <v>Marilyn</v>
      </c>
      <c r="G202" s="28" t="str">
        <f>'INCEXC B'!D202</f>
        <v>Taylor</v>
      </c>
      <c r="H202" s="28" t="str">
        <f>'INCEXC A'!E202</f>
        <v>Exclude</v>
      </c>
      <c r="I202" s="28" t="str">
        <f>'INCEXC B'!E202</f>
        <v>Exclude</v>
      </c>
      <c r="J202" s="28" t="b">
        <f t="shared" si="2"/>
        <v>1</v>
      </c>
      <c r="K202" s="28" t="b">
        <f t="shared" si="3"/>
        <v>0</v>
      </c>
      <c r="L202" s="28" t="str">
        <f>'INCEXC A'!L202</f>
        <v/>
      </c>
      <c r="M202" s="28" t="str">
        <f>'INCEXC B'!L202</f>
        <v/>
      </c>
      <c r="O202" s="28" t="str">
        <f>'INCEXC A'!M202</f>
        <v/>
      </c>
      <c r="P202" s="28" t="str">
        <f>'INCEXC A'!N202</f>
        <v/>
      </c>
      <c r="Q202" s="28" t="str">
        <f>'INCEXC A'!O202</f>
        <v/>
      </c>
      <c r="R202" s="28" t="str">
        <f>'INCEXC B'!O202</f>
        <v/>
      </c>
      <c r="S202" s="28" t="str">
        <f>'INCEXC A'!P202</f>
        <v/>
      </c>
      <c r="T202" s="28" t="str">
        <f>'INCEXC B'!P202</f>
        <v/>
      </c>
      <c r="U202" s="28" t="b">
        <f t="shared" si="4"/>
        <v>1</v>
      </c>
      <c r="V202" s="28" t="b">
        <f t="shared" si="5"/>
        <v>0</v>
      </c>
    </row>
    <row r="203" hidden="1">
      <c r="A203" s="35" t="str">
        <f>'INCEXC A'!A203</f>
        <v>https://doi.org/10.1145/3640543.3645148</v>
      </c>
      <c r="B203" s="35" t="str">
        <f>'INCEXC B'!A203</f>
        <v>https://doi.org/10.1145/3640543.3645148</v>
      </c>
      <c r="C203" s="28" t="b">
        <f t="shared" si="1"/>
        <v>1</v>
      </c>
      <c r="D203" s="28" t="str">
        <f>'INCEXC A'!B203</f>
        <v>10.1145/3640543.3645148</v>
      </c>
      <c r="E203" s="28" t="str">
        <f>'INCEXC A'!C203</f>
        <v>Understanding Users’ Dissatisfaction with ChatGPT Responses: Types</v>
      </c>
      <c r="F203" s="28" t="str">
        <f>'INCEXC A'!D203</f>
        <v>Kaiser</v>
      </c>
      <c r="G203" s="28" t="str">
        <f>'INCEXC B'!D203</f>
        <v>Danni</v>
      </c>
      <c r="H203" s="28" t="str">
        <f>'INCEXC A'!E203</f>
        <v>Exclude</v>
      </c>
      <c r="I203" s="28" t="str">
        <f>'INCEXC B'!E203</f>
        <v>Exclude</v>
      </c>
      <c r="J203" s="28" t="b">
        <f t="shared" si="2"/>
        <v>1</v>
      </c>
      <c r="K203" s="28" t="b">
        <f t="shared" si="3"/>
        <v>0</v>
      </c>
      <c r="L203" s="28" t="str">
        <f>'INCEXC A'!L203</f>
        <v/>
      </c>
      <c r="M203" s="28" t="str">
        <f>'INCEXC B'!L203</f>
        <v/>
      </c>
      <c r="O203" s="28" t="str">
        <f>'INCEXC A'!M203</f>
        <v/>
      </c>
      <c r="P203" s="28" t="str">
        <f>'INCEXC A'!N203</f>
        <v/>
      </c>
      <c r="Q203" s="28" t="str">
        <f>'INCEXC A'!O203</f>
        <v/>
      </c>
      <c r="R203" s="28" t="str">
        <f>'INCEXC B'!O203</f>
        <v/>
      </c>
      <c r="S203" s="28" t="str">
        <f>'INCEXC A'!P203</f>
        <v/>
      </c>
      <c r="T203" s="28" t="str">
        <f>'INCEXC B'!P203</f>
        <v/>
      </c>
      <c r="U203" s="28" t="b">
        <f t="shared" si="4"/>
        <v>1</v>
      </c>
      <c r="V203" s="28" t="b">
        <f t="shared" si="5"/>
        <v>0</v>
      </c>
    </row>
    <row r="204" hidden="1">
      <c r="A204" s="35" t="str">
        <f>'INCEXC A'!A204</f>
        <v>https://doi.org/10.1145/3642979.3642984</v>
      </c>
      <c r="B204" s="35" t="str">
        <f>'INCEXC B'!A204</f>
        <v>https://doi.org/10.1145/3642979.3642984</v>
      </c>
      <c r="C204" s="28" t="b">
        <f t="shared" si="1"/>
        <v>1</v>
      </c>
      <c r="D204" s="28" t="str">
        <f>'INCEXC A'!B204</f>
        <v>10.1145/3642979.3642984</v>
      </c>
      <c r="E204" s="28" t="str">
        <f>'INCEXC A'!C204</f>
        <v>Evaluating Parrots and Sociopathic Liars: A keynote at ICTIR 2023</v>
      </c>
      <c r="F204" s="28" t="str">
        <f>'INCEXC A'!D204</f>
        <v>Marilyn</v>
      </c>
      <c r="G204" s="28" t="str">
        <f>'INCEXC B'!D204</f>
        <v>Ceren</v>
      </c>
      <c r="H204" s="28" t="str">
        <f>'INCEXC A'!E204</f>
        <v>Exclude</v>
      </c>
      <c r="I204" s="28" t="str">
        <f>'INCEXC B'!E204</f>
        <v>Exclude</v>
      </c>
      <c r="J204" s="28" t="b">
        <f t="shared" si="2"/>
        <v>1</v>
      </c>
      <c r="K204" s="28" t="b">
        <f t="shared" si="3"/>
        <v>0</v>
      </c>
      <c r="L204" s="28" t="str">
        <f>'INCEXC A'!L204</f>
        <v/>
      </c>
      <c r="M204" s="28" t="str">
        <f>'INCEXC B'!L204</f>
        <v/>
      </c>
      <c r="O204" s="28" t="str">
        <f>'INCEXC A'!M204</f>
        <v/>
      </c>
      <c r="P204" s="28" t="str">
        <f>'INCEXC A'!N204</f>
        <v/>
      </c>
      <c r="Q204" s="28" t="str">
        <f>'INCEXC A'!O204</f>
        <v/>
      </c>
      <c r="R204" s="28" t="str">
        <f>'INCEXC B'!O204</f>
        <v/>
      </c>
      <c r="S204" s="28" t="str">
        <f>'INCEXC A'!P204</f>
        <v/>
      </c>
      <c r="T204" s="28" t="str">
        <f>'INCEXC B'!P204</f>
        <v/>
      </c>
      <c r="U204" s="28" t="b">
        <f t="shared" si="4"/>
        <v>1</v>
      </c>
      <c r="V204" s="28" t="b">
        <f t="shared" si="5"/>
        <v>0</v>
      </c>
    </row>
    <row r="205" hidden="1">
      <c r="A205" s="35" t="str">
        <f>'INCEXC A'!A205</f>
        <v>https://doi.org/10.1145/3643834.3661525</v>
      </c>
      <c r="B205" s="35" t="str">
        <f>'INCEXC B'!A205</f>
        <v>https://doi.org/10.1145/3643834.3661525</v>
      </c>
      <c r="C205" s="28" t="b">
        <f t="shared" si="1"/>
        <v>1</v>
      </c>
      <c r="D205" s="28" t="str">
        <f>'INCEXC A'!B205</f>
        <v>10.1145/3643834.3661525</v>
      </c>
      <c r="E205" s="28" t="str">
        <f>'INCEXC A'!C205</f>
        <v>Imagining a Future of Designing with AI: Dynamic Grounding</v>
      </c>
      <c r="F205" s="28" t="str">
        <f>'INCEXC A'!D205</f>
        <v>Marilyn</v>
      </c>
      <c r="G205" s="28" t="str">
        <f>'INCEXC B'!D205</f>
        <v>Danni</v>
      </c>
      <c r="H205" s="28" t="str">
        <f>'INCEXC A'!E205</f>
        <v>Exclude</v>
      </c>
      <c r="I205" s="28" t="str">
        <f>'INCEXC B'!E205</f>
        <v>Exclude</v>
      </c>
      <c r="J205" s="28" t="b">
        <f t="shared" si="2"/>
        <v>1</v>
      </c>
      <c r="K205" s="28" t="b">
        <f t="shared" si="3"/>
        <v>0</v>
      </c>
      <c r="L205" s="28" t="str">
        <f>'INCEXC A'!L205</f>
        <v/>
      </c>
      <c r="M205" s="28" t="str">
        <f>'INCEXC B'!L205</f>
        <v/>
      </c>
      <c r="O205" s="28" t="str">
        <f>'INCEXC A'!M205</f>
        <v/>
      </c>
      <c r="P205" s="28" t="str">
        <f>'INCEXC A'!N205</f>
        <v/>
      </c>
      <c r="Q205" s="28" t="str">
        <f>'INCEXC A'!O205</f>
        <v/>
      </c>
      <c r="R205" s="28" t="str">
        <f>'INCEXC B'!O205</f>
        <v/>
      </c>
      <c r="S205" s="28" t="str">
        <f>'INCEXC A'!P205</f>
        <v/>
      </c>
      <c r="T205" s="28" t="str">
        <f>'INCEXC B'!P205</f>
        <v/>
      </c>
      <c r="U205" s="28" t="b">
        <f t="shared" si="4"/>
        <v>1</v>
      </c>
      <c r="V205" s="28" t="b">
        <f t="shared" si="5"/>
        <v>0</v>
      </c>
    </row>
    <row r="206" hidden="1">
      <c r="A206" s="35" t="str">
        <f>'INCEXC A'!A206</f>
        <v>https://doi.org/10.1145/3648188.3678216</v>
      </c>
      <c r="B206" s="35" t="str">
        <f>'INCEXC B'!A206</f>
        <v>https://doi.org/10.1145/3648188.3678216</v>
      </c>
      <c r="C206" s="28" t="b">
        <f t="shared" si="1"/>
        <v>1</v>
      </c>
      <c r="D206" s="28" t="str">
        <f>'INCEXC A'!B206</f>
        <v>10.1145/3648188.3678216</v>
      </c>
      <c r="E206" s="28" t="str">
        <f>'INCEXC A'!C206</f>
        <v>Computer</v>
      </c>
      <c r="F206" s="28" t="str">
        <f>'INCEXC A'!D206</f>
        <v>Kaiser</v>
      </c>
      <c r="G206" s="28" t="str">
        <f>'INCEXC B'!D206</f>
        <v>Danni</v>
      </c>
      <c r="H206" s="28" t="str">
        <f>'INCEXC A'!E206</f>
        <v>Exclude</v>
      </c>
      <c r="I206" s="28" t="str">
        <f>'INCEXC B'!E206</f>
        <v>Exclude</v>
      </c>
      <c r="J206" s="28" t="b">
        <f t="shared" si="2"/>
        <v>1</v>
      </c>
      <c r="K206" s="28" t="b">
        <f t="shared" si="3"/>
        <v>0</v>
      </c>
      <c r="L206" s="28" t="str">
        <f>'INCEXC A'!L206</f>
        <v/>
      </c>
      <c r="M206" s="28" t="str">
        <f>'INCEXC B'!L206</f>
        <v/>
      </c>
      <c r="O206" s="28" t="str">
        <f>'INCEXC A'!M206</f>
        <v/>
      </c>
      <c r="P206" s="28" t="str">
        <f>'INCEXC A'!N206</f>
        <v/>
      </c>
      <c r="Q206" s="28" t="str">
        <f>'INCEXC A'!O206</f>
        <v/>
      </c>
      <c r="R206" s="28" t="str">
        <f>'INCEXC B'!O206</f>
        <v/>
      </c>
      <c r="S206" s="28" t="str">
        <f>'INCEXC A'!P206</f>
        <v/>
      </c>
      <c r="T206" s="28" t="str">
        <f>'INCEXC B'!P206</f>
        <v/>
      </c>
      <c r="U206" s="28" t="b">
        <f t="shared" si="4"/>
        <v>1</v>
      </c>
      <c r="V206" s="28" t="b">
        <f t="shared" si="5"/>
        <v>0</v>
      </c>
    </row>
    <row r="207" hidden="1">
      <c r="A207" s="35" t="str">
        <f>'INCEXC A'!A207</f>
        <v>https://doi.org/10.1145/3655103.3655107</v>
      </c>
      <c r="B207" s="35" t="str">
        <f>'INCEXC B'!A207</f>
        <v>https://doi.org/10.1145/3655103.3655107</v>
      </c>
      <c r="C207" s="28" t="b">
        <f t="shared" si="1"/>
        <v>1</v>
      </c>
      <c r="D207" s="28" t="str">
        <f>'INCEXC A'!B207</f>
        <v>10.1145/3655103.3655107</v>
      </c>
      <c r="E207" s="28" t="str">
        <f>'INCEXC A'!C207</f>
        <v>Storage Systems: Organization</v>
      </c>
      <c r="F207" s="28" t="str">
        <f>'INCEXC A'!D207</f>
        <v>Jonathan</v>
      </c>
      <c r="G207" s="28" t="str">
        <f>'INCEXC B'!D207</f>
        <v>Danni</v>
      </c>
      <c r="H207" s="28" t="str">
        <f>'INCEXC A'!E207</f>
        <v>Exclude</v>
      </c>
      <c r="I207" s="28" t="str">
        <f>'INCEXC B'!E207</f>
        <v>Exclude</v>
      </c>
      <c r="J207" s="28" t="b">
        <f t="shared" si="2"/>
        <v>1</v>
      </c>
      <c r="K207" s="28" t="b">
        <f t="shared" si="3"/>
        <v>0</v>
      </c>
      <c r="L207" s="28" t="str">
        <f>'INCEXC A'!L207</f>
        <v/>
      </c>
      <c r="M207" s="28" t="str">
        <f>'INCEXC B'!L207</f>
        <v/>
      </c>
      <c r="O207" s="28" t="str">
        <f>'INCEXC A'!M207</f>
        <v/>
      </c>
      <c r="P207" s="28" t="str">
        <f>'INCEXC A'!N207</f>
        <v/>
      </c>
      <c r="Q207" s="28" t="str">
        <f>'INCEXC A'!O207</f>
        <v/>
      </c>
      <c r="R207" s="28" t="str">
        <f>'INCEXC B'!O207</f>
        <v/>
      </c>
      <c r="S207" s="28" t="str">
        <f>'INCEXC A'!P207</f>
        <v/>
      </c>
      <c r="T207" s="28" t="str">
        <f>'INCEXC B'!P207</f>
        <v/>
      </c>
      <c r="U207" s="28" t="b">
        <f t="shared" si="4"/>
        <v>1</v>
      </c>
      <c r="V207" s="28" t="b">
        <f t="shared" si="5"/>
        <v>0</v>
      </c>
    </row>
    <row r="208" hidden="1">
      <c r="A208" s="35" t="str">
        <f>'INCEXC A'!A208</f>
        <v>https://doi.org/10.1145/3657604.3662042</v>
      </c>
      <c r="B208" s="35" t="str">
        <f>'INCEXC B'!A208</f>
        <v>https://doi.org/10.1145/3657604.3662042</v>
      </c>
      <c r="C208" s="28" t="b">
        <f t="shared" si="1"/>
        <v>1</v>
      </c>
      <c r="D208" s="28" t="str">
        <f>'INCEXC A'!B208</f>
        <v>10.1145/3657604.3662042</v>
      </c>
      <c r="E208" s="28" t="str">
        <f>'INCEXC A'!C208</f>
        <v>Supporting Self-Reflection at Scale with Large Language Models: Insights from Randomized Field Experiments in Classrooms</v>
      </c>
      <c r="F208" s="28" t="str">
        <f>'INCEXC A'!D208</f>
        <v>Jonathan</v>
      </c>
      <c r="G208" s="28" t="str">
        <f>'INCEXC B'!D208</f>
        <v>Ceren</v>
      </c>
      <c r="H208" s="28" t="str">
        <f>'INCEXC A'!E208</f>
        <v>Exclude</v>
      </c>
      <c r="I208" s="28" t="str">
        <f>'INCEXC B'!E208</f>
        <v>Exclude</v>
      </c>
      <c r="J208" s="28" t="b">
        <f t="shared" si="2"/>
        <v>1</v>
      </c>
      <c r="K208" s="28" t="b">
        <f t="shared" si="3"/>
        <v>0</v>
      </c>
      <c r="L208" s="28" t="str">
        <f>'INCEXC A'!L208</f>
        <v/>
      </c>
      <c r="M208" s="28" t="str">
        <f>'INCEXC B'!L208</f>
        <v/>
      </c>
      <c r="O208" s="28" t="str">
        <f>'INCEXC A'!M208</f>
        <v/>
      </c>
      <c r="P208" s="28" t="str">
        <f>'INCEXC A'!N208</f>
        <v/>
      </c>
      <c r="Q208" s="28" t="str">
        <f>'INCEXC A'!O208</f>
        <v/>
      </c>
      <c r="R208" s="28" t="str">
        <f>'INCEXC B'!O208</f>
        <v/>
      </c>
      <c r="S208" s="28" t="str">
        <f>'INCEXC A'!P208</f>
        <v/>
      </c>
      <c r="T208" s="28" t="str">
        <f>'INCEXC B'!P208</f>
        <v/>
      </c>
      <c r="U208" s="28" t="b">
        <f t="shared" si="4"/>
        <v>1</v>
      </c>
      <c r="V208" s="28" t="b">
        <f t="shared" si="5"/>
        <v>0</v>
      </c>
    </row>
    <row r="209" hidden="1">
      <c r="A209" s="35" t="str">
        <f>'INCEXC A'!A209</f>
        <v>https://doi.org/10.1145/3658644.3691638</v>
      </c>
      <c r="B209" s="35" t="str">
        <f>'INCEXC B'!A209</f>
        <v>https://doi.org/10.1145/3658644.3691638</v>
      </c>
      <c r="C209" s="28" t="b">
        <f t="shared" si="1"/>
        <v>1</v>
      </c>
      <c r="D209" s="28" t="str">
        <f>'INCEXC A'!B209</f>
        <v>10.1145/3658644.3691638</v>
      </c>
      <c r="E209" s="28" t="str">
        <f>'INCEXC A'!C209</f>
        <v>Modern problems require modern solutions: Community-Developed Techniques for Online Exam Proctoring Evasion</v>
      </c>
      <c r="F209" s="28" t="str">
        <f>'INCEXC A'!D209</f>
        <v>Marilyn</v>
      </c>
      <c r="G209" s="28" t="str">
        <f>'INCEXC B'!D209</f>
        <v>Taylor</v>
      </c>
      <c r="H209" s="28" t="str">
        <f>'INCEXC A'!E209</f>
        <v>Exclude</v>
      </c>
      <c r="I209" s="28" t="str">
        <f>'INCEXC B'!E209</f>
        <v>Exclude</v>
      </c>
      <c r="J209" s="28" t="b">
        <f t="shared" si="2"/>
        <v>1</v>
      </c>
      <c r="K209" s="28" t="b">
        <f t="shared" si="3"/>
        <v>0</v>
      </c>
      <c r="L209" s="28" t="str">
        <f>'INCEXC A'!L209</f>
        <v/>
      </c>
      <c r="M209" s="28" t="str">
        <f>'INCEXC B'!L209</f>
        <v/>
      </c>
      <c r="O209" s="28" t="str">
        <f>'INCEXC A'!M209</f>
        <v/>
      </c>
      <c r="P209" s="28" t="str">
        <f>'INCEXC A'!N209</f>
        <v/>
      </c>
      <c r="Q209" s="28" t="str">
        <f>'INCEXC A'!O209</f>
        <v/>
      </c>
      <c r="R209" s="28" t="str">
        <f>'INCEXC B'!O209</f>
        <v/>
      </c>
      <c r="S209" s="28" t="str">
        <f>'INCEXC A'!P209</f>
        <v/>
      </c>
      <c r="T209" s="28" t="str">
        <f>'INCEXC B'!P209</f>
        <v/>
      </c>
      <c r="U209" s="28" t="b">
        <f t="shared" si="4"/>
        <v>1</v>
      </c>
      <c r="V209" s="28" t="b">
        <f t="shared" si="5"/>
        <v>0</v>
      </c>
    </row>
    <row r="210">
      <c r="A210" s="35" t="str">
        <f>'INCEXC A'!A210</f>
        <v>https://doi.org/10.1145/3660650.3660656</v>
      </c>
      <c r="B210" s="35" t="str">
        <f>'INCEXC B'!A210</f>
        <v>https://doi.org/10.1145/3660650.3660656</v>
      </c>
      <c r="C210" s="28" t="b">
        <f t="shared" si="1"/>
        <v>1</v>
      </c>
      <c r="D210" s="28" t="str">
        <f>'INCEXC A'!B210</f>
        <v>10.1145/3660650.3660656</v>
      </c>
      <c r="E210" s="28" t="str">
        <f>'INCEXC A'!C210</f>
        <v>Faceless Adversary</v>
      </c>
      <c r="F210" s="28" t="str">
        <f>'INCEXC A'!D210</f>
        <v>Kaiser</v>
      </c>
      <c r="G210" s="28" t="str">
        <f>'INCEXC B'!D210</f>
        <v>Taylor</v>
      </c>
      <c r="H210" s="28" t="str">
        <f>'INCEXC A'!E210</f>
        <v>Include</v>
      </c>
      <c r="I210" s="28" t="str">
        <f>'INCEXC B'!E210</f>
        <v>Include</v>
      </c>
      <c r="J210" s="28" t="b">
        <f t="shared" si="2"/>
        <v>1</v>
      </c>
      <c r="K210" s="28" t="b">
        <f t="shared" si="3"/>
        <v>1</v>
      </c>
      <c r="L210" s="28" t="str">
        <f>'INCEXC A'!L210</f>
        <v/>
      </c>
      <c r="M210" s="28" t="str">
        <f>'INCEXC B'!L210</f>
        <v/>
      </c>
      <c r="O210" s="28" t="str">
        <f>'INCEXC A'!M210</f>
        <v/>
      </c>
      <c r="P210" s="28" t="str">
        <f>'INCEXC A'!N210</f>
        <v/>
      </c>
      <c r="Q210" s="28" t="str">
        <f>'INCEXC A'!O210</f>
        <v/>
      </c>
      <c r="R210" s="28" t="str">
        <f>'INCEXC B'!O210</f>
        <v/>
      </c>
      <c r="S210" s="28" t="str">
        <f>'INCEXC A'!P210</f>
        <v/>
      </c>
      <c r="T210" s="28" t="str">
        <f>'INCEXC B'!P210</f>
        <v/>
      </c>
      <c r="U210" s="28" t="b">
        <f t="shared" si="4"/>
        <v>1</v>
      </c>
      <c r="V210" s="28" t="b">
        <f t="shared" si="5"/>
        <v>0</v>
      </c>
    </row>
    <row r="211">
      <c r="A211" s="35" t="str">
        <f>'INCEXC A'!A211</f>
        <v>https://doi.org/10.1145/3663547.3746319</v>
      </c>
      <c r="B211" s="35" t="str">
        <f>'INCEXC B'!A211</f>
        <v>https://doi.org/10.1145/3663547.3746319</v>
      </c>
      <c r="C211" s="28" t="b">
        <f t="shared" si="1"/>
        <v>1</v>
      </c>
      <c r="D211" s="28" t="str">
        <f>'INCEXC A'!B211</f>
        <v>10.1145/3663547.3746319</v>
      </c>
      <c r="E211" s="28" t="str">
        <f>'INCEXC A'!C211</f>
        <v>Probing the Gaps in ChatGPT's Live Video Chat for Real-World Assistance for People who are Blind or Visually Impaired</v>
      </c>
      <c r="F211" s="28" t="str">
        <f>'INCEXC A'!D211</f>
        <v>Jonathan</v>
      </c>
      <c r="G211" s="28" t="str">
        <f>'INCEXC B'!D211</f>
        <v>Ceren</v>
      </c>
      <c r="H211" s="28" t="str">
        <f>'INCEXC A'!E211</f>
        <v>Include</v>
      </c>
      <c r="I211" s="28" t="str">
        <f>'INCEXC B'!E211</f>
        <v>Include</v>
      </c>
      <c r="J211" s="28" t="b">
        <f t="shared" si="2"/>
        <v>1</v>
      </c>
      <c r="K211" s="28" t="b">
        <f t="shared" si="3"/>
        <v>1</v>
      </c>
      <c r="L211" s="28" t="str">
        <f>'INCEXC A'!L211</f>
        <v/>
      </c>
      <c r="M211" s="28" t="str">
        <f>'INCEXC B'!L211</f>
        <v/>
      </c>
      <c r="O211" s="28" t="str">
        <f>'INCEXC A'!M211</f>
        <v/>
      </c>
      <c r="P211" s="28" t="str">
        <f>'INCEXC A'!N211</f>
        <v/>
      </c>
      <c r="Q211" s="28" t="str">
        <f>'INCEXC A'!O211</f>
        <v/>
      </c>
      <c r="R211" s="28" t="str">
        <f>'INCEXC B'!O211</f>
        <v/>
      </c>
      <c r="S211" s="28" t="str">
        <f>'INCEXC A'!P211</f>
        <v/>
      </c>
      <c r="T211" s="28" t="str">
        <f>'INCEXC B'!P211</f>
        <v/>
      </c>
      <c r="U211" s="28" t="b">
        <f t="shared" si="4"/>
        <v>1</v>
      </c>
      <c r="V211" s="28" t="b">
        <f t="shared" si="5"/>
        <v>0</v>
      </c>
    </row>
    <row r="212" hidden="1">
      <c r="A212" s="35" t="str">
        <f>'INCEXC A'!A212</f>
        <v>https://doi.org/10.1145/3671016.3674821</v>
      </c>
      <c r="B212" s="35" t="str">
        <f>'INCEXC B'!A212</f>
        <v>https://doi.org/10.1145/3671016.3674821</v>
      </c>
      <c r="C212" s="28" t="b">
        <f t="shared" si="1"/>
        <v>1</v>
      </c>
      <c r="D212" s="28" t="str">
        <f>'INCEXC A'!B212</f>
        <v>10.1145/3671016.3674821</v>
      </c>
      <c r="E212" s="28" t="str">
        <f>'INCEXC A'!C212</f>
        <v>An Exploratory Evaluation of Large Language Models Using Empirical Software Engineering Tasks</v>
      </c>
      <c r="F212" s="28" t="str">
        <f>'INCEXC A'!D212</f>
        <v>Marilyn</v>
      </c>
      <c r="G212" s="28" t="str">
        <f>'INCEXC B'!D212</f>
        <v>Danni</v>
      </c>
      <c r="H212" s="28" t="str">
        <f>'INCEXC A'!E212</f>
        <v>Exclude</v>
      </c>
      <c r="I212" s="28" t="str">
        <f>'INCEXC B'!E212</f>
        <v>Exclude</v>
      </c>
      <c r="J212" s="28" t="b">
        <f t="shared" si="2"/>
        <v>1</v>
      </c>
      <c r="K212" s="28" t="b">
        <f t="shared" si="3"/>
        <v>0</v>
      </c>
      <c r="L212" s="28" t="str">
        <f>'INCEXC A'!L212</f>
        <v/>
      </c>
      <c r="M212" s="28" t="str">
        <f>'INCEXC B'!L212</f>
        <v/>
      </c>
      <c r="O212" s="28" t="str">
        <f>'INCEXC A'!M212</f>
        <v/>
      </c>
      <c r="P212" s="28" t="str">
        <f>'INCEXC A'!N212</f>
        <v/>
      </c>
      <c r="Q212" s="28" t="str">
        <f>'INCEXC A'!O212</f>
        <v/>
      </c>
      <c r="R212" s="28" t="str">
        <f>'INCEXC B'!O212</f>
        <v/>
      </c>
      <c r="S212" s="28" t="str">
        <f>'INCEXC A'!P212</f>
        <v/>
      </c>
      <c r="T212" s="28" t="str">
        <f>'INCEXC B'!P212</f>
        <v/>
      </c>
      <c r="U212" s="28" t="b">
        <f t="shared" si="4"/>
        <v>1</v>
      </c>
      <c r="V212" s="28" t="b">
        <f t="shared" si="5"/>
        <v>0</v>
      </c>
    </row>
    <row r="213" hidden="1">
      <c r="A213" s="35" t="str">
        <f>'INCEXC A'!A213</f>
        <v>https://doi.org/10.1145/3676536.3698390</v>
      </c>
      <c r="B213" s="35" t="str">
        <f>'INCEXC B'!A213</f>
        <v>https://doi.org/10.1145/3676536.3698390</v>
      </c>
      <c r="C213" s="28" t="b">
        <f t="shared" si="1"/>
        <v>1</v>
      </c>
      <c r="D213" s="28" t="str">
        <f>'INCEXC A'!B213</f>
        <v>10.1145/3676536.3698390</v>
      </c>
      <c r="E213" s="28" t="str">
        <f>'INCEXC A'!C213</f>
        <v>Generative AI Agents in Autonomous Machines: A Safety Perspective</v>
      </c>
      <c r="F213" s="28" t="str">
        <f>'INCEXC A'!D213</f>
        <v>Kaiser</v>
      </c>
      <c r="G213" s="28" t="str">
        <f>'INCEXC B'!D213</f>
        <v>Taylor</v>
      </c>
      <c r="H213" s="28" t="str">
        <f>'INCEXC A'!E213</f>
        <v>Exclude</v>
      </c>
      <c r="I213" s="28" t="str">
        <f>'INCEXC B'!E213</f>
        <v>Exclude</v>
      </c>
      <c r="J213" s="28" t="b">
        <f t="shared" si="2"/>
        <v>1</v>
      </c>
      <c r="K213" s="28" t="b">
        <f t="shared" si="3"/>
        <v>0</v>
      </c>
      <c r="L213" s="28" t="str">
        <f>'INCEXC A'!L213</f>
        <v/>
      </c>
      <c r="M213" s="28" t="str">
        <f>'INCEXC B'!L213</f>
        <v/>
      </c>
      <c r="O213" s="28" t="str">
        <f>'INCEXC A'!M213</f>
        <v/>
      </c>
      <c r="P213" s="28" t="str">
        <f>'INCEXC A'!N213</f>
        <v/>
      </c>
      <c r="Q213" s="28" t="str">
        <f>'INCEXC A'!O213</f>
        <v/>
      </c>
      <c r="R213" s="28" t="str">
        <f>'INCEXC B'!O213</f>
        <v/>
      </c>
      <c r="S213" s="28" t="str">
        <f>'INCEXC A'!P213</f>
        <v/>
      </c>
      <c r="T213" s="28" t="str">
        <f>'INCEXC B'!P213</f>
        <v/>
      </c>
      <c r="U213" s="28" t="b">
        <f t="shared" si="4"/>
        <v>1</v>
      </c>
      <c r="V213" s="28" t="b">
        <f t="shared" si="5"/>
        <v>0</v>
      </c>
    </row>
    <row r="214" hidden="1">
      <c r="A214" s="35" t="str">
        <f>'INCEXC A'!A214</f>
        <v>https://doi.org/10.1145/3698896.3722209</v>
      </c>
      <c r="B214" s="35" t="str">
        <f>'INCEXC B'!A214</f>
        <v>https://doi.org/10.1145/3698896.3722209</v>
      </c>
      <c r="C214" s="28" t="b">
        <f t="shared" si="1"/>
        <v>1</v>
      </c>
      <c r="D214" s="28" t="str">
        <f>'INCEXC A'!B214</f>
        <v>10.1145/3698896.3722209</v>
      </c>
      <c r="E214" s="28" t="str">
        <f>'INCEXC A'!C214</f>
        <v>Animation Theater In Conversation: Inkwo for When the Starving Return</v>
      </c>
      <c r="F214" s="28" t="str">
        <f>'INCEXC A'!D214</f>
        <v>Marilyn</v>
      </c>
      <c r="G214" s="28" t="str">
        <f>'INCEXC B'!D214</f>
        <v>Taylor</v>
      </c>
      <c r="H214" s="28" t="str">
        <f>'INCEXC A'!E214</f>
        <v>Exclude</v>
      </c>
      <c r="I214" s="28" t="str">
        <f>'INCEXC B'!E214</f>
        <v>Exclude</v>
      </c>
      <c r="J214" s="28" t="b">
        <f t="shared" si="2"/>
        <v>1</v>
      </c>
      <c r="K214" s="28" t="b">
        <f t="shared" si="3"/>
        <v>0</v>
      </c>
      <c r="L214" s="28" t="str">
        <f>'INCEXC A'!L214</f>
        <v/>
      </c>
      <c r="M214" s="28" t="str">
        <f>'INCEXC B'!L214</f>
        <v/>
      </c>
      <c r="O214" s="28" t="str">
        <f>'INCEXC A'!M214</f>
        <v/>
      </c>
      <c r="P214" s="28" t="str">
        <f>'INCEXC A'!N214</f>
        <v/>
      </c>
      <c r="Q214" s="28" t="str">
        <f>'INCEXC A'!O214</f>
        <v/>
      </c>
      <c r="R214" s="28" t="str">
        <f>'INCEXC B'!O214</f>
        <v/>
      </c>
      <c r="S214" s="28" t="str">
        <f>'INCEXC A'!P214</f>
        <v/>
      </c>
      <c r="T214" s="28" t="str">
        <f>'INCEXC B'!P214</f>
        <v/>
      </c>
      <c r="U214" s="28" t="b">
        <f t="shared" si="4"/>
        <v>1</v>
      </c>
      <c r="V214" s="28" t="b">
        <f t="shared" si="5"/>
        <v>0</v>
      </c>
    </row>
    <row r="215" hidden="1">
      <c r="A215" s="35" t="str">
        <f>'INCEXC A'!A215</f>
        <v>https://doi.org/10.1145/3700035.3700036</v>
      </c>
      <c r="B215" s="35" t="str">
        <f>'INCEXC B'!A215</f>
        <v>https://doi.org/10.1145/3700035.3700036</v>
      </c>
      <c r="C215" s="28" t="b">
        <f t="shared" si="1"/>
        <v>1</v>
      </c>
      <c r="D215" s="28" t="str">
        <f>'INCEXC A'!B215</f>
        <v>10.1145/3700035.3700036</v>
      </c>
      <c r="E215" s="28" t="str">
        <f>'INCEXC A'!C215</f>
        <v>Design and Implementation of Virtual Reality Emotion Induction System</v>
      </c>
      <c r="F215" s="28" t="str">
        <f>'INCEXC A'!D215</f>
        <v>Marilyn</v>
      </c>
      <c r="G215" s="28" t="str">
        <f>'INCEXC B'!D215</f>
        <v>Danni</v>
      </c>
      <c r="H215" s="28" t="str">
        <f>'INCEXC A'!E215</f>
        <v>Exclude</v>
      </c>
      <c r="I215" s="28" t="str">
        <f>'INCEXC B'!E215</f>
        <v>Exclude</v>
      </c>
      <c r="J215" s="28" t="b">
        <f t="shared" si="2"/>
        <v>1</v>
      </c>
      <c r="K215" s="28" t="b">
        <f t="shared" si="3"/>
        <v>0</v>
      </c>
      <c r="L215" s="28" t="str">
        <f>'INCEXC A'!L215</f>
        <v/>
      </c>
      <c r="M215" s="28" t="str">
        <f>'INCEXC B'!L215</f>
        <v/>
      </c>
      <c r="O215" s="28" t="str">
        <f>'INCEXC A'!M215</f>
        <v/>
      </c>
      <c r="P215" s="28" t="str">
        <f>'INCEXC A'!N215</f>
        <v/>
      </c>
      <c r="Q215" s="28" t="str">
        <f>'INCEXC A'!O215</f>
        <v/>
      </c>
      <c r="R215" s="28" t="str">
        <f>'INCEXC B'!O215</f>
        <v/>
      </c>
      <c r="S215" s="28" t="str">
        <f>'INCEXC A'!P215</f>
        <v/>
      </c>
      <c r="T215" s="28" t="str">
        <f>'INCEXC B'!P215</f>
        <v/>
      </c>
      <c r="U215" s="28" t="b">
        <f t="shared" si="4"/>
        <v>1</v>
      </c>
      <c r="V215" s="28" t="b">
        <f t="shared" si="5"/>
        <v>0</v>
      </c>
    </row>
    <row r="216" hidden="1">
      <c r="A216" s="35" t="str">
        <f>'INCEXC A'!A216</f>
        <v>https://doi.org/10.1145/3701188</v>
      </c>
      <c r="B216" s="35" t="str">
        <f>'INCEXC B'!A216</f>
        <v>https://doi.org/10.1145/3701188</v>
      </c>
      <c r="C216" s="28" t="b">
        <f t="shared" si="1"/>
        <v>1</v>
      </c>
      <c r="D216" s="28" t="str">
        <f>'INCEXC A'!B216</f>
        <v>10.1145/3701188</v>
      </c>
      <c r="E216" s="28" t="str">
        <f>'INCEXC A'!C216</f>
        <v>Conversate: Supporting Reflective Learning in Interview Practice Through Interactive Simulation and Dialogic Feedback</v>
      </c>
      <c r="F216" s="28" t="str">
        <f>'INCEXC A'!D216</f>
        <v>Marilyn</v>
      </c>
      <c r="G216" s="28" t="str">
        <f>'INCEXC B'!D216</f>
        <v>Taylor</v>
      </c>
      <c r="H216" s="28" t="str">
        <f>'INCEXC A'!E216</f>
        <v>Exclude</v>
      </c>
      <c r="I216" s="28" t="str">
        <f>'INCEXC B'!E216</f>
        <v>Exclude</v>
      </c>
      <c r="J216" s="28" t="b">
        <f t="shared" si="2"/>
        <v>1</v>
      </c>
      <c r="K216" s="28" t="b">
        <f t="shared" si="3"/>
        <v>0</v>
      </c>
      <c r="L216" s="28" t="str">
        <f>'INCEXC A'!L216</f>
        <v/>
      </c>
      <c r="M216" s="28" t="str">
        <f>'INCEXC B'!L216</f>
        <v/>
      </c>
      <c r="O216" s="28" t="str">
        <f>'INCEXC A'!M216</f>
        <v/>
      </c>
      <c r="P216" s="28" t="str">
        <f>'INCEXC A'!N216</f>
        <v/>
      </c>
      <c r="Q216" s="28" t="str">
        <f>'INCEXC A'!O216</f>
        <v/>
      </c>
      <c r="R216" s="28" t="str">
        <f>'INCEXC B'!O216</f>
        <v/>
      </c>
      <c r="S216" s="28" t="str">
        <f>'INCEXC A'!P216</f>
        <v/>
      </c>
      <c r="T216" s="28" t="str">
        <f>'INCEXC B'!P216</f>
        <v/>
      </c>
      <c r="U216" s="28" t="b">
        <f t="shared" si="4"/>
        <v>1</v>
      </c>
      <c r="V216" s="28" t="b">
        <f t="shared" si="5"/>
        <v>0</v>
      </c>
    </row>
    <row r="217">
      <c r="A217" s="35" t="str">
        <f>'INCEXC A'!A217</f>
        <v>https://doi.org/10.1145/3703155</v>
      </c>
      <c r="B217" s="35" t="str">
        <f>'INCEXC B'!A217</f>
        <v>https://doi.org/10.1145/3703155</v>
      </c>
      <c r="C217" s="28" t="b">
        <f t="shared" si="1"/>
        <v>1</v>
      </c>
      <c r="D217" s="28" t="str">
        <f>'INCEXC A'!B217</f>
        <v>10.1145/3703155</v>
      </c>
      <c r="E217" s="28" t="str">
        <f>'INCEXC A'!C217</f>
        <v>A Survey on Hallucination in Large Language Models: Principles</v>
      </c>
      <c r="F217" s="28" t="str">
        <f>'INCEXC A'!D217</f>
        <v>Kaiser</v>
      </c>
      <c r="G217" s="28" t="str">
        <f>'INCEXC B'!D217</f>
        <v>Taylor</v>
      </c>
      <c r="H217" s="28" t="str">
        <f>'INCEXC A'!E217</f>
        <v>Include</v>
      </c>
      <c r="I217" s="28" t="str">
        <f>'INCEXC B'!E217</f>
        <v>Include</v>
      </c>
      <c r="J217" s="28" t="b">
        <f t="shared" si="2"/>
        <v>1</v>
      </c>
      <c r="K217" s="28" t="b">
        <f t="shared" si="3"/>
        <v>1</v>
      </c>
      <c r="L217" s="28" t="str">
        <f>'INCEXC A'!L217</f>
        <v/>
      </c>
      <c r="M217" s="28" t="str">
        <f>'INCEXC B'!L217</f>
        <v/>
      </c>
      <c r="O217" s="28" t="str">
        <f>'INCEXC A'!M217</f>
        <v/>
      </c>
      <c r="P217" s="28" t="str">
        <f>'INCEXC A'!N217</f>
        <v/>
      </c>
      <c r="Q217" s="28" t="str">
        <f>'INCEXC A'!O217</f>
        <v/>
      </c>
      <c r="R217" s="28" t="str">
        <f>'INCEXC B'!O217</f>
        <v/>
      </c>
      <c r="S217" s="28" t="str">
        <f>'INCEXC A'!P217</f>
        <v/>
      </c>
      <c r="T217" s="28" t="str">
        <f>'INCEXC B'!P217</f>
        <v/>
      </c>
      <c r="U217" s="28" t="b">
        <f t="shared" si="4"/>
        <v>1</v>
      </c>
      <c r="V217" s="28" t="b">
        <f t="shared" si="5"/>
        <v>0</v>
      </c>
    </row>
    <row r="218" hidden="1">
      <c r="A218" s="35" t="str">
        <f>'INCEXC A'!A218</f>
        <v>https://doi.org/10.1145/3703454</v>
      </c>
      <c r="B218" s="35" t="str">
        <f>'INCEXC B'!A218</f>
        <v>https://doi.org/10.1145/3703454</v>
      </c>
      <c r="C218" s="28" t="b">
        <f t="shared" si="1"/>
        <v>1</v>
      </c>
      <c r="D218" s="28" t="str">
        <f>'INCEXC A'!B218</f>
        <v>10.1145/3703454</v>
      </c>
      <c r="E218" s="28" t="str">
        <f>'INCEXC A'!C218</f>
        <v>Open-Ethical AI: Advancements in Open-Source Human-Centric Neural Language Models</v>
      </c>
      <c r="F218" s="28" t="str">
        <f>'INCEXC A'!D218</f>
        <v>Jonathan</v>
      </c>
      <c r="G218" s="28" t="str">
        <f>'INCEXC B'!D218</f>
        <v>Taylor</v>
      </c>
      <c r="H218" s="28" t="str">
        <f>'INCEXC A'!E218</f>
        <v>Exclude</v>
      </c>
      <c r="I218" s="28" t="str">
        <f>'INCEXC B'!E218</f>
        <v>Exclude</v>
      </c>
      <c r="J218" s="28" t="b">
        <f t="shared" si="2"/>
        <v>1</v>
      </c>
      <c r="K218" s="28" t="b">
        <f t="shared" si="3"/>
        <v>0</v>
      </c>
      <c r="L218" s="28" t="str">
        <f>'INCEXC A'!L218</f>
        <v/>
      </c>
      <c r="M218" s="28" t="str">
        <f>'INCEXC B'!L218</f>
        <v/>
      </c>
      <c r="O218" s="28" t="str">
        <f>'INCEXC A'!M218</f>
        <v/>
      </c>
      <c r="P218" s="28" t="str">
        <f>'INCEXC A'!N218</f>
        <v/>
      </c>
      <c r="Q218" s="28" t="str">
        <f>'INCEXC A'!O218</f>
        <v/>
      </c>
      <c r="R218" s="28" t="str">
        <f>'INCEXC B'!O218</f>
        <v/>
      </c>
      <c r="S218" s="28" t="str">
        <f>'INCEXC A'!P218</f>
        <v/>
      </c>
      <c r="T218" s="28" t="str">
        <f>'INCEXC B'!P218</f>
        <v/>
      </c>
      <c r="U218" s="28" t="b">
        <f t="shared" si="4"/>
        <v>1</v>
      </c>
      <c r="V218" s="28" t="b">
        <f t="shared" si="5"/>
        <v>0</v>
      </c>
    </row>
    <row r="219" hidden="1">
      <c r="A219" s="35" t="str">
        <f>'INCEXC A'!A219</f>
        <v>https://doi.org/10.1145/3705294</v>
      </c>
      <c r="B219" s="35" t="str">
        <f>'INCEXC B'!A219</f>
        <v>https://doi.org/10.1145/3705294</v>
      </c>
      <c r="C219" s="28" t="b">
        <f t="shared" si="1"/>
        <v>1</v>
      </c>
      <c r="D219" s="28" t="str">
        <f>'INCEXC A'!B219</f>
        <v>10.1145/3705294</v>
      </c>
      <c r="E219" s="28" t="str">
        <f>'INCEXC A'!C219</f>
        <v>The AI Alignment Paradox</v>
      </c>
      <c r="F219" s="28" t="str">
        <f>'INCEXC A'!D219</f>
        <v>Jonathan</v>
      </c>
      <c r="G219" s="28" t="str">
        <f>'INCEXC B'!D219</f>
        <v>Ceren</v>
      </c>
      <c r="H219" s="28" t="str">
        <f>'INCEXC A'!E219</f>
        <v>Exclude</v>
      </c>
      <c r="I219" s="28" t="str">
        <f>'INCEXC B'!E219</f>
        <v>Exclude</v>
      </c>
      <c r="J219" s="28" t="b">
        <f t="shared" si="2"/>
        <v>1</v>
      </c>
      <c r="K219" s="28" t="b">
        <f t="shared" si="3"/>
        <v>0</v>
      </c>
      <c r="L219" s="28" t="str">
        <f>'INCEXC A'!L219</f>
        <v/>
      </c>
      <c r="M219" s="28" t="str">
        <f>'INCEXC B'!L219</f>
        <v/>
      </c>
      <c r="O219" s="28" t="str">
        <f>'INCEXC A'!M219</f>
        <v/>
      </c>
      <c r="P219" s="28" t="str">
        <f>'INCEXC A'!N219</f>
        <v/>
      </c>
      <c r="Q219" s="28" t="str">
        <f>'INCEXC A'!O219</f>
        <v/>
      </c>
      <c r="R219" s="28" t="str">
        <f>'INCEXC B'!O219</f>
        <v/>
      </c>
      <c r="S219" s="28" t="str">
        <f>'INCEXC A'!P219</f>
        <v/>
      </c>
      <c r="T219" s="28" t="str">
        <f>'INCEXC B'!P219</f>
        <v/>
      </c>
      <c r="U219" s="28" t="b">
        <f t="shared" si="4"/>
        <v>1</v>
      </c>
      <c r="V219" s="28" t="b">
        <f t="shared" si="5"/>
        <v>0</v>
      </c>
    </row>
    <row r="220" hidden="1">
      <c r="A220" s="35" t="str">
        <f>'INCEXC A'!A220</f>
        <v>https://doi.org/10.1145/3706468.3706564</v>
      </c>
      <c r="B220" s="35" t="str">
        <f>'INCEXC B'!A220</f>
        <v>https://doi.org/10.1145/3706468.3706564</v>
      </c>
      <c r="C220" s="28" t="b">
        <f t="shared" si="1"/>
        <v>1</v>
      </c>
      <c r="D220" s="28" t="str">
        <f>'INCEXC A'!B220</f>
        <v>10.1145/3706468.3706564</v>
      </c>
      <c r="E220" s="28" t="str">
        <f>'INCEXC A'!C220</f>
        <v>When the Prompt becomes the Codebook: Grounded Prompt Engineering (GROPROE) and its application to Belonging Analytics</v>
      </c>
      <c r="F220" s="28" t="str">
        <f>'INCEXC A'!D220</f>
        <v>Marilyn</v>
      </c>
      <c r="G220" s="28" t="str">
        <f>'INCEXC B'!D220</f>
        <v>Taylor</v>
      </c>
      <c r="H220" s="28" t="str">
        <f>'INCEXC A'!E220</f>
        <v>Exclude</v>
      </c>
      <c r="I220" s="28" t="str">
        <f>'INCEXC B'!E220</f>
        <v>Exclude</v>
      </c>
      <c r="J220" s="28" t="b">
        <f t="shared" si="2"/>
        <v>1</v>
      </c>
      <c r="K220" s="28" t="b">
        <f t="shared" si="3"/>
        <v>0</v>
      </c>
      <c r="L220" s="28" t="str">
        <f>'INCEXC A'!L220</f>
        <v/>
      </c>
      <c r="M220" s="28" t="str">
        <f>'INCEXC B'!L220</f>
        <v/>
      </c>
      <c r="O220" s="28" t="str">
        <f>'INCEXC A'!M220</f>
        <v/>
      </c>
      <c r="P220" s="28" t="str">
        <f>'INCEXC A'!N220</f>
        <v/>
      </c>
      <c r="Q220" s="28" t="str">
        <f>'INCEXC A'!O220</f>
        <v/>
      </c>
      <c r="R220" s="28" t="str">
        <f>'INCEXC B'!O220</f>
        <v/>
      </c>
      <c r="S220" s="28" t="str">
        <f>'INCEXC A'!P220</f>
        <v/>
      </c>
      <c r="T220" s="28" t="str">
        <f>'INCEXC B'!P220</f>
        <v/>
      </c>
      <c r="U220" s="28" t="b">
        <f t="shared" si="4"/>
        <v>1</v>
      </c>
      <c r="V220" s="28" t="b">
        <f t="shared" si="5"/>
        <v>0</v>
      </c>
    </row>
    <row r="221" hidden="1">
      <c r="A221" s="35" t="str">
        <f>'INCEXC A'!A221</f>
        <v>https://doi.org/10.1145/3706598.3713220</v>
      </c>
      <c r="B221" s="35" t="str">
        <f>'INCEXC B'!A221</f>
        <v>https://doi.org/10.1145/3706598.3713220</v>
      </c>
      <c r="C221" s="28" t="b">
        <f t="shared" si="1"/>
        <v>1</v>
      </c>
      <c r="D221" s="28" t="str">
        <f>'INCEXC A'!B221</f>
        <v>10.1145/3706598.3713220</v>
      </c>
      <c r="E221" s="28" t="str">
        <f>'INCEXC A'!C221</f>
        <v>Simulacrum of Stories: Examining Large Language Models as Qualitative Research Participants</v>
      </c>
      <c r="F221" s="28" t="str">
        <f>'INCEXC A'!D221</f>
        <v>Kaiser</v>
      </c>
      <c r="G221" s="28" t="str">
        <f>'INCEXC B'!D221</f>
        <v>Taylor</v>
      </c>
      <c r="H221" s="28" t="str">
        <f>'INCEXC A'!E221</f>
        <v>Exclude</v>
      </c>
      <c r="I221" s="28" t="str">
        <f>'INCEXC B'!E221</f>
        <v>Exclude</v>
      </c>
      <c r="J221" s="28" t="b">
        <f t="shared" si="2"/>
        <v>1</v>
      </c>
      <c r="K221" s="28" t="b">
        <f t="shared" si="3"/>
        <v>0</v>
      </c>
      <c r="L221" s="28" t="str">
        <f>'INCEXC A'!L221</f>
        <v/>
      </c>
      <c r="M221" s="28" t="str">
        <f>'INCEXC B'!L221</f>
        <v/>
      </c>
      <c r="O221" s="28" t="str">
        <f>'INCEXC A'!M221</f>
        <v/>
      </c>
      <c r="P221" s="28" t="str">
        <f>'INCEXC A'!N221</f>
        <v/>
      </c>
      <c r="Q221" s="28" t="str">
        <f>'INCEXC A'!O221</f>
        <v/>
      </c>
      <c r="R221" s="28" t="str">
        <f>'INCEXC B'!O221</f>
        <v/>
      </c>
      <c r="S221" s="28" t="str">
        <f>'INCEXC A'!P221</f>
        <v/>
      </c>
      <c r="T221" s="28" t="str">
        <f>'INCEXC B'!P221</f>
        <v/>
      </c>
      <c r="U221" s="28" t="b">
        <f t="shared" si="4"/>
        <v>1</v>
      </c>
      <c r="V221" s="28" t="b">
        <f t="shared" si="5"/>
        <v>0</v>
      </c>
    </row>
    <row r="222" hidden="1">
      <c r="A222" s="35" t="str">
        <f>'INCEXC A'!A222</f>
        <v>https://doi.org/10.1145/3706598.3713406</v>
      </c>
      <c r="B222" s="35" t="str">
        <f>'INCEXC B'!A222</f>
        <v>https://doi.org/10.1145/3706598.3713406</v>
      </c>
      <c r="C222" s="28" t="b">
        <f t="shared" si="1"/>
        <v>1</v>
      </c>
      <c r="D222" s="28" t="str">
        <f>'INCEXC A'!B222</f>
        <v>10.1145/3706598.3713406</v>
      </c>
      <c r="E222" s="28" t="str">
        <f>'INCEXC A'!C222</f>
        <v>Abstraction Alignment: Comparing Model-Learned and Human-Encoded Conceptual Relationships</v>
      </c>
      <c r="F222" s="28" t="str">
        <f>'INCEXC A'!D222</f>
        <v>Kaiser</v>
      </c>
      <c r="G222" s="28" t="str">
        <f>'INCEXC B'!D222</f>
        <v>Taylor</v>
      </c>
      <c r="H222" s="28" t="str">
        <f>'INCEXC A'!E222</f>
        <v>Exclude</v>
      </c>
      <c r="I222" s="28" t="str">
        <f>'INCEXC B'!E222</f>
        <v>Exclude</v>
      </c>
      <c r="J222" s="28" t="b">
        <f t="shared" si="2"/>
        <v>1</v>
      </c>
      <c r="K222" s="28" t="b">
        <f t="shared" si="3"/>
        <v>0</v>
      </c>
      <c r="L222" s="28" t="str">
        <f>'INCEXC A'!L222</f>
        <v/>
      </c>
      <c r="M222" s="28" t="str">
        <f>'INCEXC B'!L222</f>
        <v/>
      </c>
      <c r="O222" s="28" t="str">
        <f>'INCEXC A'!M222</f>
        <v/>
      </c>
      <c r="P222" s="28" t="str">
        <f>'INCEXC A'!N222</f>
        <v/>
      </c>
      <c r="Q222" s="28" t="str">
        <f>'INCEXC A'!O222</f>
        <v/>
      </c>
      <c r="R222" s="28" t="str">
        <f>'INCEXC B'!O222</f>
        <v/>
      </c>
      <c r="S222" s="28" t="str">
        <f>'INCEXC A'!P222</f>
        <v/>
      </c>
      <c r="T222" s="28" t="str">
        <f>'INCEXC B'!P222</f>
        <v/>
      </c>
      <c r="U222" s="28" t="b">
        <f t="shared" si="4"/>
        <v>1</v>
      </c>
      <c r="V222" s="28" t="b">
        <f t="shared" si="5"/>
        <v>0</v>
      </c>
    </row>
    <row r="223" hidden="1">
      <c r="A223" s="35" t="str">
        <f>'INCEXC A'!A223</f>
        <v>https://doi.org/10.1145/3706598.3713408</v>
      </c>
      <c r="B223" s="35" t="str">
        <f>'INCEXC B'!A223</f>
        <v>https://doi.org/10.1145/3706598.3713408</v>
      </c>
      <c r="C223" s="28" t="b">
        <f t="shared" si="1"/>
        <v>1</v>
      </c>
      <c r="D223" s="28" t="str">
        <f>'INCEXC A'!B223</f>
        <v>10.1145/3706598.3713408</v>
      </c>
      <c r="E223" s="28" t="str">
        <f>'INCEXC A'!C223</f>
        <v>Deceptive Explanations by Large Language Models Lead People to Change their Beliefs About Misinformation More Often than Honest Explanations</v>
      </c>
      <c r="F223" s="28" t="str">
        <f>'INCEXC A'!D223</f>
        <v>Marilyn</v>
      </c>
      <c r="G223" s="28" t="str">
        <f>'INCEXC B'!D223</f>
        <v>Danni</v>
      </c>
      <c r="H223" s="28" t="str">
        <f>'INCEXC A'!E223</f>
        <v>Exclude</v>
      </c>
      <c r="I223" s="28" t="str">
        <f>'INCEXC B'!E223</f>
        <v>Exclude</v>
      </c>
      <c r="J223" s="28" t="b">
        <f t="shared" si="2"/>
        <v>1</v>
      </c>
      <c r="K223" s="28" t="b">
        <f t="shared" si="3"/>
        <v>0</v>
      </c>
      <c r="L223" s="28" t="str">
        <f>'INCEXC A'!L223</f>
        <v/>
      </c>
      <c r="M223" s="28" t="str">
        <f>'INCEXC B'!L223</f>
        <v/>
      </c>
      <c r="O223" s="28" t="str">
        <f>'INCEXC A'!M223</f>
        <v/>
      </c>
      <c r="P223" s="28" t="str">
        <f>'INCEXC A'!N223</f>
        <v/>
      </c>
      <c r="Q223" s="28" t="str">
        <f>'INCEXC A'!O223</f>
        <v/>
      </c>
      <c r="R223" s="28" t="str">
        <f>'INCEXC B'!O223</f>
        <v/>
      </c>
      <c r="S223" s="28" t="str">
        <f>'INCEXC A'!P223</f>
        <v/>
      </c>
      <c r="T223" s="28" t="str">
        <f>'INCEXC B'!P223</f>
        <v/>
      </c>
      <c r="U223" s="28" t="b">
        <f t="shared" si="4"/>
        <v>1</v>
      </c>
      <c r="V223" s="28" t="b">
        <f t="shared" si="5"/>
        <v>0</v>
      </c>
    </row>
    <row r="224" hidden="1">
      <c r="A224" s="35" t="str">
        <f>'INCEXC A'!A224</f>
        <v>https://doi.org/10.1145/3706598.3713675</v>
      </c>
      <c r="B224" s="35" t="str">
        <f>'INCEXC B'!A224</f>
        <v>https://doi.org/10.1145/3706598.3713675</v>
      </c>
      <c r="C224" s="28" t="b">
        <f t="shared" si="1"/>
        <v>1</v>
      </c>
      <c r="D224" s="28" t="str">
        <f>'INCEXC A'!B224</f>
        <v>10.1145/3706598.3713675</v>
      </c>
      <c r="E224" s="28" t="str">
        <f>'INCEXC A'!C224</f>
        <v>Plurals: A System for Guiding LLMs via Simulated Social Ensembles</v>
      </c>
      <c r="F224" s="28" t="str">
        <f>'INCEXC A'!D224</f>
        <v>Jonathan</v>
      </c>
      <c r="G224" s="28" t="str">
        <f>'INCEXC B'!D224</f>
        <v>Taylor</v>
      </c>
      <c r="H224" s="28" t="str">
        <f>'INCEXC A'!E224</f>
        <v>Exclude</v>
      </c>
      <c r="I224" s="28" t="str">
        <f>'INCEXC B'!E224</f>
        <v>Exclude</v>
      </c>
      <c r="J224" s="28" t="b">
        <f t="shared" si="2"/>
        <v>1</v>
      </c>
      <c r="K224" s="28" t="b">
        <f t="shared" si="3"/>
        <v>0</v>
      </c>
      <c r="L224" s="28" t="str">
        <f>'INCEXC A'!L224</f>
        <v/>
      </c>
      <c r="M224" s="28" t="str">
        <f>'INCEXC B'!L224</f>
        <v/>
      </c>
      <c r="O224" s="28" t="str">
        <f>'INCEXC A'!M224</f>
        <v/>
      </c>
      <c r="P224" s="28" t="str">
        <f>'INCEXC A'!N224</f>
        <v/>
      </c>
      <c r="Q224" s="28" t="str">
        <f>'INCEXC A'!O224</f>
        <v/>
      </c>
      <c r="R224" s="28" t="str">
        <f>'INCEXC B'!O224</f>
        <v/>
      </c>
      <c r="S224" s="28" t="str">
        <f>'INCEXC A'!P224</f>
        <v/>
      </c>
      <c r="T224" s="28" t="str">
        <f>'INCEXC B'!P224</f>
        <v/>
      </c>
      <c r="U224" s="28" t="b">
        <f t="shared" si="4"/>
        <v>1</v>
      </c>
      <c r="V224" s="28" t="b">
        <f t="shared" si="5"/>
        <v>0</v>
      </c>
    </row>
    <row r="225">
      <c r="A225" s="35" t="str">
        <f>'INCEXC A'!A225</f>
        <v>https://doi.org/10.1145/3706599.3719976</v>
      </c>
      <c r="B225" s="35" t="str">
        <f>'INCEXC B'!A225</f>
        <v>https://doi.org/10.1145/3706599.3719976</v>
      </c>
      <c r="C225" s="28" t="b">
        <f t="shared" si="1"/>
        <v>1</v>
      </c>
      <c r="D225" s="28" t="str">
        <f>'INCEXC A'!B225</f>
        <v>10.1145/3706599.3719976</v>
      </c>
      <c r="E225" s="28" t="str">
        <f>'INCEXC A'!C225</f>
        <v>Exploring Older Adults Personality Preferences for LLM-powered Conversational Companions</v>
      </c>
      <c r="F225" s="28" t="str">
        <f>'INCEXC A'!D225</f>
        <v>Marilyn</v>
      </c>
      <c r="G225" s="28" t="str">
        <f>'INCEXC B'!D225</f>
        <v>Taylor</v>
      </c>
      <c r="H225" s="28" t="str">
        <f>'INCEXC A'!E225</f>
        <v>Include</v>
      </c>
      <c r="I225" s="28" t="str">
        <f>'INCEXC B'!E225</f>
        <v>Include</v>
      </c>
      <c r="J225" s="28" t="b">
        <f t="shared" si="2"/>
        <v>1</v>
      </c>
      <c r="K225" s="28" t="b">
        <f t="shared" si="3"/>
        <v>1</v>
      </c>
      <c r="L225" s="28" t="str">
        <f>'INCEXC A'!L225</f>
        <v/>
      </c>
      <c r="M225" s="28" t="str">
        <f>'INCEXC B'!L225</f>
        <v/>
      </c>
      <c r="O225" s="28" t="str">
        <f>'INCEXC A'!M225</f>
        <v/>
      </c>
      <c r="P225" s="28" t="str">
        <f>'INCEXC A'!N225</f>
        <v/>
      </c>
      <c r="Q225" s="28" t="str">
        <f>'INCEXC A'!O225</f>
        <v/>
      </c>
      <c r="R225" s="28" t="str">
        <f>'INCEXC B'!O225</f>
        <v/>
      </c>
      <c r="S225" s="28" t="str">
        <f>'INCEXC A'!P225</f>
        <v/>
      </c>
      <c r="T225" s="28" t="str">
        <f>'INCEXC B'!P225</f>
        <v/>
      </c>
      <c r="U225" s="28" t="b">
        <f t="shared" si="4"/>
        <v>1</v>
      </c>
      <c r="V225" s="28" t="b">
        <f t="shared" si="5"/>
        <v>0</v>
      </c>
    </row>
    <row r="226" hidden="1">
      <c r="A226" s="35" t="str">
        <f>'INCEXC A'!A226</f>
        <v>https://doi.org/10.1145/3708359.3712104</v>
      </c>
      <c r="B226" s="35" t="str">
        <f>'INCEXC B'!A226</f>
        <v>https://doi.org/10.1145/3708359.3712104</v>
      </c>
      <c r="C226" s="28" t="b">
        <f t="shared" si="1"/>
        <v>1</v>
      </c>
      <c r="D226" s="28" t="str">
        <f>'INCEXC A'!B226</f>
        <v>10.1145/3708359.3712104</v>
      </c>
      <c r="E226" s="28" t="str">
        <f>'INCEXC A'!C226</f>
        <v>Exploring the Design Space of Cognitive Engagement Techniques with AI-Generated Code for Enhanced Learning</v>
      </c>
      <c r="F226" s="28" t="str">
        <f>'INCEXC A'!D226</f>
        <v>Jonathan</v>
      </c>
      <c r="G226" s="28" t="str">
        <f>'INCEXC B'!D226</f>
        <v>Ceren</v>
      </c>
      <c r="H226" s="28" t="str">
        <f>'INCEXC A'!E226</f>
        <v>Exclude</v>
      </c>
      <c r="I226" s="28" t="str">
        <f>'INCEXC B'!E226</f>
        <v>Exclude</v>
      </c>
      <c r="J226" s="28" t="b">
        <f t="shared" si="2"/>
        <v>1</v>
      </c>
      <c r="K226" s="28" t="b">
        <f t="shared" si="3"/>
        <v>0</v>
      </c>
      <c r="L226" s="28" t="str">
        <f>'INCEXC A'!L226</f>
        <v/>
      </c>
      <c r="M226" s="28" t="str">
        <f>'INCEXC B'!L226</f>
        <v/>
      </c>
      <c r="O226" s="28" t="str">
        <f>'INCEXC A'!M226</f>
        <v/>
      </c>
      <c r="P226" s="28" t="str">
        <f>'INCEXC A'!N226</f>
        <v/>
      </c>
      <c r="Q226" s="28" t="str">
        <f>'INCEXC A'!O226</f>
        <v/>
      </c>
      <c r="R226" s="28" t="str">
        <f>'INCEXC B'!O226</f>
        <v/>
      </c>
      <c r="S226" s="28" t="str">
        <f>'INCEXC A'!P226</f>
        <v/>
      </c>
      <c r="T226" s="28" t="str">
        <f>'INCEXC B'!P226</f>
        <v/>
      </c>
      <c r="U226" s="28" t="b">
        <f t="shared" si="4"/>
        <v>1</v>
      </c>
      <c r="V226" s="28" t="b">
        <f t="shared" si="5"/>
        <v>0</v>
      </c>
    </row>
    <row r="227" hidden="1">
      <c r="A227" s="35" t="str">
        <f>'INCEXC A'!A227</f>
        <v>https://doi.org/10.1145/3708359.3712145</v>
      </c>
      <c r="B227" s="35" t="str">
        <f>'INCEXC B'!A227</f>
        <v>https://doi.org/10.1145/3708359.3712145</v>
      </c>
      <c r="C227" s="28" t="b">
        <f t="shared" si="1"/>
        <v>1</v>
      </c>
      <c r="D227" s="28" t="str">
        <f>'INCEXC A'!B227</f>
        <v>10.1145/3708359.3712145</v>
      </c>
      <c r="E227" s="28" t="str">
        <f>'INCEXC A'!C227</f>
        <v>Enhancing Visitor Engagement in Interactive Art Exhibitions with Visual-Enhanced Conversational Agents</v>
      </c>
      <c r="F227" s="28" t="str">
        <f>'INCEXC A'!D227</f>
        <v>Kaiser</v>
      </c>
      <c r="G227" s="28" t="str">
        <f>'INCEXC B'!D227</f>
        <v>Taylor</v>
      </c>
      <c r="H227" s="28" t="str">
        <f>'INCEXC A'!E227</f>
        <v>Exclude</v>
      </c>
      <c r="I227" s="28" t="str">
        <f>'INCEXC B'!E227</f>
        <v>Exclude</v>
      </c>
      <c r="J227" s="28" t="b">
        <f t="shared" si="2"/>
        <v>1</v>
      </c>
      <c r="K227" s="28" t="b">
        <f t="shared" si="3"/>
        <v>0</v>
      </c>
      <c r="L227" s="28" t="str">
        <f>'INCEXC A'!L227</f>
        <v/>
      </c>
      <c r="M227" s="28" t="str">
        <f>'INCEXC B'!L227</f>
        <v/>
      </c>
      <c r="O227" s="28" t="str">
        <f>'INCEXC A'!M227</f>
        <v/>
      </c>
      <c r="P227" s="28" t="str">
        <f>'INCEXC A'!N227</f>
        <v/>
      </c>
      <c r="Q227" s="28" t="str">
        <f>'INCEXC A'!O227</f>
        <v/>
      </c>
      <c r="R227" s="28" t="str">
        <f>'INCEXC B'!O227</f>
        <v/>
      </c>
      <c r="S227" s="28" t="str">
        <f>'INCEXC A'!P227</f>
        <v/>
      </c>
      <c r="T227" s="28" t="str">
        <f>'INCEXC B'!P227</f>
        <v/>
      </c>
      <c r="U227" s="28" t="b">
        <f t="shared" si="4"/>
        <v>1</v>
      </c>
      <c r="V227" s="28" t="b">
        <f t="shared" si="5"/>
        <v>0</v>
      </c>
    </row>
    <row r="228" hidden="1">
      <c r="A228" s="35" t="str">
        <f>'INCEXC A'!A228</f>
        <v>https://doi.org/10.1145/3711896.3736563</v>
      </c>
      <c r="B228" s="35" t="str">
        <f>'INCEXC B'!A228</f>
        <v>https://doi.org/10.1145/3711896.3736563</v>
      </c>
      <c r="C228" s="28" t="b">
        <f t="shared" si="1"/>
        <v>1</v>
      </c>
      <c r="D228" s="28" t="str">
        <f>'INCEXC A'!B228</f>
        <v>10.1145/3711896.3736563</v>
      </c>
      <c r="E228" s="28" t="str">
        <f>'INCEXC A'!C228</f>
        <v>A Survey on Small Language Models in the Era of Large Language Models: Architecture</v>
      </c>
      <c r="F228" s="28" t="str">
        <f>'INCEXC A'!D228</f>
        <v>Kaiser</v>
      </c>
      <c r="G228" s="28" t="str">
        <f>'INCEXC B'!D228</f>
        <v>Danni</v>
      </c>
      <c r="H228" s="28" t="str">
        <f>'INCEXC A'!E228</f>
        <v>Exclude</v>
      </c>
      <c r="I228" s="28" t="str">
        <f>'INCEXC B'!E228</f>
        <v>Exclude</v>
      </c>
      <c r="J228" s="28" t="b">
        <f t="shared" si="2"/>
        <v>1</v>
      </c>
      <c r="K228" s="28" t="b">
        <f t="shared" si="3"/>
        <v>0</v>
      </c>
      <c r="L228" s="28" t="str">
        <f>'INCEXC A'!L228</f>
        <v/>
      </c>
      <c r="M228" s="28" t="str">
        <f>'INCEXC B'!L228</f>
        <v/>
      </c>
      <c r="O228" s="28" t="str">
        <f>'INCEXC A'!M228</f>
        <v/>
      </c>
      <c r="P228" s="28" t="str">
        <f>'INCEXC A'!N228</f>
        <v/>
      </c>
      <c r="Q228" s="28" t="str">
        <f>'INCEXC A'!O228</f>
        <v/>
      </c>
      <c r="R228" s="28" t="str">
        <f>'INCEXC B'!O228</f>
        <v/>
      </c>
      <c r="S228" s="28" t="str">
        <f>'INCEXC A'!P228</f>
        <v/>
      </c>
      <c r="T228" s="28" t="str">
        <f>'INCEXC B'!P228</f>
        <v/>
      </c>
      <c r="U228" s="28" t="b">
        <f t="shared" si="4"/>
        <v>1</v>
      </c>
      <c r="V228" s="28" t="b">
        <f t="shared" si="5"/>
        <v>0</v>
      </c>
    </row>
    <row r="229" hidden="1">
      <c r="A229" s="35" t="str">
        <f>'INCEXC A'!A229</f>
        <v>https://doi.org/10.1145/3714394.3756275</v>
      </c>
      <c r="B229" s="35" t="str">
        <f>'INCEXC B'!A229</f>
        <v>https://doi.org/10.1145/3714394.3756275</v>
      </c>
      <c r="C229" s="28" t="b">
        <f t="shared" si="1"/>
        <v>1</v>
      </c>
      <c r="D229" s="28" t="str">
        <f>'INCEXC A'!B229</f>
        <v>10.1145/3714394.3756275</v>
      </c>
      <c r="E229" s="28" t="str">
        <f>'INCEXC A'!C229</f>
        <v>Evaluating Large Language Models in Traditional Chinese Medicine with Enhanced Misinformation Detection</v>
      </c>
      <c r="F229" s="28" t="str">
        <f>'INCEXC A'!D229</f>
        <v>Marilyn</v>
      </c>
      <c r="G229" s="28" t="str">
        <f>'INCEXC B'!D229</f>
        <v>Taylor</v>
      </c>
      <c r="H229" s="28" t="str">
        <f>'INCEXC A'!E229</f>
        <v>Exclude</v>
      </c>
      <c r="I229" s="28" t="str">
        <f>'INCEXC B'!E229</f>
        <v>Exclude</v>
      </c>
      <c r="J229" s="28" t="b">
        <f t="shared" si="2"/>
        <v>1</v>
      </c>
      <c r="K229" s="28" t="b">
        <f t="shared" si="3"/>
        <v>0</v>
      </c>
      <c r="L229" s="28" t="str">
        <f>'INCEXC A'!L229</f>
        <v/>
      </c>
      <c r="M229" s="28" t="str">
        <f>'INCEXC B'!L229</f>
        <v/>
      </c>
      <c r="O229" s="28" t="str">
        <f>'INCEXC A'!M229</f>
        <v/>
      </c>
      <c r="P229" s="28" t="str">
        <f>'INCEXC A'!N229</f>
        <v/>
      </c>
      <c r="Q229" s="28" t="str">
        <f>'INCEXC A'!O229</f>
        <v/>
      </c>
      <c r="R229" s="28" t="str">
        <f>'INCEXC B'!O229</f>
        <v/>
      </c>
      <c r="S229" s="28" t="str">
        <f>'INCEXC A'!P229</f>
        <v/>
      </c>
      <c r="T229" s="28" t="str">
        <f>'INCEXC B'!P229</f>
        <v/>
      </c>
      <c r="U229" s="28" t="b">
        <f t="shared" si="4"/>
        <v>1</v>
      </c>
      <c r="V229" s="28" t="b">
        <f t="shared" si="5"/>
        <v>0</v>
      </c>
    </row>
    <row r="230" hidden="1">
      <c r="A230" s="35" t="str">
        <f>'INCEXC A'!A230</f>
        <v>https://doi.org/10.1145/3715070.3749272</v>
      </c>
      <c r="B230" s="35" t="str">
        <f>'INCEXC B'!A230</f>
        <v>https://doi.org/10.1145/3715070.3749272</v>
      </c>
      <c r="C230" s="28" t="b">
        <f t="shared" si="1"/>
        <v>1</v>
      </c>
      <c r="D230" s="28" t="str">
        <f>'INCEXC A'!B230</f>
        <v>10.1145/3715070.3749272</v>
      </c>
      <c r="E230" s="28" t="str">
        <f>'INCEXC A'!C230</f>
        <v>Was there Bias in your Response?: LLM Anthropomorphic Traits in Context of Ability Bias Questioning</v>
      </c>
      <c r="F230" s="28" t="str">
        <f>'INCEXC A'!D230</f>
        <v>Jonathan</v>
      </c>
      <c r="G230" s="28" t="str">
        <f>'INCEXC B'!D230</f>
        <v>Taylor</v>
      </c>
      <c r="H230" s="28" t="str">
        <f>'INCEXC A'!E230</f>
        <v>Exclude</v>
      </c>
      <c r="I230" s="28" t="str">
        <f>'INCEXC B'!E230</f>
        <v>Exclude</v>
      </c>
      <c r="J230" s="28" t="b">
        <f t="shared" si="2"/>
        <v>1</v>
      </c>
      <c r="K230" s="28" t="b">
        <f t="shared" si="3"/>
        <v>0</v>
      </c>
      <c r="L230" s="28" t="str">
        <f>'INCEXC A'!L230</f>
        <v/>
      </c>
      <c r="M230" s="28" t="str">
        <f>'INCEXC B'!L230</f>
        <v/>
      </c>
      <c r="O230" s="28" t="str">
        <f>'INCEXC A'!M230</f>
        <v/>
      </c>
      <c r="P230" s="28" t="str">
        <f>'INCEXC A'!N230</f>
        <v/>
      </c>
      <c r="Q230" s="28" t="str">
        <f>'INCEXC A'!O230</f>
        <v/>
      </c>
      <c r="R230" s="28" t="str">
        <f>'INCEXC B'!O230</f>
        <v/>
      </c>
      <c r="S230" s="28" t="str">
        <f>'INCEXC A'!P230</f>
        <v/>
      </c>
      <c r="T230" s="28" t="str">
        <f>'INCEXC B'!P230</f>
        <v/>
      </c>
      <c r="U230" s="28" t="b">
        <f t="shared" si="4"/>
        <v>1</v>
      </c>
      <c r="V230" s="28" t="b">
        <f t="shared" si="5"/>
        <v>0</v>
      </c>
    </row>
    <row r="231" hidden="1">
      <c r="A231" s="35" t="str">
        <f>'INCEXC A'!A231</f>
        <v>https://doi.org/10.1145/3715073.3715075</v>
      </c>
      <c r="B231" s="35" t="str">
        <f>'INCEXC B'!A231</f>
        <v>https://doi.org/10.1145/3715073.3715075</v>
      </c>
      <c r="C231" s="28" t="b">
        <f t="shared" si="1"/>
        <v>1</v>
      </c>
      <c r="D231" s="28" t="str">
        <f>'INCEXC A'!B231</f>
        <v>10.1145/3715073.3715075</v>
      </c>
      <c r="E231" s="28" t="str">
        <f>'INCEXC A'!C231</f>
        <v>Blockchain for Large Language Model Security and Safety: A Holistic Survey</v>
      </c>
      <c r="F231" s="28" t="str">
        <f>'INCEXC A'!D231</f>
        <v>Jonathan</v>
      </c>
      <c r="G231" s="28" t="str">
        <f>'INCEXC B'!D231</f>
        <v>Taylor</v>
      </c>
      <c r="H231" s="28" t="str">
        <f>'INCEXC A'!E231</f>
        <v>Exclude</v>
      </c>
      <c r="I231" s="28" t="str">
        <f>'INCEXC B'!E231</f>
        <v>Exclude</v>
      </c>
      <c r="J231" s="28" t="b">
        <f t="shared" si="2"/>
        <v>1</v>
      </c>
      <c r="K231" s="28" t="b">
        <f t="shared" si="3"/>
        <v>0</v>
      </c>
      <c r="L231" s="28" t="str">
        <f>'INCEXC A'!L231</f>
        <v/>
      </c>
      <c r="M231" s="28" t="str">
        <f>'INCEXC B'!L231</f>
        <v/>
      </c>
      <c r="O231" s="28" t="str">
        <f>'INCEXC A'!M231</f>
        <v/>
      </c>
      <c r="P231" s="28" t="str">
        <f>'INCEXC A'!N231</f>
        <v/>
      </c>
      <c r="Q231" s="28" t="str">
        <f>'INCEXC A'!O231</f>
        <v/>
      </c>
      <c r="R231" s="28" t="str">
        <f>'INCEXC B'!O231</f>
        <v/>
      </c>
      <c r="S231" s="28" t="str">
        <f>'INCEXC A'!P231</f>
        <v/>
      </c>
      <c r="T231" s="28" t="str">
        <f>'INCEXC B'!P231</f>
        <v/>
      </c>
      <c r="U231" s="28" t="b">
        <f t="shared" si="4"/>
        <v>1</v>
      </c>
      <c r="V231" s="28" t="b">
        <f t="shared" si="5"/>
        <v>0</v>
      </c>
    </row>
    <row r="232" hidden="1">
      <c r="A232" s="35" t="str">
        <f>'INCEXC A'!A232</f>
        <v>https://doi.org/10.1145/3715275.3732038</v>
      </c>
      <c r="B232" s="35" t="str">
        <f>'INCEXC B'!A232</f>
        <v>https://doi.org/10.1145/3715275.3732038</v>
      </c>
      <c r="C232" s="28" t="b">
        <f t="shared" si="1"/>
        <v>1</v>
      </c>
      <c r="D232" s="28" t="str">
        <f>'INCEXC A'!B232</f>
        <v>10.1145/3715275.3732038</v>
      </c>
      <c r="E232" s="28" t="str">
        <f>'INCEXC A'!C232</f>
        <v>Position is Power: System Prompts as a Mechanism of Bias in Large Language Models (LLMs)</v>
      </c>
      <c r="F232" s="28" t="str">
        <f>'INCEXC A'!D232</f>
        <v>Jonathan</v>
      </c>
      <c r="G232" s="28" t="str">
        <f>'INCEXC B'!D232</f>
        <v>Ceren</v>
      </c>
      <c r="H232" s="28" t="str">
        <f>'INCEXC A'!E232</f>
        <v>Exclude</v>
      </c>
      <c r="I232" s="28" t="str">
        <f>'INCEXC B'!E232</f>
        <v>Exclude</v>
      </c>
      <c r="J232" s="28" t="b">
        <f t="shared" si="2"/>
        <v>1</v>
      </c>
      <c r="K232" s="28" t="b">
        <f t="shared" si="3"/>
        <v>0</v>
      </c>
      <c r="L232" s="28" t="str">
        <f>'INCEXC A'!L232</f>
        <v/>
      </c>
      <c r="M232" s="28" t="str">
        <f>'INCEXC B'!L232</f>
        <v/>
      </c>
      <c r="O232" s="28" t="str">
        <f>'INCEXC A'!M232</f>
        <v/>
      </c>
      <c r="P232" s="28" t="str">
        <f>'INCEXC A'!N232</f>
        <v/>
      </c>
      <c r="Q232" s="28" t="str">
        <f>'INCEXC A'!O232</f>
        <v/>
      </c>
      <c r="R232" s="28" t="str">
        <f>'INCEXC B'!O232</f>
        <v/>
      </c>
      <c r="S232" s="28" t="str">
        <f>'INCEXC A'!P232</f>
        <v/>
      </c>
      <c r="T232" s="28" t="str">
        <f>'INCEXC B'!P232</f>
        <v/>
      </c>
      <c r="U232" s="28" t="b">
        <f t="shared" si="4"/>
        <v>1</v>
      </c>
      <c r="V232" s="28" t="b">
        <f t="shared" si="5"/>
        <v>0</v>
      </c>
    </row>
    <row r="233">
      <c r="A233" s="35" t="str">
        <f>'INCEXC A'!A233</f>
        <v>https://doi.org/10.1145/3715275.3732039</v>
      </c>
      <c r="B233" s="35" t="str">
        <f>'INCEXC B'!A233</f>
        <v>https://doi.org/10.1145/3715275.3732039</v>
      </c>
      <c r="C233" s="28" t="b">
        <f t="shared" si="1"/>
        <v>1</v>
      </c>
      <c r="D233" s="28" t="str">
        <f>'INCEXC A'!B233</f>
        <v>10.1145/3715275.3732039</v>
      </c>
      <c r="E233" s="28" t="str">
        <f>'INCEXC A'!C233</f>
        <v>Expressing stigma and inappropriate responses prevents LLMs from safely replacing mental health providers.</v>
      </c>
      <c r="F233" s="28" t="str">
        <f>'INCEXC A'!D233</f>
        <v>Jonathan</v>
      </c>
      <c r="G233" s="28" t="str">
        <f>'INCEXC B'!D233</f>
        <v>Taylor</v>
      </c>
      <c r="H233" s="28" t="str">
        <f>'INCEXC A'!E233</f>
        <v>Include</v>
      </c>
      <c r="I233" s="28" t="str">
        <f>'INCEXC B'!E233</f>
        <v>Include</v>
      </c>
      <c r="J233" s="28" t="b">
        <f t="shared" si="2"/>
        <v>1</v>
      </c>
      <c r="K233" s="28" t="b">
        <f t="shared" si="3"/>
        <v>1</v>
      </c>
      <c r="L233" s="28" t="str">
        <f>'INCEXC A'!L233</f>
        <v/>
      </c>
      <c r="M233" s="28" t="str">
        <f>'INCEXC B'!L233</f>
        <v/>
      </c>
      <c r="O233" s="28" t="str">
        <f>'INCEXC A'!M233</f>
        <v/>
      </c>
      <c r="P233" s="28" t="str">
        <f>'INCEXC A'!N233</f>
        <v/>
      </c>
      <c r="Q233" s="28" t="str">
        <f>'INCEXC A'!O233</f>
        <v/>
      </c>
      <c r="R233" s="28" t="str">
        <f>'INCEXC B'!O233</f>
        <v/>
      </c>
      <c r="S233" s="28" t="str">
        <f>'INCEXC A'!P233</f>
        <v/>
      </c>
      <c r="T233" s="28" t="str">
        <f>'INCEXC B'!P233</f>
        <v/>
      </c>
      <c r="U233" s="28" t="b">
        <f t="shared" si="4"/>
        <v>1</v>
      </c>
      <c r="V233" s="28" t="b">
        <f t="shared" si="5"/>
        <v>0</v>
      </c>
    </row>
    <row r="234" hidden="1">
      <c r="A234" s="35" t="str">
        <f>'INCEXC A'!A234</f>
        <v>https://doi.org/10.1145/3715275.3732063</v>
      </c>
      <c r="B234" s="35" t="str">
        <f>'INCEXC B'!A234</f>
        <v>https://doi.org/10.1145/3715275.3732063</v>
      </c>
      <c r="C234" s="28" t="b">
        <f t="shared" si="1"/>
        <v>1</v>
      </c>
      <c r="D234" s="28" t="str">
        <f>'INCEXC A'!B234</f>
        <v>10.1145/3715275.3732063</v>
      </c>
      <c r="E234" s="28" t="str">
        <f>'INCEXC A'!C234</f>
        <v>From Lived Experience to Insight: Unpacking the Psychological Risks of Using AI Conversational Agents</v>
      </c>
      <c r="F234" s="28" t="str">
        <f>'INCEXC A'!D234</f>
        <v>Jonathan</v>
      </c>
      <c r="G234" s="28" t="str">
        <f>'INCEXC B'!D234</f>
        <v>Taylor</v>
      </c>
      <c r="H234" s="28" t="str">
        <f>'INCEXC A'!E234</f>
        <v>Exclude</v>
      </c>
      <c r="I234" s="28" t="str">
        <f>'INCEXC B'!E234</f>
        <v>Exclude</v>
      </c>
      <c r="J234" s="28" t="b">
        <f t="shared" si="2"/>
        <v>1</v>
      </c>
      <c r="K234" s="28" t="b">
        <f t="shared" si="3"/>
        <v>0</v>
      </c>
      <c r="L234" s="28" t="str">
        <f>'INCEXC A'!L234</f>
        <v/>
      </c>
      <c r="M234" s="28" t="str">
        <f>'INCEXC B'!L234</f>
        <v/>
      </c>
      <c r="O234" s="28" t="str">
        <f>'INCEXC A'!M234</f>
        <v/>
      </c>
      <c r="P234" s="28" t="str">
        <f>'INCEXC A'!N234</f>
        <v/>
      </c>
      <c r="Q234" s="28" t="str">
        <f>'INCEXC A'!O234</f>
        <v/>
      </c>
      <c r="R234" s="28" t="str">
        <f>'INCEXC B'!O234</f>
        <v/>
      </c>
      <c r="S234" s="28" t="str">
        <f>'INCEXC A'!P234</f>
        <v/>
      </c>
      <c r="T234" s="28" t="str">
        <f>'INCEXC B'!P234</f>
        <v/>
      </c>
      <c r="U234" s="28" t="b">
        <f t="shared" si="4"/>
        <v>1</v>
      </c>
      <c r="V234" s="28" t="b">
        <f t="shared" si="5"/>
        <v>0</v>
      </c>
    </row>
    <row r="235" hidden="1">
      <c r="A235" s="35" t="str">
        <f>'INCEXC A'!A235</f>
        <v>https://doi.org/10.1145/3715275.3732094</v>
      </c>
      <c r="B235" s="35" t="str">
        <f>'INCEXC B'!A235</f>
        <v>https://doi.org/10.1145/3715275.3732094</v>
      </c>
      <c r="C235" s="28" t="b">
        <f t="shared" si="1"/>
        <v>1</v>
      </c>
      <c r="D235" s="28" t="str">
        <f>'INCEXC A'!B235</f>
        <v>10.1145/3715275.3732094</v>
      </c>
      <c r="E235" s="28" t="str">
        <f>'INCEXC A'!C235</f>
        <v>What do Large Language Models Say About Animals? Investigating Risks of Animal Harm in Generated Text</v>
      </c>
      <c r="F235" s="28" t="str">
        <f>'INCEXC A'!D235</f>
        <v>Kaiser</v>
      </c>
      <c r="G235" s="28" t="str">
        <f>'INCEXC B'!D235</f>
        <v>Danni</v>
      </c>
      <c r="H235" s="28" t="str">
        <f>'INCEXC A'!E235</f>
        <v>Exclude</v>
      </c>
      <c r="I235" s="28" t="str">
        <f>'INCEXC B'!E235</f>
        <v>Exclude</v>
      </c>
      <c r="J235" s="28" t="b">
        <f t="shared" si="2"/>
        <v>1</v>
      </c>
      <c r="K235" s="28" t="b">
        <f t="shared" si="3"/>
        <v>0</v>
      </c>
      <c r="L235" s="28" t="str">
        <f>'INCEXC A'!L235</f>
        <v/>
      </c>
      <c r="M235" s="28" t="str">
        <f>'INCEXC B'!L235</f>
        <v/>
      </c>
      <c r="O235" s="28" t="str">
        <f>'INCEXC A'!M235</f>
        <v/>
      </c>
      <c r="P235" s="28" t="str">
        <f>'INCEXC A'!N235</f>
        <v/>
      </c>
      <c r="Q235" s="28" t="str">
        <f>'INCEXC A'!O235</f>
        <v/>
      </c>
      <c r="R235" s="28" t="str">
        <f>'INCEXC B'!O235</f>
        <v/>
      </c>
      <c r="S235" s="28" t="str">
        <f>'INCEXC A'!P235</f>
        <v/>
      </c>
      <c r="T235" s="28" t="str">
        <f>'INCEXC B'!P235</f>
        <v/>
      </c>
      <c r="U235" s="28" t="b">
        <f t="shared" si="4"/>
        <v>1</v>
      </c>
      <c r="V235" s="28" t="b">
        <f t="shared" si="5"/>
        <v>0</v>
      </c>
    </row>
    <row r="236" hidden="1">
      <c r="A236" s="35" t="str">
        <f>'INCEXC A'!A236</f>
        <v>https://doi.org/10.1145/3715275.3732146</v>
      </c>
      <c r="B236" s="35" t="str">
        <f>'INCEXC B'!A236</f>
        <v>https://doi.org/10.1145/3715275.3732146</v>
      </c>
      <c r="C236" s="28" t="b">
        <f t="shared" si="1"/>
        <v>1</v>
      </c>
      <c r="D236" s="28" t="str">
        <f>'INCEXC A'!B236</f>
        <v>10.1145/3715275.3732146</v>
      </c>
      <c r="E236" s="28" t="str">
        <f>'INCEXC A'!C236</f>
        <v>The Value of Disagreement in AI Design</v>
      </c>
      <c r="F236" s="28" t="str">
        <f>'INCEXC A'!D236</f>
        <v>Kaiser</v>
      </c>
      <c r="G236" s="28" t="str">
        <f>'INCEXC B'!D236</f>
        <v>Ceren</v>
      </c>
      <c r="H236" s="28" t="str">
        <f>'INCEXC A'!E236</f>
        <v>Exclude</v>
      </c>
      <c r="I236" s="28" t="str">
        <f>'INCEXC B'!E236</f>
        <v>Exclude</v>
      </c>
      <c r="J236" s="28" t="b">
        <f t="shared" si="2"/>
        <v>1</v>
      </c>
      <c r="K236" s="28" t="b">
        <f t="shared" si="3"/>
        <v>0</v>
      </c>
      <c r="L236" s="28" t="str">
        <f>'INCEXC A'!L236</f>
        <v/>
      </c>
      <c r="M236" s="28" t="str">
        <f>'INCEXC B'!L236</f>
        <v/>
      </c>
      <c r="O236" s="28" t="str">
        <f>'INCEXC A'!M236</f>
        <v/>
      </c>
      <c r="P236" s="28" t="str">
        <f>'INCEXC A'!N236</f>
        <v/>
      </c>
      <c r="Q236" s="28" t="str">
        <f>'INCEXC A'!O236</f>
        <v/>
      </c>
      <c r="R236" s="28" t="str">
        <f>'INCEXC B'!O236</f>
        <v/>
      </c>
      <c r="S236" s="28" t="str">
        <f>'INCEXC A'!P236</f>
        <v/>
      </c>
      <c r="T236" s="28" t="str">
        <f>'INCEXC B'!P236</f>
        <v/>
      </c>
      <c r="U236" s="28" t="b">
        <f t="shared" si="4"/>
        <v>1</v>
      </c>
      <c r="V236" s="28" t="b">
        <f t="shared" si="5"/>
        <v>0</v>
      </c>
    </row>
    <row r="237" hidden="1">
      <c r="A237" s="35" t="str">
        <f>'INCEXC A'!A237</f>
        <v>https://doi.org/10.1145/3716553.3750784</v>
      </c>
      <c r="B237" s="35" t="str">
        <f>'INCEXC B'!A237</f>
        <v>https://doi.org/10.1145/3716553.3750784</v>
      </c>
      <c r="C237" s="28" t="b">
        <f t="shared" si="1"/>
        <v>1</v>
      </c>
      <c r="D237" s="28" t="str">
        <f>'INCEXC A'!B237</f>
        <v>10.1145/3716553.3750784</v>
      </c>
      <c r="E237" s="28" t="str">
        <f>'INCEXC A'!C237</f>
        <v>Seeing</v>
      </c>
      <c r="F237" s="28" t="str">
        <f>'INCEXC A'!D237</f>
        <v>Kaiser</v>
      </c>
      <c r="G237" s="28" t="str">
        <f>'INCEXC B'!D237</f>
        <v>Ceren</v>
      </c>
      <c r="H237" s="28" t="str">
        <f>'INCEXC A'!E237</f>
        <v>Exclude</v>
      </c>
      <c r="I237" s="28" t="str">
        <f>'INCEXC B'!E237</f>
        <v>Exclude</v>
      </c>
      <c r="J237" s="28" t="b">
        <f t="shared" si="2"/>
        <v>1</v>
      </c>
      <c r="K237" s="28" t="b">
        <f t="shared" si="3"/>
        <v>0</v>
      </c>
      <c r="L237" s="28" t="str">
        <f>'INCEXC A'!L237</f>
        <v/>
      </c>
      <c r="M237" s="28" t="str">
        <f>'INCEXC B'!L237</f>
        <v/>
      </c>
      <c r="O237" s="28" t="str">
        <f>'INCEXC A'!M237</f>
        <v/>
      </c>
      <c r="P237" s="28" t="str">
        <f>'INCEXC A'!N237</f>
        <v/>
      </c>
      <c r="Q237" s="28" t="str">
        <f>'INCEXC A'!O237</f>
        <v/>
      </c>
      <c r="R237" s="28" t="str">
        <f>'INCEXC B'!O237</f>
        <v/>
      </c>
      <c r="S237" s="28" t="str">
        <f>'INCEXC A'!P237</f>
        <v/>
      </c>
      <c r="T237" s="28" t="str">
        <f>'INCEXC B'!P237</f>
        <v/>
      </c>
      <c r="U237" s="28" t="b">
        <f t="shared" si="4"/>
        <v>1</v>
      </c>
      <c r="V237" s="28" t="b">
        <f t="shared" si="5"/>
        <v>0</v>
      </c>
    </row>
    <row r="238" hidden="1">
      <c r="A238" s="35" t="str">
        <f>'INCEXC A'!A238</f>
        <v>https://doi.org/10.1145/3716628</v>
      </c>
      <c r="B238" s="35" t="str">
        <f>'INCEXC B'!A238</f>
        <v>https://doi.org/10.1145/3716628</v>
      </c>
      <c r="C238" s="28" t="b">
        <f t="shared" si="1"/>
        <v>1</v>
      </c>
      <c r="D238" s="28" t="str">
        <f>'INCEXC A'!B238</f>
        <v>10.1145/3716628</v>
      </c>
      <c r="E238" s="28" t="str">
        <f>'INCEXC A'!C238</f>
        <v>AI Agents Under Threat: A Survey of Key Security Challenges and Future Pathways</v>
      </c>
      <c r="F238" s="28" t="str">
        <f>'INCEXC A'!D238</f>
        <v>Jonathan</v>
      </c>
      <c r="G238" s="28" t="str">
        <f>'INCEXC B'!D238</f>
        <v>Danni</v>
      </c>
      <c r="H238" s="28" t="str">
        <f>'INCEXC A'!E238</f>
        <v>Exclude</v>
      </c>
      <c r="I238" s="28" t="str">
        <f>'INCEXC B'!E238</f>
        <v>Exclude</v>
      </c>
      <c r="J238" s="28" t="b">
        <f t="shared" si="2"/>
        <v>1</v>
      </c>
      <c r="K238" s="28" t="b">
        <f t="shared" si="3"/>
        <v>0</v>
      </c>
      <c r="L238" s="28" t="str">
        <f>'INCEXC A'!L238</f>
        <v/>
      </c>
      <c r="M238" s="28" t="str">
        <f>'INCEXC B'!L238</f>
        <v/>
      </c>
      <c r="O238" s="28" t="str">
        <f>'INCEXC A'!M238</f>
        <v/>
      </c>
      <c r="P238" s="28" t="str">
        <f>'INCEXC A'!N238</f>
        <v/>
      </c>
      <c r="Q238" s="28" t="str">
        <f>'INCEXC A'!O238</f>
        <v/>
      </c>
      <c r="R238" s="28" t="str">
        <f>'INCEXC B'!O238</f>
        <v/>
      </c>
      <c r="S238" s="28" t="str">
        <f>'INCEXC A'!P238</f>
        <v/>
      </c>
      <c r="T238" s="28" t="str">
        <f>'INCEXC B'!P238</f>
        <v/>
      </c>
      <c r="U238" s="28" t="b">
        <f t="shared" si="4"/>
        <v>1</v>
      </c>
      <c r="V238" s="28" t="b">
        <f t="shared" si="5"/>
        <v>0</v>
      </c>
    </row>
    <row r="239">
      <c r="A239" s="35" t="str">
        <f>'INCEXC A'!A239</f>
        <v>https://doi.org/10.1145/3717511.3747073</v>
      </c>
      <c r="B239" s="35" t="str">
        <f>'INCEXC B'!A239</f>
        <v>https://doi.org/10.1145/3717511.3747073</v>
      </c>
      <c r="C239" s="28" t="b">
        <f t="shared" si="1"/>
        <v>1</v>
      </c>
      <c r="D239" s="28" t="str">
        <f>'INCEXC A'!B239</f>
        <v>10.1145/3717511.3747073</v>
      </c>
      <c r="E239" s="28" t="str">
        <f>'INCEXC A'!C239</f>
        <v>Interactive Social Agent Behaviors of Politeness and Compromise in Collaborative Decision-making</v>
      </c>
      <c r="F239" s="28" t="str">
        <f>'INCEXC A'!D239</f>
        <v>Kaiser</v>
      </c>
      <c r="G239" s="28" t="str">
        <f>'INCEXC B'!D239</f>
        <v>Ceren</v>
      </c>
      <c r="H239" s="28" t="str">
        <f>'INCEXC A'!E239</f>
        <v>Include</v>
      </c>
      <c r="I239" s="28" t="str">
        <f>'INCEXC B'!E239</f>
        <v>Include</v>
      </c>
      <c r="J239" s="28" t="b">
        <f t="shared" si="2"/>
        <v>1</v>
      </c>
      <c r="K239" s="28" t="b">
        <f t="shared" si="3"/>
        <v>1</v>
      </c>
      <c r="L239" s="28" t="str">
        <f>'INCEXC A'!L239</f>
        <v/>
      </c>
      <c r="M239" s="28" t="str">
        <f>'INCEXC B'!L239</f>
        <v/>
      </c>
      <c r="O239" s="28" t="str">
        <f>'INCEXC A'!M239</f>
        <v/>
      </c>
      <c r="P239" s="28" t="str">
        <f>'INCEXC A'!N239</f>
        <v/>
      </c>
      <c r="Q239" s="28" t="str">
        <f>'INCEXC A'!O239</f>
        <v/>
      </c>
      <c r="R239" s="28" t="str">
        <f>'INCEXC B'!O239</f>
        <v/>
      </c>
      <c r="S239" s="28" t="str">
        <f>'INCEXC A'!P239</f>
        <v/>
      </c>
      <c r="T239" s="28" t="str">
        <f>'INCEXC B'!P239</f>
        <v/>
      </c>
      <c r="U239" s="28" t="b">
        <f t="shared" si="4"/>
        <v>1</v>
      </c>
      <c r="V239" s="28" t="b">
        <f t="shared" si="5"/>
        <v>0</v>
      </c>
    </row>
    <row r="240" hidden="1">
      <c r="A240" s="35" t="str">
        <f>'INCEXC A'!A240</f>
        <v>https://doi.org/10.1145/3719160.3736611</v>
      </c>
      <c r="B240" s="35" t="str">
        <f>'INCEXC B'!A240</f>
        <v>https://doi.org/10.1145/3719160.3736611</v>
      </c>
      <c r="C240" s="28" t="b">
        <f t="shared" si="1"/>
        <v>1</v>
      </c>
      <c r="D240" s="28" t="str">
        <f>'INCEXC A'!B240</f>
        <v>10.1145/3719160.3736611</v>
      </c>
      <c r="E240" s="28" t="str">
        <f>'INCEXC A'!C240</f>
        <v>Learn</v>
      </c>
      <c r="F240" s="28" t="str">
        <f>'INCEXC A'!D240</f>
        <v>Marilyn</v>
      </c>
      <c r="G240" s="28" t="str">
        <f>'INCEXC B'!D240</f>
        <v>Danni</v>
      </c>
      <c r="H240" s="28" t="str">
        <f>'INCEXC A'!E240</f>
        <v>Exclude</v>
      </c>
      <c r="I240" s="28" t="str">
        <f>'INCEXC B'!E240</f>
        <v>Exclude</v>
      </c>
      <c r="J240" s="28" t="b">
        <f t="shared" si="2"/>
        <v>1</v>
      </c>
      <c r="K240" s="28" t="b">
        <f t="shared" si="3"/>
        <v>0</v>
      </c>
      <c r="L240" s="28" t="str">
        <f>'INCEXC A'!L240</f>
        <v/>
      </c>
      <c r="M240" s="28" t="str">
        <f>'INCEXC B'!L240</f>
        <v/>
      </c>
      <c r="O240" s="28" t="str">
        <f>'INCEXC A'!M240</f>
        <v/>
      </c>
      <c r="P240" s="28" t="str">
        <f>'INCEXC A'!N240</f>
        <v/>
      </c>
      <c r="Q240" s="28" t="str">
        <f>'INCEXC A'!O240</f>
        <v/>
      </c>
      <c r="R240" s="28" t="str">
        <f>'INCEXC B'!O240</f>
        <v/>
      </c>
      <c r="S240" s="28" t="str">
        <f>'INCEXC A'!P240</f>
        <v/>
      </c>
      <c r="T240" s="28" t="str">
        <f>'INCEXC B'!P240</f>
        <v/>
      </c>
      <c r="U240" s="28" t="b">
        <f t="shared" si="4"/>
        <v>1</v>
      </c>
      <c r="V240" s="28" t="b">
        <f t="shared" si="5"/>
        <v>0</v>
      </c>
    </row>
    <row r="241">
      <c r="A241" s="35" t="str">
        <f>'INCEXC A'!A241</f>
        <v>https://doi.org/10.1145/3719160.3736618</v>
      </c>
      <c r="B241" s="35" t="str">
        <f>'INCEXC B'!A241</f>
        <v>https://doi.org/10.1145/3719160.3736618</v>
      </c>
      <c r="C241" s="28" t="b">
        <f t="shared" si="1"/>
        <v>1</v>
      </c>
      <c r="D241" s="28" t="str">
        <f>'INCEXC A'!B241</f>
        <v>10.1145/3719160.3736618</v>
      </c>
      <c r="E241" s="28" t="str">
        <f>'INCEXC A'!C241</f>
        <v>Navigating the Fog: How University Students Recalibrate Sensemaking Practices to Address Plausible Falsehoods in LLM Outputs</v>
      </c>
      <c r="F241" s="28" t="str">
        <f>'INCEXC A'!D241</f>
        <v>Kaiser</v>
      </c>
      <c r="G241" s="28" t="str">
        <f>'INCEXC B'!D241</f>
        <v>Danni</v>
      </c>
      <c r="H241" s="28" t="str">
        <f>'INCEXC A'!E241</f>
        <v>Include</v>
      </c>
      <c r="I241" s="28" t="str">
        <f>'INCEXC B'!E241</f>
        <v>Include</v>
      </c>
      <c r="J241" s="28" t="b">
        <f t="shared" si="2"/>
        <v>1</v>
      </c>
      <c r="K241" s="28" t="b">
        <f t="shared" si="3"/>
        <v>1</v>
      </c>
      <c r="L241" s="28" t="str">
        <f>'INCEXC A'!L241</f>
        <v/>
      </c>
      <c r="M241" s="28" t="str">
        <f>'INCEXC B'!L241</f>
        <v/>
      </c>
      <c r="O241" s="28" t="str">
        <f>'INCEXC A'!M241</f>
        <v/>
      </c>
      <c r="P241" s="28" t="str">
        <f>'INCEXC A'!N241</f>
        <v/>
      </c>
      <c r="Q241" s="28" t="str">
        <f>'INCEXC A'!O241</f>
        <v/>
      </c>
      <c r="R241" s="28" t="str">
        <f>'INCEXC B'!O241</f>
        <v/>
      </c>
      <c r="S241" s="28" t="str">
        <f>'INCEXC A'!P241</f>
        <v/>
      </c>
      <c r="T241" s="28" t="str">
        <f>'INCEXC B'!P241</f>
        <v/>
      </c>
      <c r="U241" s="28" t="b">
        <f t="shared" si="4"/>
        <v>1</v>
      </c>
      <c r="V241" s="28" t="b">
        <f t="shared" si="5"/>
        <v>0</v>
      </c>
    </row>
    <row r="242" hidden="1">
      <c r="A242" s="35" t="str">
        <f>'INCEXC A'!A242</f>
        <v>https://doi.org/10.1145/3720554.3735862</v>
      </c>
      <c r="B242" s="35" t="str">
        <f>'INCEXC B'!A242</f>
        <v>https://doi.org/10.1145/3720554.3735862</v>
      </c>
      <c r="C242" s="28" t="b">
        <f t="shared" si="1"/>
        <v>1</v>
      </c>
      <c r="D242" s="28" t="str">
        <f>'INCEXC A'!B242</f>
        <v>10.1145/3720554.3735862</v>
      </c>
      <c r="E242" s="28" t="str">
        <f>'INCEXC A'!C242</f>
        <v>GenAI &amp;amp; The Dual-Deception Process in Web Science</v>
      </c>
      <c r="F242" s="28" t="str">
        <f>'INCEXC A'!D242</f>
        <v>Marilyn</v>
      </c>
      <c r="G242" s="28" t="str">
        <f>'INCEXC B'!D242</f>
        <v>Taylor</v>
      </c>
      <c r="H242" s="28" t="str">
        <f>'INCEXC A'!E242</f>
        <v>Exclude</v>
      </c>
      <c r="I242" s="28" t="str">
        <f>'INCEXC B'!E242</f>
        <v>Exclude</v>
      </c>
      <c r="J242" s="28" t="b">
        <f t="shared" si="2"/>
        <v>1</v>
      </c>
      <c r="K242" s="28" t="b">
        <f t="shared" si="3"/>
        <v>0</v>
      </c>
      <c r="L242" s="28" t="str">
        <f>'INCEXC A'!L242</f>
        <v/>
      </c>
      <c r="M242" s="28" t="str">
        <f>'INCEXC B'!L242</f>
        <v/>
      </c>
      <c r="O242" s="28" t="str">
        <f>'INCEXC A'!M242</f>
        <v/>
      </c>
      <c r="P242" s="28" t="str">
        <f>'INCEXC A'!N242</f>
        <v/>
      </c>
      <c r="Q242" s="28" t="str">
        <f>'INCEXC A'!O242</f>
        <v/>
      </c>
      <c r="R242" s="28" t="str">
        <f>'INCEXC B'!O242</f>
        <v/>
      </c>
      <c r="S242" s="28" t="str">
        <f>'INCEXC A'!P242</f>
        <v/>
      </c>
      <c r="T242" s="28" t="str">
        <f>'INCEXC B'!P242</f>
        <v/>
      </c>
      <c r="U242" s="28" t="b">
        <f t="shared" si="4"/>
        <v>1</v>
      </c>
      <c r="V242" s="28" t="b">
        <f t="shared" si="5"/>
        <v>0</v>
      </c>
    </row>
    <row r="243" hidden="1">
      <c r="A243" s="35" t="str">
        <f>'INCEXC A'!A243</f>
        <v>https://doi.org/10.1145/3721201.3721385</v>
      </c>
      <c r="B243" s="35" t="str">
        <f>'INCEXC B'!A243</f>
        <v>https://doi.org/10.1145/3721201.3721385</v>
      </c>
      <c r="C243" s="28" t="b">
        <f t="shared" si="1"/>
        <v>1</v>
      </c>
      <c r="D243" s="28" t="str">
        <f>'INCEXC A'!B243</f>
        <v>10.1145/3721201.3721385</v>
      </c>
      <c r="E243" s="28" t="str">
        <f>'INCEXC A'!C243</f>
        <v>HALO: Hallucination Analysis and Learning Optimization to Empower LLMs with Retrieval-Augmented Context for Guided Clinical Decision Making</v>
      </c>
      <c r="F243" s="28" t="str">
        <f>'INCEXC A'!D243</f>
        <v>Marilyn</v>
      </c>
      <c r="G243" s="28" t="str">
        <f>'INCEXC B'!D243</f>
        <v>Danni</v>
      </c>
      <c r="H243" s="28" t="str">
        <f>'INCEXC A'!E243</f>
        <v>Exclude</v>
      </c>
      <c r="I243" s="28" t="str">
        <f>'INCEXC B'!E243</f>
        <v>Exclude</v>
      </c>
      <c r="J243" s="28" t="b">
        <f t="shared" si="2"/>
        <v>1</v>
      </c>
      <c r="K243" s="28" t="b">
        <f t="shared" si="3"/>
        <v>0</v>
      </c>
      <c r="L243" s="28" t="str">
        <f>'INCEXC A'!L243</f>
        <v/>
      </c>
      <c r="M243" s="28" t="str">
        <f>'INCEXC B'!L243</f>
        <v/>
      </c>
      <c r="O243" s="28" t="str">
        <f>'INCEXC A'!M243</f>
        <v/>
      </c>
      <c r="P243" s="28" t="str">
        <f>'INCEXC A'!N243</f>
        <v/>
      </c>
      <c r="Q243" s="28" t="str">
        <f>'INCEXC A'!O243</f>
        <v/>
      </c>
      <c r="R243" s="28" t="str">
        <f>'INCEXC B'!O243</f>
        <v/>
      </c>
      <c r="S243" s="28" t="str">
        <f>'INCEXC A'!P243</f>
        <v/>
      </c>
      <c r="T243" s="28" t="str">
        <f>'INCEXC B'!P243</f>
        <v/>
      </c>
      <c r="U243" s="28" t="b">
        <f t="shared" si="4"/>
        <v>1</v>
      </c>
      <c r="V243" s="28" t="b">
        <f t="shared" si="5"/>
        <v>0</v>
      </c>
    </row>
    <row r="244" hidden="1">
      <c r="A244" s="35" t="str">
        <f>'INCEXC A'!A244</f>
        <v>https://doi.org/10.1145/3727200.3727226</v>
      </c>
      <c r="B244" s="35" t="str">
        <f>'INCEXC B'!A244</f>
        <v>https://doi.org/10.1145/3727200.3727226</v>
      </c>
      <c r="C244" s="28" t="b">
        <f t="shared" si="1"/>
        <v>1</v>
      </c>
      <c r="D244" s="28" t="str">
        <f>'INCEXC A'!B244</f>
        <v>10.1145/3727200.3727226</v>
      </c>
      <c r="E244" s="28" t="str">
        <f>'INCEXC A'!C244</f>
        <v>Lovelock: Towards Smart NIC-Hosted Clusters</v>
      </c>
      <c r="F244" s="28" t="str">
        <f>'INCEXC A'!D244</f>
        <v>Marilyn</v>
      </c>
      <c r="G244" s="28" t="str">
        <f>'INCEXC B'!D244</f>
        <v>Taylor</v>
      </c>
      <c r="H244" s="28" t="str">
        <f>'INCEXC A'!E244</f>
        <v>Exclude</v>
      </c>
      <c r="I244" s="28" t="str">
        <f>'INCEXC B'!E244</f>
        <v>Exclude</v>
      </c>
      <c r="J244" s="28" t="b">
        <f t="shared" si="2"/>
        <v>1</v>
      </c>
      <c r="K244" s="28" t="b">
        <f t="shared" si="3"/>
        <v>0</v>
      </c>
      <c r="L244" s="28" t="str">
        <f>'INCEXC A'!L244</f>
        <v/>
      </c>
      <c r="M244" s="28" t="str">
        <f>'INCEXC B'!L244</f>
        <v/>
      </c>
      <c r="O244" s="28" t="str">
        <f>'INCEXC A'!M244</f>
        <v/>
      </c>
      <c r="P244" s="28" t="str">
        <f>'INCEXC A'!N244</f>
        <v/>
      </c>
      <c r="Q244" s="28" t="str">
        <f>'INCEXC A'!O244</f>
        <v/>
      </c>
      <c r="R244" s="28" t="str">
        <f>'INCEXC B'!O244</f>
        <v/>
      </c>
      <c r="S244" s="28" t="str">
        <f>'INCEXC A'!P244</f>
        <v/>
      </c>
      <c r="T244" s="28" t="str">
        <f>'INCEXC B'!P244</f>
        <v/>
      </c>
      <c r="U244" s="28" t="b">
        <f t="shared" si="4"/>
        <v>1</v>
      </c>
      <c r="V244" s="28" t="b">
        <f t="shared" si="5"/>
        <v>0</v>
      </c>
    </row>
    <row r="245" hidden="1">
      <c r="A245" s="35" t="str">
        <f>'INCEXC A'!A245</f>
        <v>https://doi.org/10.1145/3731459.3786222</v>
      </c>
      <c r="B245" s="35" t="str">
        <f>'INCEXC B'!A245</f>
        <v>https://doi.org/10.1145/3731459.3786222</v>
      </c>
      <c r="C245" s="28" t="b">
        <f t="shared" si="1"/>
        <v>1</v>
      </c>
      <c r="D245" s="28" t="str">
        <f>'INCEXC A'!B245</f>
        <v>10.1145/3731459.3786222</v>
      </c>
      <c r="E245" s="28" t="str">
        <f>'INCEXC A'!C245</f>
        <v>Wish You Were Here: Psychological and Sensory First Aid for Invisible Emergencies in Trauma and Neurodiversity</v>
      </c>
      <c r="F245" s="28" t="str">
        <f>'INCEXC A'!D245</f>
        <v>Jonathan</v>
      </c>
      <c r="G245" s="28" t="str">
        <f>'INCEXC B'!D245</f>
        <v>Taylor</v>
      </c>
      <c r="H245" s="28" t="str">
        <f>'INCEXC A'!E245</f>
        <v>Exclude</v>
      </c>
      <c r="I245" s="28" t="str">
        <f>'INCEXC B'!E245</f>
        <v>Exclude</v>
      </c>
      <c r="J245" s="28" t="b">
        <f t="shared" si="2"/>
        <v>1</v>
      </c>
      <c r="K245" s="28" t="b">
        <f t="shared" si="3"/>
        <v>0</v>
      </c>
      <c r="L245" s="28" t="str">
        <f>'INCEXC A'!L245</f>
        <v/>
      </c>
      <c r="M245" s="28" t="str">
        <f>'INCEXC B'!L245</f>
        <v/>
      </c>
      <c r="O245" s="28" t="str">
        <f>'INCEXC A'!M245</f>
        <v/>
      </c>
      <c r="P245" s="28" t="str">
        <f>'INCEXC A'!N245</f>
        <v/>
      </c>
      <c r="Q245" s="28" t="str">
        <f>'INCEXC A'!O245</f>
        <v/>
      </c>
      <c r="R245" s="28" t="str">
        <f>'INCEXC B'!O245</f>
        <v/>
      </c>
      <c r="S245" s="28" t="str">
        <f>'INCEXC A'!P245</f>
        <v/>
      </c>
      <c r="T245" s="28" t="str">
        <f>'INCEXC B'!P245</f>
        <v/>
      </c>
      <c r="U245" s="28" t="b">
        <f t="shared" si="4"/>
        <v>1</v>
      </c>
      <c r="V245" s="28" t="b">
        <f t="shared" si="5"/>
        <v>0</v>
      </c>
    </row>
    <row r="246" hidden="1">
      <c r="A246" s="35" t="str">
        <f>'INCEXC A'!A246</f>
        <v>https://doi.org/10.1145/3735402</v>
      </c>
      <c r="B246" s="35" t="str">
        <f>'INCEXC B'!A246</f>
        <v>https://doi.org/10.1145/3735402</v>
      </c>
      <c r="C246" s="28" t="b">
        <f t="shared" si="1"/>
        <v>1</v>
      </c>
      <c r="D246" s="28" t="str">
        <f>'INCEXC A'!B246</f>
        <v>10.1145/3735402</v>
      </c>
      <c r="E246" s="28" t="str">
        <f>'INCEXC A'!C246</f>
        <v>Culture</v>
      </c>
      <c r="F246" s="28" t="str">
        <f>'INCEXC A'!D246</f>
        <v>Marilyn</v>
      </c>
      <c r="G246" s="28" t="str">
        <f>'INCEXC B'!D246</f>
        <v>Taylor</v>
      </c>
      <c r="H246" s="28" t="str">
        <f>'INCEXC A'!E246</f>
        <v>Exclude</v>
      </c>
      <c r="I246" s="28" t="str">
        <f>'INCEXC B'!E246</f>
        <v>Exclude</v>
      </c>
      <c r="J246" s="28" t="b">
        <f t="shared" si="2"/>
        <v>1</v>
      </c>
      <c r="K246" s="28" t="b">
        <f t="shared" si="3"/>
        <v>0</v>
      </c>
      <c r="L246" s="28" t="str">
        <f>'INCEXC A'!L246</f>
        <v/>
      </c>
      <c r="M246" s="28" t="str">
        <f>'INCEXC B'!L246</f>
        <v/>
      </c>
      <c r="O246" s="28" t="str">
        <f>'INCEXC A'!M246</f>
        <v/>
      </c>
      <c r="P246" s="28" t="str">
        <f>'INCEXC A'!N246</f>
        <v/>
      </c>
      <c r="Q246" s="28" t="str">
        <f>'INCEXC A'!O246</f>
        <v/>
      </c>
      <c r="R246" s="28" t="str">
        <f>'INCEXC B'!O246</f>
        <v/>
      </c>
      <c r="S246" s="28" t="str">
        <f>'INCEXC A'!P246</f>
        <v/>
      </c>
      <c r="T246" s="28" t="str">
        <f>'INCEXC B'!P246</f>
        <v/>
      </c>
      <c r="U246" s="28" t="b">
        <f t="shared" si="4"/>
        <v>1</v>
      </c>
      <c r="V246" s="28" t="b">
        <f t="shared" si="5"/>
        <v>0</v>
      </c>
    </row>
    <row r="247" hidden="1">
      <c r="A247" s="35" t="str">
        <f>'INCEXC A'!A247</f>
        <v>https://doi.org/10.1145/3736425.3770093</v>
      </c>
      <c r="B247" s="35" t="str">
        <f>'INCEXC B'!A247</f>
        <v>https://doi.org/10.1145/3736425.3770093</v>
      </c>
      <c r="C247" s="28" t="b">
        <f t="shared" si="1"/>
        <v>1</v>
      </c>
      <c r="D247" s="28" t="str">
        <f>'INCEXC A'!B247</f>
        <v>10.1145/3736425.3770093</v>
      </c>
      <c r="E247" s="28" t="str">
        <f>'INCEXC A'!C247</f>
        <v>An LLM Framework for Inferring Household Energy Consumption Through Behaviour Simulation</v>
      </c>
      <c r="F247" s="28" t="str">
        <f>'INCEXC A'!D247</f>
        <v>Jonathan</v>
      </c>
      <c r="G247" s="28" t="str">
        <f>'INCEXC B'!D247</f>
        <v>Taylor</v>
      </c>
      <c r="H247" s="28" t="str">
        <f>'INCEXC A'!E247</f>
        <v>Exclude</v>
      </c>
      <c r="I247" s="28" t="str">
        <f>'INCEXC B'!E247</f>
        <v>Exclude</v>
      </c>
      <c r="J247" s="28" t="b">
        <f t="shared" si="2"/>
        <v>1</v>
      </c>
      <c r="K247" s="28" t="b">
        <f t="shared" si="3"/>
        <v>0</v>
      </c>
      <c r="L247" s="28" t="str">
        <f>'INCEXC A'!L247</f>
        <v/>
      </c>
      <c r="M247" s="28" t="str">
        <f>'INCEXC B'!L247</f>
        <v/>
      </c>
      <c r="O247" s="28" t="str">
        <f>'INCEXC A'!M247</f>
        <v/>
      </c>
      <c r="P247" s="28" t="str">
        <f>'INCEXC A'!N247</f>
        <v/>
      </c>
      <c r="Q247" s="28" t="str">
        <f>'INCEXC A'!O247</f>
        <v/>
      </c>
      <c r="R247" s="28" t="str">
        <f>'INCEXC B'!O247</f>
        <v/>
      </c>
      <c r="S247" s="28" t="str">
        <f>'INCEXC A'!P247</f>
        <v/>
      </c>
      <c r="T247" s="28" t="str">
        <f>'INCEXC B'!P247</f>
        <v/>
      </c>
      <c r="U247" s="28" t="b">
        <f t="shared" si="4"/>
        <v>1</v>
      </c>
      <c r="V247" s="28" t="b">
        <f t="shared" si="5"/>
        <v>0</v>
      </c>
    </row>
    <row r="248" hidden="1">
      <c r="A248" s="35" t="str">
        <f>'INCEXC A'!A248</f>
        <v>https://doi.org/10.1145/3736731.3746137</v>
      </c>
      <c r="B248" s="35" t="str">
        <f>'INCEXC B'!A248</f>
        <v>https://doi.org/10.1145/3736731.3746137</v>
      </c>
      <c r="C248" s="28" t="b">
        <f t="shared" si="1"/>
        <v>1</v>
      </c>
      <c r="D248" s="28" t="str">
        <f>'INCEXC A'!B248</f>
        <v>10.1145/3736731.3746137</v>
      </c>
      <c r="E248" s="28" t="str">
        <f>'INCEXC A'!C248</f>
        <v>LLMs in Citation Intent Classification: Progress</v>
      </c>
      <c r="F248" s="28" t="str">
        <f>'INCEXC A'!D248</f>
        <v>Marilyn</v>
      </c>
      <c r="G248" s="28" t="str">
        <f>'INCEXC B'!D248</f>
        <v>Taylor</v>
      </c>
      <c r="H248" s="28" t="str">
        <f>'INCEXC A'!E248</f>
        <v>Exclude</v>
      </c>
      <c r="I248" s="28" t="str">
        <f>'INCEXC B'!E248</f>
        <v>Exclude</v>
      </c>
      <c r="J248" s="28" t="b">
        <f t="shared" si="2"/>
        <v>1</v>
      </c>
      <c r="K248" s="28" t="b">
        <f t="shared" si="3"/>
        <v>0</v>
      </c>
      <c r="L248" s="28" t="str">
        <f>'INCEXC A'!L248</f>
        <v/>
      </c>
      <c r="M248" s="28" t="str">
        <f>'INCEXC B'!L248</f>
        <v/>
      </c>
      <c r="O248" s="28" t="str">
        <f>'INCEXC A'!M248</f>
        <v/>
      </c>
      <c r="P248" s="28" t="str">
        <f>'INCEXC A'!N248</f>
        <v/>
      </c>
      <c r="Q248" s="28" t="str">
        <f>'INCEXC A'!O248</f>
        <v/>
      </c>
      <c r="R248" s="28" t="str">
        <f>'INCEXC B'!O248</f>
        <v/>
      </c>
      <c r="S248" s="28" t="str">
        <f>'INCEXC A'!P248</f>
        <v/>
      </c>
      <c r="T248" s="28" t="str">
        <f>'INCEXC B'!P248</f>
        <v/>
      </c>
      <c r="U248" s="28" t="b">
        <f t="shared" si="4"/>
        <v>1</v>
      </c>
      <c r="V248" s="28" t="b">
        <f t="shared" si="5"/>
        <v>0</v>
      </c>
    </row>
    <row r="249" hidden="1">
      <c r="A249" s="35" t="str">
        <f>'INCEXC A'!A249</f>
        <v>https://doi.org/10.1145/3736731.3786118</v>
      </c>
      <c r="B249" s="35" t="str">
        <f>'INCEXC B'!A249</f>
        <v>https://doi.org/10.1145/3736731.3786118</v>
      </c>
      <c r="C249" s="28" t="b">
        <f t="shared" si="1"/>
        <v>1</v>
      </c>
      <c r="D249" s="28" t="str">
        <f>'INCEXC A'!B249</f>
        <v>10.1145/3736731.3786118</v>
      </c>
      <c r="E249" s="28" t="str">
        <f>'INCEXC A'!C249</f>
        <v>Session Summary Podcast: Session 3: Posters</v>
      </c>
      <c r="F249" s="28" t="str">
        <f>'INCEXC A'!D249</f>
        <v>Jonathan</v>
      </c>
      <c r="G249" s="28" t="str">
        <f>'INCEXC B'!D249</f>
        <v>Taylor</v>
      </c>
      <c r="H249" s="28" t="str">
        <f>'INCEXC A'!E249</f>
        <v>Exclude</v>
      </c>
      <c r="I249" s="28" t="str">
        <f>'INCEXC B'!E249</f>
        <v>Exclude</v>
      </c>
      <c r="J249" s="28" t="b">
        <f t="shared" si="2"/>
        <v>1</v>
      </c>
      <c r="K249" s="28" t="b">
        <f t="shared" si="3"/>
        <v>0</v>
      </c>
      <c r="L249" s="28" t="str">
        <f>'INCEXC A'!L249</f>
        <v/>
      </c>
      <c r="M249" s="28" t="str">
        <f>'INCEXC B'!L249</f>
        <v/>
      </c>
      <c r="O249" s="28" t="str">
        <f>'INCEXC A'!M249</f>
        <v/>
      </c>
      <c r="P249" s="28" t="str">
        <f>'INCEXC A'!N249</f>
        <v/>
      </c>
      <c r="Q249" s="28" t="str">
        <f>'INCEXC A'!O249</f>
        <v/>
      </c>
      <c r="R249" s="28" t="str">
        <f>'INCEXC B'!O249</f>
        <v/>
      </c>
      <c r="S249" s="28" t="str">
        <f>'INCEXC A'!P249</f>
        <v/>
      </c>
      <c r="T249" s="28" t="str">
        <f>'INCEXC B'!P249</f>
        <v/>
      </c>
      <c r="U249" s="28" t="b">
        <f t="shared" si="4"/>
        <v>1</v>
      </c>
      <c r="V249" s="28" t="b">
        <f t="shared" si="5"/>
        <v>0</v>
      </c>
    </row>
    <row r="250" hidden="1">
      <c r="A250" s="35" t="str">
        <f>'INCEXC A'!A250</f>
        <v>https://doi.org/10.1145/3742413.3789111</v>
      </c>
      <c r="B250" s="35" t="str">
        <f>'INCEXC B'!A250</f>
        <v>https://doi.org/10.1145/3742413.3789111</v>
      </c>
      <c r="C250" s="28" t="b">
        <f t="shared" si="1"/>
        <v>1</v>
      </c>
      <c r="D250" s="28" t="str">
        <f>'INCEXC A'!B250</f>
        <v>10.1145/3742413.3789111</v>
      </c>
      <c r="E250" s="28" t="str">
        <f>'INCEXC A'!C250</f>
        <v>SusBench: An Online Benchmark for Evaluating Dark Pattern Susceptibility of Computer-Use Agents</v>
      </c>
      <c r="F250" s="28" t="str">
        <f>'INCEXC A'!D250</f>
        <v>Kaiser</v>
      </c>
      <c r="G250" s="28" t="str">
        <f>'INCEXC B'!D250</f>
        <v>Danni</v>
      </c>
      <c r="H250" s="28" t="str">
        <f>'INCEXC A'!E250</f>
        <v>Exclude</v>
      </c>
      <c r="I250" s="28" t="str">
        <f>'INCEXC B'!E250</f>
        <v>Exclude</v>
      </c>
      <c r="J250" s="28" t="b">
        <f t="shared" si="2"/>
        <v>1</v>
      </c>
      <c r="K250" s="28" t="b">
        <f t="shared" si="3"/>
        <v>0</v>
      </c>
      <c r="L250" s="28" t="str">
        <f>'INCEXC A'!L250</f>
        <v/>
      </c>
      <c r="M250" s="28" t="str">
        <f>'INCEXC B'!L250</f>
        <v/>
      </c>
      <c r="O250" s="28" t="str">
        <f>'INCEXC A'!M250</f>
        <v/>
      </c>
      <c r="P250" s="28" t="str">
        <f>'INCEXC A'!N250</f>
        <v/>
      </c>
      <c r="Q250" s="28" t="str">
        <f>'INCEXC A'!O250</f>
        <v/>
      </c>
      <c r="R250" s="28" t="str">
        <f>'INCEXC B'!O250</f>
        <v/>
      </c>
      <c r="S250" s="28" t="str">
        <f>'INCEXC A'!P250</f>
        <v/>
      </c>
      <c r="T250" s="28" t="str">
        <f>'INCEXC B'!P250</f>
        <v/>
      </c>
      <c r="U250" s="28" t="b">
        <f t="shared" si="4"/>
        <v>1</v>
      </c>
      <c r="V250" s="28" t="b">
        <f t="shared" si="5"/>
        <v>0</v>
      </c>
    </row>
    <row r="251">
      <c r="A251" s="35" t="str">
        <f>'INCEXC A'!A251</f>
        <v>https://doi.org/10.1145/3742413.3789120</v>
      </c>
      <c r="B251" s="35" t="str">
        <f>'INCEXC B'!A251</f>
        <v>https://doi.org/10.1145/3742413.3789120</v>
      </c>
      <c r="C251" s="28" t="b">
        <f t="shared" si="1"/>
        <v>1</v>
      </c>
      <c r="D251" s="28" t="str">
        <f>'INCEXC A'!B251</f>
        <v>10.1145/3742413.3789120</v>
      </c>
      <c r="E251" s="28" t="str">
        <f>'INCEXC A'!C251</f>
        <v>Neural Transparency: Mechanistic Interpretability Interfaces for Anticipating Model Behaviors for Personalized AI</v>
      </c>
      <c r="F251" s="28" t="str">
        <f>'INCEXC A'!D251</f>
        <v>Jonathan</v>
      </c>
      <c r="G251" s="28" t="str">
        <f>'INCEXC B'!D251</f>
        <v>Taylor</v>
      </c>
      <c r="H251" s="28" t="str">
        <f>'INCEXC A'!E251</f>
        <v>Include</v>
      </c>
      <c r="I251" s="28" t="str">
        <f>'INCEXC B'!E251</f>
        <v>Include</v>
      </c>
      <c r="J251" s="28" t="b">
        <f t="shared" si="2"/>
        <v>1</v>
      </c>
      <c r="K251" s="28" t="b">
        <f t="shared" si="3"/>
        <v>1</v>
      </c>
      <c r="L251" s="28" t="str">
        <f>'INCEXC A'!L251</f>
        <v/>
      </c>
      <c r="M251" s="28" t="str">
        <f>'INCEXC B'!L251</f>
        <v/>
      </c>
      <c r="O251" s="28" t="str">
        <f>'INCEXC A'!M251</f>
        <v/>
      </c>
      <c r="P251" s="28" t="str">
        <f>'INCEXC A'!N251</f>
        <v/>
      </c>
      <c r="Q251" s="28" t="str">
        <f>'INCEXC A'!O251</f>
        <v/>
      </c>
      <c r="R251" s="28" t="str">
        <f>'INCEXC B'!O251</f>
        <v/>
      </c>
      <c r="S251" s="28" t="str">
        <f>'INCEXC A'!P251</f>
        <v/>
      </c>
      <c r="T251" s="28" t="str">
        <f>'INCEXC B'!P251</f>
        <v/>
      </c>
      <c r="U251" s="28" t="b">
        <f t="shared" si="4"/>
        <v>1</v>
      </c>
      <c r="V251" s="28" t="b">
        <f t="shared" si="5"/>
        <v>0</v>
      </c>
    </row>
    <row r="252" hidden="1">
      <c r="A252" s="35" t="str">
        <f>'INCEXC A'!A252</f>
        <v>https://doi.org/10.1145/3742413.3789123</v>
      </c>
      <c r="B252" s="35" t="str">
        <f>'INCEXC B'!A252</f>
        <v>https://doi.org/10.1145/3742413.3789123</v>
      </c>
      <c r="C252" s="28" t="b">
        <f t="shared" si="1"/>
        <v>1</v>
      </c>
      <c r="D252" s="28" t="str">
        <f>'INCEXC A'!B252</f>
        <v>10.1145/3742413.3789123</v>
      </c>
      <c r="E252" s="28" t="str">
        <f>'INCEXC A'!C252</f>
        <v>PersonaMail: Learning and Adapting Personal Communication Preferences for Context-Aware Email Writing</v>
      </c>
      <c r="F252" s="28" t="str">
        <f>'INCEXC A'!D252</f>
        <v>Kaiser</v>
      </c>
      <c r="G252" s="28" t="str">
        <f>'INCEXC B'!D252</f>
        <v>Ceren</v>
      </c>
      <c r="H252" s="28" t="str">
        <f>'INCEXC A'!E252</f>
        <v>Exclude</v>
      </c>
      <c r="I252" s="28" t="str">
        <f>'INCEXC B'!E252</f>
        <v>Exclude</v>
      </c>
      <c r="J252" s="28" t="b">
        <f t="shared" si="2"/>
        <v>1</v>
      </c>
      <c r="K252" s="28" t="b">
        <f t="shared" si="3"/>
        <v>0</v>
      </c>
      <c r="L252" s="28" t="str">
        <f>'INCEXC A'!L252</f>
        <v/>
      </c>
      <c r="M252" s="28" t="str">
        <f>'INCEXC B'!L252</f>
        <v/>
      </c>
      <c r="O252" s="28" t="str">
        <f>'INCEXC A'!M252</f>
        <v/>
      </c>
      <c r="P252" s="28" t="str">
        <f>'INCEXC A'!N252</f>
        <v/>
      </c>
      <c r="Q252" s="28" t="str">
        <f>'INCEXC A'!O252</f>
        <v/>
      </c>
      <c r="R252" s="28" t="str">
        <f>'INCEXC B'!O252</f>
        <v/>
      </c>
      <c r="S252" s="28" t="str">
        <f>'INCEXC A'!P252</f>
        <v/>
      </c>
      <c r="T252" s="28" t="str">
        <f>'INCEXC B'!P252</f>
        <v/>
      </c>
      <c r="U252" s="28" t="b">
        <f t="shared" si="4"/>
        <v>1</v>
      </c>
      <c r="V252" s="28" t="b">
        <f t="shared" si="5"/>
        <v>0</v>
      </c>
    </row>
    <row r="253" hidden="1">
      <c r="A253" s="35" t="str">
        <f>'INCEXC A'!A253</f>
        <v>https://doi.org/10.1145/3742413.3789136</v>
      </c>
      <c r="B253" s="35" t="str">
        <f>'INCEXC B'!A253</f>
        <v>https://doi.org/10.1145/3742413.3789136</v>
      </c>
      <c r="C253" s="28" t="b">
        <f t="shared" si="1"/>
        <v>1</v>
      </c>
      <c r="D253" s="28" t="str">
        <f>'INCEXC A'!B253</f>
        <v>10.1145/3742413.3789136</v>
      </c>
      <c r="E253" s="28" t="str">
        <f>'INCEXC A'!C253</f>
        <v>Adjust for Trust: Mitigating Trust-Induced Inappropriate Reliance on AI Assistance</v>
      </c>
      <c r="F253" s="28" t="str">
        <f>'INCEXC A'!D253</f>
        <v>Marilyn</v>
      </c>
      <c r="G253" s="28" t="str">
        <f>'INCEXC B'!D253</f>
        <v>Danni</v>
      </c>
      <c r="H253" s="28" t="str">
        <f>'INCEXC A'!E253</f>
        <v>Exclude</v>
      </c>
      <c r="I253" s="28" t="str">
        <f>'INCEXC B'!E253</f>
        <v>Exclude</v>
      </c>
      <c r="J253" s="28" t="b">
        <f t="shared" si="2"/>
        <v>1</v>
      </c>
      <c r="K253" s="28" t="b">
        <f t="shared" si="3"/>
        <v>0</v>
      </c>
      <c r="L253" s="28" t="str">
        <f>'INCEXC A'!L253</f>
        <v/>
      </c>
      <c r="M253" s="28" t="str">
        <f>'INCEXC B'!L253</f>
        <v/>
      </c>
      <c r="O253" s="28" t="str">
        <f>'INCEXC A'!M253</f>
        <v/>
      </c>
      <c r="P253" s="28" t="str">
        <f>'INCEXC A'!N253</f>
        <v/>
      </c>
      <c r="Q253" s="28" t="str">
        <f>'INCEXC A'!O253</f>
        <v/>
      </c>
      <c r="R253" s="28" t="str">
        <f>'INCEXC B'!O253</f>
        <v/>
      </c>
      <c r="S253" s="28" t="str">
        <f>'INCEXC A'!P253</f>
        <v/>
      </c>
      <c r="T253" s="28" t="str">
        <f>'INCEXC B'!P253</f>
        <v/>
      </c>
      <c r="U253" s="28" t="b">
        <f t="shared" si="4"/>
        <v>1</v>
      </c>
      <c r="V253" s="28" t="b">
        <f t="shared" si="5"/>
        <v>0</v>
      </c>
    </row>
    <row r="254" hidden="1">
      <c r="A254" s="35" t="str">
        <f>'INCEXC A'!A254</f>
        <v>https://doi.org/10.1145/3742413.3789147</v>
      </c>
      <c r="B254" s="35" t="str">
        <f>'INCEXC B'!A254</f>
        <v>https://doi.org/10.1145/3742413.3789147</v>
      </c>
      <c r="C254" s="28" t="b">
        <f t="shared" si="1"/>
        <v>1</v>
      </c>
      <c r="D254" s="28" t="str">
        <f>'INCEXC A'!B254</f>
        <v>10.1145/3742413.3789147</v>
      </c>
      <c r="E254" s="28" t="str">
        <f>'INCEXC A'!C254</f>
        <v>Rules or Weights? Comparing User Understanding of Explainable AI Techniques with the Cognitive XAI-Adaptive Model</v>
      </c>
      <c r="F254" s="28" t="str">
        <f>'INCEXC A'!D254</f>
        <v>Marilyn</v>
      </c>
      <c r="G254" s="28" t="str">
        <f>'INCEXC B'!D254</f>
        <v>Taylor</v>
      </c>
      <c r="H254" s="28" t="str">
        <f>'INCEXC A'!E254</f>
        <v>Exclude</v>
      </c>
      <c r="I254" s="28" t="str">
        <f>'INCEXC B'!E254</f>
        <v>Exclude</v>
      </c>
      <c r="J254" s="28" t="b">
        <f t="shared" si="2"/>
        <v>1</v>
      </c>
      <c r="K254" s="28" t="b">
        <f t="shared" si="3"/>
        <v>0</v>
      </c>
      <c r="L254" s="28" t="str">
        <f>'INCEXC A'!L254</f>
        <v/>
      </c>
      <c r="M254" s="28" t="str">
        <f>'INCEXC B'!L254</f>
        <v/>
      </c>
      <c r="O254" s="28" t="str">
        <f>'INCEXC A'!M254</f>
        <v/>
      </c>
      <c r="P254" s="28" t="str">
        <f>'INCEXC A'!N254</f>
        <v/>
      </c>
      <c r="Q254" s="28" t="str">
        <f>'INCEXC A'!O254</f>
        <v/>
      </c>
      <c r="R254" s="28" t="str">
        <f>'INCEXC B'!O254</f>
        <v/>
      </c>
      <c r="S254" s="28" t="str">
        <f>'INCEXC A'!P254</f>
        <v/>
      </c>
      <c r="T254" s="28" t="str">
        <f>'INCEXC B'!P254</f>
        <v/>
      </c>
      <c r="U254" s="28" t="b">
        <f t="shared" si="4"/>
        <v>1</v>
      </c>
      <c r="V254" s="28" t="b">
        <f t="shared" si="5"/>
        <v>0</v>
      </c>
    </row>
    <row r="255" hidden="1">
      <c r="A255" s="35" t="str">
        <f>'INCEXC A'!A255</f>
        <v>https://doi.org/10.1145/3742413.3789218</v>
      </c>
      <c r="B255" s="35" t="str">
        <f>'INCEXC B'!A255</f>
        <v>https://doi.org/10.1145/3742413.3789218</v>
      </c>
      <c r="C255" s="28" t="b">
        <f t="shared" si="1"/>
        <v>1</v>
      </c>
      <c r="D255" s="28" t="str">
        <f>'INCEXC A'!B255</f>
        <v>10.1145/3742413.3789218</v>
      </c>
      <c r="E255" s="28" t="str">
        <f>'INCEXC A'!C255</f>
        <v>Guiding</v>
      </c>
      <c r="F255" s="28" t="str">
        <f>'INCEXC A'!D255</f>
        <v>Marilyn</v>
      </c>
      <c r="G255" s="28" t="str">
        <f>'INCEXC B'!D255</f>
        <v>Danni</v>
      </c>
      <c r="H255" s="28" t="str">
        <f>'INCEXC A'!E255</f>
        <v>Exclude</v>
      </c>
      <c r="I255" s="28" t="str">
        <f>'INCEXC B'!E255</f>
        <v>Exclude</v>
      </c>
      <c r="J255" s="28" t="b">
        <f t="shared" si="2"/>
        <v>1</v>
      </c>
      <c r="K255" s="28" t="b">
        <f t="shared" si="3"/>
        <v>0</v>
      </c>
      <c r="L255" s="28" t="str">
        <f>'INCEXC A'!L255</f>
        <v/>
      </c>
      <c r="M255" s="28" t="str">
        <f>'INCEXC B'!L255</f>
        <v/>
      </c>
      <c r="O255" s="28" t="str">
        <f>'INCEXC A'!M255</f>
        <v/>
      </c>
      <c r="P255" s="28" t="str">
        <f>'INCEXC A'!N255</f>
        <v/>
      </c>
      <c r="Q255" s="28" t="str">
        <f>'INCEXC A'!O255</f>
        <v/>
      </c>
      <c r="R255" s="28" t="str">
        <f>'INCEXC B'!O255</f>
        <v/>
      </c>
      <c r="S255" s="28" t="str">
        <f>'INCEXC A'!P255</f>
        <v/>
      </c>
      <c r="T255" s="28" t="str">
        <f>'INCEXC B'!P255</f>
        <v/>
      </c>
      <c r="U255" s="28" t="b">
        <f t="shared" si="4"/>
        <v>1</v>
      </c>
      <c r="V255" s="28" t="b">
        <f t="shared" si="5"/>
        <v>0</v>
      </c>
    </row>
    <row r="256" hidden="1">
      <c r="A256" s="35" t="str">
        <f>'INCEXC A'!A256</f>
        <v>https://doi.org/10.1145/3742413.3789223</v>
      </c>
      <c r="B256" s="35" t="str">
        <f>'INCEXC B'!A256</f>
        <v>https://doi.org/10.1145/3742413.3789223</v>
      </c>
      <c r="C256" s="28" t="b">
        <f t="shared" si="1"/>
        <v>1</v>
      </c>
      <c r="D256" s="28" t="str">
        <f>'INCEXC A'!B256</f>
        <v>10.1145/3742413.3789223</v>
      </c>
      <c r="E256" s="28" t="str">
        <f>'INCEXC A'!C256</f>
        <v>Mental Models in Human-AI Interaction: Systematic Review of Empirical Methodologies and Guidelines</v>
      </c>
      <c r="F256" s="28" t="str">
        <f>'INCEXC A'!D256</f>
        <v>Marilyn</v>
      </c>
      <c r="G256" s="28" t="str">
        <f>'INCEXC B'!D256</f>
        <v>Taylor</v>
      </c>
      <c r="H256" s="28" t="str">
        <f>'INCEXC A'!E256</f>
        <v>Exclude</v>
      </c>
      <c r="I256" s="28" t="str">
        <f>'INCEXC B'!E256</f>
        <v>Exclude</v>
      </c>
      <c r="J256" s="28" t="b">
        <f t="shared" si="2"/>
        <v>1</v>
      </c>
      <c r="K256" s="28" t="b">
        <f t="shared" si="3"/>
        <v>0</v>
      </c>
      <c r="L256" s="28" t="str">
        <f>'INCEXC A'!L256</f>
        <v/>
      </c>
      <c r="M256" s="28" t="str">
        <f>'INCEXC B'!L256</f>
        <v/>
      </c>
      <c r="O256" s="28" t="str">
        <f>'INCEXC A'!M256</f>
        <v/>
      </c>
      <c r="P256" s="28" t="str">
        <f>'INCEXC A'!N256</f>
        <v/>
      </c>
      <c r="Q256" s="28" t="str">
        <f>'INCEXC A'!O256</f>
        <v/>
      </c>
      <c r="R256" s="28" t="str">
        <f>'INCEXC B'!O256</f>
        <v/>
      </c>
      <c r="S256" s="28" t="str">
        <f>'INCEXC A'!P256</f>
        <v/>
      </c>
      <c r="T256" s="28" t="str">
        <f>'INCEXC B'!P256</f>
        <v/>
      </c>
      <c r="U256" s="28" t="b">
        <f t="shared" si="4"/>
        <v>1</v>
      </c>
      <c r="V256" s="28" t="b">
        <f t="shared" si="5"/>
        <v>0</v>
      </c>
    </row>
    <row r="257">
      <c r="A257" s="35" t="str">
        <f>'INCEXC A'!A257</f>
        <v>https://doi.org/10.1145/3744169.3744194</v>
      </c>
      <c r="B257" s="35" t="str">
        <f>'INCEXC B'!A257</f>
        <v>https://doi.org/10.1145/3744169.3744194</v>
      </c>
      <c r="C257" s="28" t="b">
        <f t="shared" si="1"/>
        <v>1</v>
      </c>
      <c r="D257" s="28" t="str">
        <f>'INCEXC A'!B257</f>
        <v>10.1145/3744169.3744194</v>
      </c>
      <c r="E257" s="28" t="str">
        <f>'INCEXC A'!C257</f>
        <v>Reading the Praise/Prompt Machine: An Interface Criticism Approach to ChatGPT</v>
      </c>
      <c r="F257" s="28" t="str">
        <f>'INCEXC A'!D257</f>
        <v>Jonathan</v>
      </c>
      <c r="G257" s="28" t="str">
        <f>'INCEXC B'!D257</f>
        <v>Danni</v>
      </c>
      <c r="H257" s="28" t="str">
        <f>'INCEXC A'!E257</f>
        <v>Include</v>
      </c>
      <c r="I257" s="28" t="str">
        <f>'INCEXC B'!E257</f>
        <v>Include</v>
      </c>
      <c r="J257" s="28" t="b">
        <f t="shared" si="2"/>
        <v>1</v>
      </c>
      <c r="K257" s="28" t="b">
        <f t="shared" si="3"/>
        <v>1</v>
      </c>
      <c r="L257" s="28" t="str">
        <f>'INCEXC A'!L257</f>
        <v/>
      </c>
      <c r="M257" s="28" t="str">
        <f>'INCEXC B'!L257</f>
        <v/>
      </c>
      <c r="O257" s="28" t="str">
        <f>'INCEXC A'!M257</f>
        <v/>
      </c>
      <c r="P257" s="28" t="str">
        <f>'INCEXC A'!N257</f>
        <v/>
      </c>
      <c r="Q257" s="28" t="str">
        <f>'INCEXC A'!O257</f>
        <v/>
      </c>
      <c r="R257" s="28" t="str">
        <f>'INCEXC B'!O257</f>
        <v/>
      </c>
      <c r="S257" s="28" t="str">
        <f>'INCEXC A'!P257</f>
        <v/>
      </c>
      <c r="T257" s="28" t="str">
        <f>'INCEXC B'!P257</f>
        <v/>
      </c>
      <c r="U257" s="28" t="b">
        <f t="shared" si="4"/>
        <v>1</v>
      </c>
      <c r="V257" s="28" t="b">
        <f t="shared" si="5"/>
        <v>0</v>
      </c>
    </row>
    <row r="258" hidden="1">
      <c r="A258" s="35" t="str">
        <f>'INCEXC A'!A258</f>
        <v>https://doi.org/10.1145/3744169.3744195</v>
      </c>
      <c r="B258" s="35" t="str">
        <f>'INCEXC B'!A258</f>
        <v>https://doi.org/10.1145/3744169.3744195</v>
      </c>
      <c r="C258" s="28" t="b">
        <f t="shared" si="1"/>
        <v>1</v>
      </c>
      <c r="D258" s="28" t="str">
        <f>'INCEXC A'!B258</f>
        <v>10.1145/3744169.3744195</v>
      </c>
      <c r="E258" s="28" t="str">
        <f>'INCEXC A'!C258</f>
        <v>From Bullshit to Cognition: Computing Within the Epistemic Crisis of Large Language Models in Systematic Literature Review</v>
      </c>
      <c r="F258" s="28" t="str">
        <f>'INCEXC A'!D258</f>
        <v>Jonathan</v>
      </c>
      <c r="G258" s="28" t="str">
        <f>'INCEXC B'!D258</f>
        <v>Ceren</v>
      </c>
      <c r="H258" s="28" t="str">
        <f>'INCEXC A'!E258</f>
        <v>Exclude</v>
      </c>
      <c r="I258" s="28" t="str">
        <f>'INCEXC B'!E258</f>
        <v>Exclude</v>
      </c>
      <c r="J258" s="28" t="b">
        <f t="shared" si="2"/>
        <v>1</v>
      </c>
      <c r="K258" s="28" t="b">
        <f t="shared" si="3"/>
        <v>0</v>
      </c>
      <c r="L258" s="28" t="str">
        <f>'INCEXC A'!L258</f>
        <v/>
      </c>
      <c r="M258" s="28" t="str">
        <f>'INCEXC B'!L258</f>
        <v/>
      </c>
      <c r="O258" s="28" t="str">
        <f>'INCEXC A'!M258</f>
        <v/>
      </c>
      <c r="P258" s="28" t="str">
        <f>'INCEXC A'!N258</f>
        <v/>
      </c>
      <c r="Q258" s="28" t="str">
        <f>'INCEXC A'!O258</f>
        <v/>
      </c>
      <c r="R258" s="28" t="str">
        <f>'INCEXC B'!O258</f>
        <v/>
      </c>
      <c r="S258" s="28" t="str">
        <f>'INCEXC A'!P258</f>
        <v/>
      </c>
      <c r="T258" s="28" t="str">
        <f>'INCEXC B'!P258</f>
        <v/>
      </c>
      <c r="U258" s="28" t="b">
        <f t="shared" si="4"/>
        <v>1</v>
      </c>
      <c r="V258" s="28" t="b">
        <f t="shared" si="5"/>
        <v>0</v>
      </c>
    </row>
    <row r="259">
      <c r="A259" s="35" t="str">
        <f>'INCEXC A'!A259</f>
        <v>https://doi.org/10.1145/3746027.3755778</v>
      </c>
      <c r="B259" s="35" t="str">
        <f>'INCEXC B'!A259</f>
        <v>https://doi.org/10.1145/3746027.3755778</v>
      </c>
      <c r="C259" s="28" t="b">
        <f t="shared" si="1"/>
        <v>1</v>
      </c>
      <c r="D259" s="28" t="str">
        <f>'INCEXC A'!B259</f>
        <v>10.1145/3746027.3755778</v>
      </c>
      <c r="E259" s="28" t="str">
        <f>'INCEXC A'!C259</f>
        <v>Evaluating and Mitigating Sycophancy in Large Vision-Language Models</v>
      </c>
      <c r="F259" s="28" t="str">
        <f>'INCEXC A'!D259</f>
        <v>Kaiser</v>
      </c>
      <c r="G259" s="28" t="str">
        <f>'INCEXC B'!D259</f>
        <v>Ceren</v>
      </c>
      <c r="H259" s="28" t="str">
        <f>'INCEXC A'!E259</f>
        <v>Include</v>
      </c>
      <c r="I259" s="28" t="str">
        <f>'INCEXC B'!E259</f>
        <v>Include</v>
      </c>
      <c r="J259" s="28" t="b">
        <f t="shared" si="2"/>
        <v>1</v>
      </c>
      <c r="K259" s="28" t="b">
        <f t="shared" si="3"/>
        <v>1</v>
      </c>
      <c r="L259" s="28" t="str">
        <f>'INCEXC A'!L259</f>
        <v/>
      </c>
      <c r="M259" s="28" t="str">
        <f>'INCEXC B'!L259</f>
        <v/>
      </c>
      <c r="O259" s="28" t="str">
        <f>'INCEXC A'!M259</f>
        <v/>
      </c>
      <c r="P259" s="28" t="str">
        <f>'INCEXC A'!N259</f>
        <v/>
      </c>
      <c r="Q259" s="28" t="str">
        <f>'INCEXC A'!O259</f>
        <v/>
      </c>
      <c r="R259" s="28" t="str">
        <f>'INCEXC B'!O259</f>
        <v/>
      </c>
      <c r="S259" s="28" t="str">
        <f>'INCEXC A'!P259</f>
        <v/>
      </c>
      <c r="T259" s="28" t="str">
        <f>'INCEXC B'!P259</f>
        <v/>
      </c>
      <c r="U259" s="28" t="b">
        <f t="shared" si="4"/>
        <v>1</v>
      </c>
      <c r="V259" s="28" t="b">
        <f t="shared" si="5"/>
        <v>0</v>
      </c>
    </row>
    <row r="260" hidden="1">
      <c r="A260" s="35" t="str">
        <f>'INCEXC A'!A260</f>
        <v>https://doi.org/10.1145/3746058.3758468</v>
      </c>
      <c r="B260" s="35" t="str">
        <f>'INCEXC B'!A260</f>
        <v>https://doi.org/10.1145/3746058.3758468</v>
      </c>
      <c r="C260" s="28" t="b">
        <f t="shared" si="1"/>
        <v>1</v>
      </c>
      <c r="D260" s="28" t="str">
        <f>'INCEXC A'!B260</f>
        <v>10.1145/3746058.3758468</v>
      </c>
      <c r="E260" s="28" t="str">
        <f>'INCEXC A'!C260</f>
        <v>Enabling Real-World Assistive Agents: From Live Vision to Proactive Context-Aware Information Delivery</v>
      </c>
      <c r="F260" s="28" t="str">
        <f>'INCEXC A'!D260</f>
        <v>Jonathan</v>
      </c>
      <c r="G260" s="28" t="str">
        <f>'INCEXC B'!D260</f>
        <v>Ceren</v>
      </c>
      <c r="H260" s="28" t="str">
        <f>'INCEXC A'!E260</f>
        <v>Exclude</v>
      </c>
      <c r="I260" s="28" t="str">
        <f>'INCEXC B'!E260</f>
        <v>Exclude</v>
      </c>
      <c r="J260" s="28" t="b">
        <f t="shared" si="2"/>
        <v>1</v>
      </c>
      <c r="K260" s="28" t="b">
        <f t="shared" si="3"/>
        <v>0</v>
      </c>
      <c r="L260" s="28" t="str">
        <f>'INCEXC A'!L260</f>
        <v/>
      </c>
      <c r="M260" s="28" t="str">
        <f>'INCEXC B'!L260</f>
        <v/>
      </c>
      <c r="O260" s="28" t="str">
        <f>'INCEXC A'!M260</f>
        <v/>
      </c>
      <c r="P260" s="28" t="str">
        <f>'INCEXC A'!N260</f>
        <v/>
      </c>
      <c r="Q260" s="28" t="str">
        <f>'INCEXC A'!O260</f>
        <v/>
      </c>
      <c r="R260" s="28" t="str">
        <f>'INCEXC B'!O260</f>
        <v/>
      </c>
      <c r="S260" s="28" t="str">
        <f>'INCEXC A'!P260</f>
        <v/>
      </c>
      <c r="T260" s="28" t="str">
        <f>'INCEXC B'!P260</f>
        <v/>
      </c>
      <c r="U260" s="28" t="b">
        <f t="shared" si="4"/>
        <v>1</v>
      </c>
      <c r="V260" s="28" t="b">
        <f t="shared" si="5"/>
        <v>0</v>
      </c>
    </row>
    <row r="261" hidden="1">
      <c r="A261" s="35" t="str">
        <f>'INCEXC A'!A261</f>
        <v>https://doi.org/10.1145/3746059.3747680</v>
      </c>
      <c r="B261" s="35" t="str">
        <f>'INCEXC B'!A261</f>
        <v>https://doi.org/10.1145/3746059.3747680</v>
      </c>
      <c r="C261" s="28" t="b">
        <f t="shared" si="1"/>
        <v>1</v>
      </c>
      <c r="D261" s="28" t="str">
        <f>'INCEXC A'!B261</f>
        <v>10.1145/3746059.3747680</v>
      </c>
      <c r="E261" s="28" t="str">
        <f>'INCEXC A'!C261</f>
        <v>Policy Maps: Tools for Guiding the Unbounded Space of LLM Behaviors</v>
      </c>
      <c r="F261" s="28" t="str">
        <f>'INCEXC A'!D261</f>
        <v>Kaiser</v>
      </c>
      <c r="G261" s="28" t="str">
        <f>'INCEXC B'!D261</f>
        <v>Danni</v>
      </c>
      <c r="H261" s="28" t="str">
        <f>'INCEXC A'!E261</f>
        <v>Exclude</v>
      </c>
      <c r="I261" s="28" t="str">
        <f>'INCEXC B'!E261</f>
        <v>Exclude</v>
      </c>
      <c r="J261" s="28" t="b">
        <f t="shared" si="2"/>
        <v>1</v>
      </c>
      <c r="K261" s="28" t="b">
        <f t="shared" si="3"/>
        <v>0</v>
      </c>
      <c r="L261" s="28" t="str">
        <f>'INCEXC A'!L261</f>
        <v/>
      </c>
      <c r="M261" s="28" t="str">
        <f>'INCEXC B'!L261</f>
        <v/>
      </c>
      <c r="O261" s="28" t="str">
        <f>'INCEXC A'!M261</f>
        <v/>
      </c>
      <c r="P261" s="28" t="str">
        <f>'INCEXC A'!N261</f>
        <v/>
      </c>
      <c r="Q261" s="28" t="str">
        <f>'INCEXC A'!O261</f>
        <v/>
      </c>
      <c r="R261" s="28" t="str">
        <f>'INCEXC B'!O261</f>
        <v/>
      </c>
      <c r="S261" s="28" t="str">
        <f>'INCEXC A'!P261</f>
        <v/>
      </c>
      <c r="T261" s="28" t="str">
        <f>'INCEXC B'!P261</f>
        <v/>
      </c>
      <c r="U261" s="28" t="b">
        <f t="shared" si="4"/>
        <v>1</v>
      </c>
      <c r="V261" s="28" t="b">
        <f t="shared" si="5"/>
        <v>0</v>
      </c>
    </row>
    <row r="262" hidden="1">
      <c r="A262" s="35" t="str">
        <f>'INCEXC A'!A262</f>
        <v>https://doi.org/10.1145/3746252.3761151</v>
      </c>
      <c r="B262" s="35" t="str">
        <f>'INCEXC B'!A262</f>
        <v>https://doi.org/10.1145/3746252.3761151</v>
      </c>
      <c r="C262" s="28" t="b">
        <f t="shared" si="1"/>
        <v>1</v>
      </c>
      <c r="D262" s="28" t="str">
        <f>'INCEXC A'!B262</f>
        <v>10.1145/3746252.3761151</v>
      </c>
      <c r="E262" s="28" t="str">
        <f>'INCEXC A'!C262</f>
        <v>Where Does Legal AI Fail? Evaluating RAG Pipelines</v>
      </c>
      <c r="F262" s="28" t="str">
        <f>'INCEXC A'!D262</f>
        <v>Marilyn</v>
      </c>
      <c r="G262" s="28" t="str">
        <f>'INCEXC B'!D262</f>
        <v>Taylor</v>
      </c>
      <c r="H262" s="28" t="str">
        <f>'INCEXC A'!E262</f>
        <v>Exclude</v>
      </c>
      <c r="I262" s="28" t="str">
        <f>'INCEXC B'!E262</f>
        <v>Exclude</v>
      </c>
      <c r="J262" s="28" t="b">
        <f t="shared" si="2"/>
        <v>1</v>
      </c>
      <c r="K262" s="28" t="b">
        <f t="shared" si="3"/>
        <v>0</v>
      </c>
      <c r="L262" s="28" t="str">
        <f>'INCEXC A'!L262</f>
        <v/>
      </c>
      <c r="M262" s="28" t="str">
        <f>'INCEXC B'!L262</f>
        <v/>
      </c>
      <c r="O262" s="28" t="str">
        <f>'INCEXC A'!M262</f>
        <v/>
      </c>
      <c r="P262" s="28" t="str">
        <f>'INCEXC A'!N262</f>
        <v/>
      </c>
      <c r="Q262" s="28" t="str">
        <f>'INCEXC A'!O262</f>
        <v/>
      </c>
      <c r="R262" s="28" t="str">
        <f>'INCEXC B'!O262</f>
        <v/>
      </c>
      <c r="S262" s="28" t="str">
        <f>'INCEXC A'!P262</f>
        <v/>
      </c>
      <c r="T262" s="28" t="str">
        <f>'INCEXC B'!P262</f>
        <v/>
      </c>
      <c r="U262" s="28" t="b">
        <f t="shared" si="4"/>
        <v>1</v>
      </c>
      <c r="V262" s="28" t="b">
        <f t="shared" si="5"/>
        <v>0</v>
      </c>
    </row>
    <row r="263" hidden="1">
      <c r="A263" s="35" t="str">
        <f>'INCEXC A'!A263</f>
        <v>https://doi.org/10.1145/3746252.3761448</v>
      </c>
      <c r="B263" s="35" t="str">
        <f>'INCEXC B'!A263</f>
        <v>https://doi.org/10.1145/3746252.3761448</v>
      </c>
      <c r="C263" s="28" t="b">
        <f t="shared" si="1"/>
        <v>1</v>
      </c>
      <c r="D263" s="28" t="str">
        <f>'INCEXC A'!B263</f>
        <v>10.1145/3746252.3761448</v>
      </c>
      <c r="E263" s="28" t="str">
        <f>'INCEXC A'!C263</f>
        <v>Socially Responsible and Trustworthy Generative Foundation Models: Principles</v>
      </c>
      <c r="F263" s="28" t="str">
        <f>'INCEXC A'!D263</f>
        <v>Jonathan</v>
      </c>
      <c r="G263" s="28" t="str">
        <f>'INCEXC B'!D263</f>
        <v>Ceren</v>
      </c>
      <c r="H263" s="28" t="str">
        <f>'INCEXC A'!E263</f>
        <v>Exclude</v>
      </c>
      <c r="I263" s="28" t="str">
        <f>'INCEXC B'!E263</f>
        <v>Exclude</v>
      </c>
      <c r="J263" s="28" t="b">
        <f t="shared" si="2"/>
        <v>1</v>
      </c>
      <c r="K263" s="28" t="b">
        <f t="shared" si="3"/>
        <v>0</v>
      </c>
      <c r="L263" s="28" t="str">
        <f>'INCEXC A'!L263</f>
        <v/>
      </c>
      <c r="M263" s="28" t="str">
        <f>'INCEXC B'!L263</f>
        <v/>
      </c>
      <c r="O263" s="28" t="str">
        <f>'INCEXC A'!M263</f>
        <v/>
      </c>
      <c r="P263" s="28" t="str">
        <f>'INCEXC A'!N263</f>
        <v/>
      </c>
      <c r="Q263" s="28" t="str">
        <f>'INCEXC A'!O263</f>
        <v/>
      </c>
      <c r="R263" s="28" t="str">
        <f>'INCEXC B'!O263</f>
        <v/>
      </c>
      <c r="S263" s="28" t="str">
        <f>'INCEXC A'!P263</f>
        <v/>
      </c>
      <c r="T263" s="28" t="str">
        <f>'INCEXC B'!P263</f>
        <v/>
      </c>
      <c r="U263" s="28" t="b">
        <f t="shared" si="4"/>
        <v>1</v>
      </c>
      <c r="V263" s="28" t="b">
        <f t="shared" si="5"/>
        <v>0</v>
      </c>
    </row>
    <row r="264" hidden="1">
      <c r="A264" s="35" t="str">
        <f>'INCEXC A'!A264</f>
        <v>https://doi.org/10.1145/3748620</v>
      </c>
      <c r="B264" s="35" t="str">
        <f>'INCEXC B'!A264</f>
        <v>https://doi.org/10.1145/3748620</v>
      </c>
      <c r="C264" s="28" t="b">
        <f t="shared" si="1"/>
        <v>1</v>
      </c>
      <c r="D264" s="28" t="str">
        <f>'INCEXC A'!B264</f>
        <v>10.1145/3748620</v>
      </c>
      <c r="E264" s="28" t="str">
        <f>'INCEXC A'!C264</f>
        <v>First Contact with Dark Patterns and Deceptive Designs in Chinese and Japanese Free-to-Play Mobile Games</v>
      </c>
      <c r="F264" s="28" t="str">
        <f>'INCEXC A'!D264</f>
        <v>Kaiser</v>
      </c>
      <c r="G264" s="28" t="str">
        <f>'INCEXC B'!D264</f>
        <v>Taylor</v>
      </c>
      <c r="H264" s="28" t="str">
        <f>'INCEXC A'!E264</f>
        <v>Exclude</v>
      </c>
      <c r="I264" s="28" t="str">
        <f>'INCEXC B'!E264</f>
        <v>Exclude</v>
      </c>
      <c r="J264" s="28" t="b">
        <f t="shared" si="2"/>
        <v>1</v>
      </c>
      <c r="K264" s="28" t="b">
        <f t="shared" si="3"/>
        <v>0</v>
      </c>
      <c r="L264" s="28" t="str">
        <f>'INCEXC A'!L264</f>
        <v/>
      </c>
      <c r="M264" s="28" t="str">
        <f>'INCEXC B'!L264</f>
        <v/>
      </c>
      <c r="O264" s="28" t="str">
        <f>'INCEXC A'!M264</f>
        <v/>
      </c>
      <c r="P264" s="28" t="str">
        <f>'INCEXC A'!N264</f>
        <v/>
      </c>
      <c r="Q264" s="28" t="str">
        <f>'INCEXC A'!O264</f>
        <v/>
      </c>
      <c r="R264" s="28" t="str">
        <f>'INCEXC B'!O264</f>
        <v/>
      </c>
      <c r="S264" s="28" t="str">
        <f>'INCEXC A'!P264</f>
        <v/>
      </c>
      <c r="T264" s="28" t="str">
        <f>'INCEXC B'!P264</f>
        <v/>
      </c>
      <c r="U264" s="28" t="b">
        <f t="shared" si="4"/>
        <v>1</v>
      </c>
      <c r="V264" s="28" t="b">
        <f t="shared" si="5"/>
        <v>0</v>
      </c>
    </row>
    <row r="265" hidden="1">
      <c r="A265" s="35" t="str">
        <f>'INCEXC A'!A265</f>
        <v>https://doi.org/10.1145/375663.375720</v>
      </c>
      <c r="B265" s="35" t="str">
        <f>'INCEXC B'!A265</f>
        <v>https://doi.org/10.1145/375663.375720</v>
      </c>
      <c r="C265" s="28" t="b">
        <f t="shared" si="1"/>
        <v>1</v>
      </c>
      <c r="D265" s="28" t="str">
        <f>'INCEXC A'!B265</f>
        <v>10.1145/375663.375720</v>
      </c>
      <c r="E265" s="28" t="str">
        <f>'INCEXC A'!C265</f>
        <v>Updating XML</v>
      </c>
      <c r="F265" s="28" t="str">
        <f>'INCEXC A'!D265</f>
        <v>Kaiser</v>
      </c>
      <c r="G265" s="28" t="str">
        <f>'INCEXC B'!D265</f>
        <v>Taylor</v>
      </c>
      <c r="H265" s="28" t="str">
        <f>'INCEXC A'!E265</f>
        <v>Exclude</v>
      </c>
      <c r="I265" s="28" t="str">
        <f>'INCEXC B'!E265</f>
        <v>Exclude</v>
      </c>
      <c r="J265" s="28" t="b">
        <f t="shared" si="2"/>
        <v>1</v>
      </c>
      <c r="K265" s="28" t="b">
        <f t="shared" si="3"/>
        <v>0</v>
      </c>
      <c r="L265" s="28" t="str">
        <f>'INCEXC A'!L265</f>
        <v/>
      </c>
      <c r="M265" s="28" t="str">
        <f>'INCEXC B'!L265</f>
        <v/>
      </c>
      <c r="O265" s="28" t="str">
        <f>'INCEXC A'!M265</f>
        <v/>
      </c>
      <c r="P265" s="28" t="str">
        <f>'INCEXC A'!N265</f>
        <v/>
      </c>
      <c r="Q265" s="28" t="str">
        <f>'INCEXC A'!O265</f>
        <v/>
      </c>
      <c r="R265" s="28" t="str">
        <f>'INCEXC B'!O265</f>
        <v/>
      </c>
      <c r="S265" s="28" t="str">
        <f>'INCEXC A'!P265</f>
        <v/>
      </c>
      <c r="T265" s="28" t="str">
        <f>'INCEXC B'!P265</f>
        <v/>
      </c>
      <c r="U265" s="28" t="b">
        <f t="shared" si="4"/>
        <v>1</v>
      </c>
      <c r="V265" s="28" t="b">
        <f t="shared" si="5"/>
        <v>0</v>
      </c>
    </row>
    <row r="266" hidden="1">
      <c r="A266" s="35" t="str">
        <f>'INCEXC A'!A266</f>
        <v>https://doi.org/10.1145/3757279.3785553</v>
      </c>
      <c r="B266" s="35" t="str">
        <f>'INCEXC B'!A266</f>
        <v>https://doi.org/10.1145/3757279.3785553</v>
      </c>
      <c r="C266" s="28" t="b">
        <f t="shared" si="1"/>
        <v>1</v>
      </c>
      <c r="D266" s="28" t="str">
        <f>'INCEXC A'!B266</f>
        <v>10.1145/3757279.3785553</v>
      </c>
      <c r="E266" s="28" t="str">
        <f>'INCEXC A'!C266</f>
        <v>Should Robots Comply with Our Instructions or Intentions?</v>
      </c>
      <c r="F266" s="28" t="str">
        <f>'INCEXC A'!D266</f>
        <v>Kaiser</v>
      </c>
      <c r="G266" s="28" t="str">
        <f>'INCEXC B'!D266</f>
        <v>Danni</v>
      </c>
      <c r="H266" s="28" t="str">
        <f>'INCEXC A'!E266</f>
        <v>Exclude</v>
      </c>
      <c r="I266" s="28" t="str">
        <f>'INCEXC B'!E266</f>
        <v>Exclude</v>
      </c>
      <c r="J266" s="28" t="b">
        <f t="shared" si="2"/>
        <v>1</v>
      </c>
      <c r="K266" s="28" t="b">
        <f t="shared" si="3"/>
        <v>0</v>
      </c>
      <c r="L266" s="28" t="str">
        <f>'INCEXC A'!L266</f>
        <v/>
      </c>
      <c r="M266" s="28" t="str">
        <f>'INCEXC B'!L266</f>
        <v/>
      </c>
      <c r="O266" s="28" t="str">
        <f>'INCEXC A'!M266</f>
        <v/>
      </c>
      <c r="P266" s="28" t="str">
        <f>'INCEXC A'!N266</f>
        <v/>
      </c>
      <c r="Q266" s="28" t="str">
        <f>'INCEXC A'!O266</f>
        <v/>
      </c>
      <c r="R266" s="28" t="str">
        <f>'INCEXC B'!O266</f>
        <v/>
      </c>
      <c r="S266" s="28" t="str">
        <f>'INCEXC A'!P266</f>
        <v/>
      </c>
      <c r="T266" s="28" t="str">
        <f>'INCEXC B'!P266</f>
        <v/>
      </c>
      <c r="U266" s="28" t="b">
        <f t="shared" si="4"/>
        <v>1</v>
      </c>
      <c r="V266" s="28" t="b">
        <f t="shared" si="5"/>
        <v>0</v>
      </c>
    </row>
    <row r="267" hidden="1">
      <c r="A267" s="35" t="str">
        <f>'INCEXC A'!A267</f>
        <v>https://doi.org/10.1145/3757424</v>
      </c>
      <c r="B267" s="35" t="str">
        <f>'INCEXC B'!A267</f>
        <v>https://doi.org/10.1145/3757424</v>
      </c>
      <c r="C267" s="28" t="b">
        <f t="shared" si="1"/>
        <v>1</v>
      </c>
      <c r="D267" s="28" t="str">
        <f>'INCEXC A'!B267</f>
        <v>10.1145/3757424</v>
      </c>
      <c r="E267" s="28" t="str">
        <f>'INCEXC A'!C267</f>
        <v>Should ChatGPT Write Your Breakup Text? Exploring the Role of AI in Relationship Dissolution</v>
      </c>
      <c r="F267" s="28" t="str">
        <f>'INCEXC A'!D267</f>
        <v>Kaiser</v>
      </c>
      <c r="G267" s="28" t="str">
        <f>'INCEXC B'!D267</f>
        <v>Ceren</v>
      </c>
      <c r="H267" s="28" t="str">
        <f>'INCEXC A'!E267</f>
        <v>Exclude</v>
      </c>
      <c r="I267" s="28" t="str">
        <f>'INCEXC B'!E267</f>
        <v>Exclude</v>
      </c>
      <c r="J267" s="28" t="b">
        <f t="shared" si="2"/>
        <v>1</v>
      </c>
      <c r="K267" s="28" t="b">
        <f t="shared" si="3"/>
        <v>0</v>
      </c>
      <c r="L267" s="28" t="str">
        <f>'INCEXC A'!L267</f>
        <v/>
      </c>
      <c r="M267" s="28" t="str">
        <f>'INCEXC B'!L267</f>
        <v/>
      </c>
      <c r="O267" s="28" t="str">
        <f>'INCEXC A'!M267</f>
        <v/>
      </c>
      <c r="P267" s="28" t="str">
        <f>'INCEXC A'!N267</f>
        <v/>
      </c>
      <c r="Q267" s="28" t="str">
        <f>'INCEXC A'!O267</f>
        <v/>
      </c>
      <c r="R267" s="28" t="str">
        <f>'INCEXC B'!O267</f>
        <v/>
      </c>
      <c r="S267" s="28" t="str">
        <f>'INCEXC A'!P267</f>
        <v/>
      </c>
      <c r="T267" s="28" t="str">
        <f>'INCEXC B'!P267</f>
        <v/>
      </c>
      <c r="U267" s="28" t="b">
        <f t="shared" si="4"/>
        <v>1</v>
      </c>
      <c r="V267" s="28" t="b">
        <f t="shared" si="5"/>
        <v>0</v>
      </c>
    </row>
    <row r="268" hidden="1">
      <c r="A268" s="35" t="str">
        <f>'INCEXC A'!A268</f>
        <v>https://doi.org/10.1145/3757442</v>
      </c>
      <c r="B268" s="35" t="str">
        <f>'INCEXC B'!A268</f>
        <v>https://doi.org/10.1145/3757442</v>
      </c>
      <c r="C268" s="28" t="b">
        <f t="shared" si="1"/>
        <v>1</v>
      </c>
      <c r="D268" s="28" t="str">
        <f>'INCEXC A'!B268</f>
        <v>10.1145/3757442</v>
      </c>
      <c r="E268" s="28" t="str">
        <f>'INCEXC A'!C268</f>
        <v>Mango Mango	How to Let The Lettuce Dry Without A Spinner?: Exploring User Perceptions of Using An LLM-Based Conversational Assistant Toward Cooking Partner</v>
      </c>
      <c r="F268" s="28" t="str">
        <f>'INCEXC A'!D268</f>
        <v>Jonathan</v>
      </c>
      <c r="G268" s="28" t="str">
        <f>'INCEXC B'!D268</f>
        <v>Taylor</v>
      </c>
      <c r="H268" s="28" t="str">
        <f>'INCEXC A'!E268</f>
        <v>Exclude</v>
      </c>
      <c r="I268" s="28" t="str">
        <f>'INCEXC B'!E268</f>
        <v>Exclude</v>
      </c>
      <c r="J268" s="28" t="b">
        <f t="shared" si="2"/>
        <v>1</v>
      </c>
      <c r="K268" s="28" t="b">
        <f t="shared" si="3"/>
        <v>0</v>
      </c>
      <c r="L268" s="28" t="str">
        <f>'INCEXC A'!L268</f>
        <v/>
      </c>
      <c r="M268" s="28" t="str">
        <f>'INCEXC B'!L268</f>
        <v/>
      </c>
      <c r="O268" s="28" t="str">
        <f>'INCEXC A'!M268</f>
        <v/>
      </c>
      <c r="P268" s="28" t="str">
        <f>'INCEXC A'!N268</f>
        <v/>
      </c>
      <c r="Q268" s="28" t="str">
        <f>'INCEXC A'!O268</f>
        <v/>
      </c>
      <c r="R268" s="28" t="str">
        <f>'INCEXC B'!O268</f>
        <v/>
      </c>
      <c r="S268" s="28" t="str">
        <f>'INCEXC A'!P268</f>
        <v/>
      </c>
      <c r="T268" s="28" t="str">
        <f>'INCEXC B'!P268</f>
        <v/>
      </c>
      <c r="U268" s="28" t="b">
        <f t="shared" si="4"/>
        <v>1</v>
      </c>
      <c r="V268" s="28" t="b">
        <f t="shared" si="5"/>
        <v>0</v>
      </c>
    </row>
    <row r="269" hidden="1">
      <c r="A269" s="35" t="str">
        <f>'INCEXC A'!A269</f>
        <v>https://doi.org/10.1145/3757544</v>
      </c>
      <c r="B269" s="35" t="str">
        <f>'INCEXC B'!A269</f>
        <v>https://doi.org/10.1145/3757544</v>
      </c>
      <c r="C269" s="28" t="b">
        <f t="shared" si="1"/>
        <v>1</v>
      </c>
      <c r="D269" s="28" t="str">
        <f>'INCEXC A'!B269</f>
        <v>10.1145/3757544</v>
      </c>
      <c r="E269" s="28" t="str">
        <f>'INCEXC A'!C269</f>
        <v>A Risk Taxonomy and Reflection Tool for Large Language Model Adoption in Public Health</v>
      </c>
      <c r="F269" s="28" t="str">
        <f>'INCEXC A'!D269</f>
        <v>Kaiser</v>
      </c>
      <c r="G269" s="28" t="str">
        <f>'INCEXC B'!D269</f>
        <v>Danni</v>
      </c>
      <c r="H269" s="28" t="str">
        <f>'INCEXC A'!E269</f>
        <v>Exclude</v>
      </c>
      <c r="I269" s="28" t="str">
        <f>'INCEXC B'!E269</f>
        <v>Exclude</v>
      </c>
      <c r="J269" s="28" t="b">
        <f t="shared" si="2"/>
        <v>1</v>
      </c>
      <c r="K269" s="28" t="b">
        <f t="shared" si="3"/>
        <v>0</v>
      </c>
      <c r="L269" s="28" t="str">
        <f>'INCEXC A'!L269</f>
        <v/>
      </c>
      <c r="M269" s="28" t="str">
        <f>'INCEXC B'!L269</f>
        <v/>
      </c>
      <c r="O269" s="28" t="str">
        <f>'INCEXC A'!M269</f>
        <v/>
      </c>
      <c r="P269" s="28" t="str">
        <f>'INCEXC A'!N269</f>
        <v/>
      </c>
      <c r="Q269" s="28" t="str">
        <f>'INCEXC A'!O269</f>
        <v/>
      </c>
      <c r="R269" s="28" t="str">
        <f>'INCEXC B'!O269</f>
        <v/>
      </c>
      <c r="S269" s="28" t="str">
        <f>'INCEXC A'!P269</f>
        <v/>
      </c>
      <c r="T269" s="28" t="str">
        <f>'INCEXC B'!P269</f>
        <v/>
      </c>
      <c r="U269" s="28" t="b">
        <f t="shared" si="4"/>
        <v>1</v>
      </c>
      <c r="V269" s="28" t="b">
        <f t="shared" si="5"/>
        <v>0</v>
      </c>
    </row>
    <row r="270" hidden="1">
      <c r="A270" s="35" t="str">
        <f>'INCEXC A'!A270</f>
        <v>https://doi.org/10.1145/3757619</v>
      </c>
      <c r="B270" s="35" t="str">
        <f>'INCEXC B'!A270</f>
        <v>https://doi.org/10.1145/3757619</v>
      </c>
      <c r="C270" s="28" t="b">
        <f t="shared" si="1"/>
        <v>1</v>
      </c>
      <c r="D270" s="28" t="str">
        <f>'INCEXC A'!B270</f>
        <v>10.1145/3757619</v>
      </c>
      <c r="E270" s="28" t="str">
        <f>'INCEXC A'!C270</f>
        <v>Large Language Model Agents for Improving Engagement with Behavior Change Interventions: Application to Digital Mindfulness</v>
      </c>
      <c r="F270" s="28" t="str">
        <f>'INCEXC A'!D270</f>
        <v>Marilyn</v>
      </c>
      <c r="G270" s="28" t="str">
        <f>'INCEXC B'!D270</f>
        <v>Ceren</v>
      </c>
      <c r="H270" s="28" t="str">
        <f>'INCEXC A'!E270</f>
        <v>Exclude</v>
      </c>
      <c r="I270" s="28" t="str">
        <f>'INCEXC B'!E270</f>
        <v>Exclude</v>
      </c>
      <c r="J270" s="28" t="b">
        <f t="shared" si="2"/>
        <v>1</v>
      </c>
      <c r="K270" s="28" t="b">
        <f t="shared" si="3"/>
        <v>0</v>
      </c>
      <c r="L270" s="28" t="str">
        <f>'INCEXC A'!L270</f>
        <v/>
      </c>
      <c r="M270" s="28" t="str">
        <f>'INCEXC B'!L270</f>
        <v/>
      </c>
      <c r="O270" s="28" t="str">
        <f>'INCEXC A'!M270</f>
        <v/>
      </c>
      <c r="P270" s="28" t="str">
        <f>'INCEXC A'!N270</f>
        <v/>
      </c>
      <c r="Q270" s="28" t="str">
        <f>'INCEXC A'!O270</f>
        <v/>
      </c>
      <c r="R270" s="28" t="str">
        <f>'INCEXC B'!O270</f>
        <v/>
      </c>
      <c r="S270" s="28" t="str">
        <f>'INCEXC A'!P270</f>
        <v/>
      </c>
      <c r="T270" s="28" t="str">
        <f>'INCEXC B'!P270</f>
        <v/>
      </c>
      <c r="U270" s="28" t="b">
        <f t="shared" si="4"/>
        <v>1</v>
      </c>
      <c r="V270" s="28" t="b">
        <f t="shared" si="5"/>
        <v>0</v>
      </c>
    </row>
    <row r="271" hidden="1">
      <c r="A271" s="35" t="str">
        <f>'INCEXC A'!A271</f>
        <v>https://doi.org/10.1145/3757659</v>
      </c>
      <c r="B271" s="35" t="str">
        <f>'INCEXC B'!A271</f>
        <v>https://doi.org/10.1145/3757659</v>
      </c>
      <c r="C271" s="28" t="b">
        <f t="shared" si="1"/>
        <v>1</v>
      </c>
      <c r="D271" s="28" t="str">
        <f>'INCEXC A'!B271</f>
        <v>10.1145/3757659</v>
      </c>
      <c r="E271" s="28" t="str">
        <f>'INCEXC A'!C271</f>
        <v>Staking a Claim in Data: Expertise and Participation in a Rural Open Government Data Initiative</v>
      </c>
      <c r="F271" s="28" t="str">
        <f>'INCEXC A'!D271</f>
        <v>Kaiser</v>
      </c>
      <c r="G271" s="28" t="str">
        <f>'INCEXC B'!D271</f>
        <v>Danni</v>
      </c>
      <c r="H271" s="28" t="str">
        <f>'INCEXC A'!E271</f>
        <v>Exclude</v>
      </c>
      <c r="I271" s="28" t="str">
        <f>'INCEXC B'!E271</f>
        <v>Exclude</v>
      </c>
      <c r="J271" s="28" t="b">
        <f t="shared" si="2"/>
        <v>1</v>
      </c>
      <c r="K271" s="28" t="b">
        <f t="shared" si="3"/>
        <v>0</v>
      </c>
      <c r="L271" s="28" t="str">
        <f>'INCEXC A'!L271</f>
        <v/>
      </c>
      <c r="M271" s="28" t="str">
        <f>'INCEXC B'!L271</f>
        <v/>
      </c>
      <c r="O271" s="28" t="str">
        <f>'INCEXC A'!M271</f>
        <v/>
      </c>
      <c r="P271" s="28" t="str">
        <f>'INCEXC A'!N271</f>
        <v/>
      </c>
      <c r="Q271" s="28" t="str">
        <f>'INCEXC A'!O271</f>
        <v/>
      </c>
      <c r="R271" s="28" t="str">
        <f>'INCEXC B'!O271</f>
        <v/>
      </c>
      <c r="S271" s="28" t="str">
        <f>'INCEXC A'!P271</f>
        <v/>
      </c>
      <c r="T271" s="28" t="str">
        <f>'INCEXC B'!P271</f>
        <v/>
      </c>
      <c r="U271" s="28" t="b">
        <f t="shared" si="4"/>
        <v>1</v>
      </c>
      <c r="V271" s="28" t="b">
        <f t="shared" si="5"/>
        <v>0</v>
      </c>
    </row>
    <row r="272" hidden="1">
      <c r="A272" s="35" t="str">
        <f>'INCEXC A'!A272</f>
        <v>https://doi.org/10.1145/3757886</v>
      </c>
      <c r="B272" s="35" t="str">
        <f>'INCEXC B'!A272</f>
        <v>https://doi.org/10.1145/3757886</v>
      </c>
      <c r="C272" s="28" t="b">
        <f t="shared" si="1"/>
        <v>1</v>
      </c>
      <c r="D272" s="28" t="str">
        <f>'INCEXC A'!B272</f>
        <v>10.1145/3757886</v>
      </c>
      <c r="E272" s="28" t="str">
        <f>'INCEXC A'!C272</f>
        <v>When Our Kid Has a Human and an AI Lover: A Conversation with Alexandra Diening on the Future of Relationships</v>
      </c>
      <c r="F272" s="28" t="str">
        <f>'INCEXC A'!D272</f>
        <v>Jonathan</v>
      </c>
      <c r="G272" s="28" t="str">
        <f>'INCEXC B'!D272</f>
        <v>Taylor</v>
      </c>
      <c r="H272" s="28" t="str">
        <f>'INCEXC A'!E272</f>
        <v>Exclude</v>
      </c>
      <c r="I272" s="28" t="str">
        <f>'INCEXC B'!E272</f>
        <v>Exclude</v>
      </c>
      <c r="J272" s="28" t="b">
        <f t="shared" si="2"/>
        <v>1</v>
      </c>
      <c r="K272" s="28" t="b">
        <f t="shared" si="3"/>
        <v>0</v>
      </c>
      <c r="L272" s="28" t="str">
        <f>'INCEXC A'!L272</f>
        <v/>
      </c>
      <c r="M272" s="28" t="str">
        <f>'INCEXC B'!L272</f>
        <v/>
      </c>
      <c r="O272" s="28" t="str">
        <f>'INCEXC A'!M272</f>
        <v/>
      </c>
      <c r="P272" s="28" t="str">
        <f>'INCEXC A'!N272</f>
        <v/>
      </c>
      <c r="Q272" s="28" t="str">
        <f>'INCEXC A'!O272</f>
        <v/>
      </c>
      <c r="R272" s="28" t="str">
        <f>'INCEXC B'!O272</f>
        <v/>
      </c>
      <c r="S272" s="28" t="str">
        <f>'INCEXC A'!P272</f>
        <v/>
      </c>
      <c r="T272" s="28" t="str">
        <f>'INCEXC B'!P272</f>
        <v/>
      </c>
      <c r="U272" s="28" t="b">
        <f t="shared" si="4"/>
        <v>1</v>
      </c>
      <c r="V272" s="28" t="b">
        <f t="shared" si="5"/>
        <v>0</v>
      </c>
    </row>
    <row r="273" hidden="1">
      <c r="A273" s="35" t="str">
        <f>'INCEXC A'!A273</f>
        <v>https://doi.org/10.1145/3758871.3758905</v>
      </c>
      <c r="B273" s="35" t="str">
        <f>'INCEXC B'!A273</f>
        <v>https://doi.org/10.1145/3758871.3758905</v>
      </c>
      <c r="C273" s="28" t="b">
        <f t="shared" si="1"/>
        <v>1</v>
      </c>
      <c r="D273" s="28" t="str">
        <f>'INCEXC A'!B273</f>
        <v>10.1145/3758871.3758905</v>
      </c>
      <c r="E273" s="28" t="str">
        <f>'INCEXC A'!C273</f>
        <v>Analysing Absurd Style in Chinese Social Media Language: a Framework Leveraging Prompt-Based Large Language Models and Interactive Visualization</v>
      </c>
      <c r="F273" s="28" t="str">
        <f>'INCEXC A'!D273</f>
        <v>Jonathan</v>
      </c>
      <c r="G273" s="28" t="str">
        <f>'INCEXC B'!D273</f>
        <v>Ceren</v>
      </c>
      <c r="H273" s="28" t="str">
        <f>'INCEXC A'!E273</f>
        <v>Exclude</v>
      </c>
      <c r="I273" s="28" t="str">
        <f>'INCEXC B'!E273</f>
        <v>Exclude</v>
      </c>
      <c r="J273" s="28" t="b">
        <f t="shared" si="2"/>
        <v>1</v>
      </c>
      <c r="K273" s="28" t="b">
        <f t="shared" si="3"/>
        <v>0</v>
      </c>
      <c r="L273" s="28" t="str">
        <f>'INCEXC A'!L273</f>
        <v/>
      </c>
      <c r="M273" s="28" t="str">
        <f>'INCEXC B'!L273</f>
        <v/>
      </c>
      <c r="O273" s="28" t="str">
        <f>'INCEXC A'!M273</f>
        <v/>
      </c>
      <c r="P273" s="28" t="str">
        <f>'INCEXC A'!N273</f>
        <v/>
      </c>
      <c r="Q273" s="28" t="str">
        <f>'INCEXC A'!O273</f>
        <v/>
      </c>
      <c r="R273" s="28" t="str">
        <f>'INCEXC B'!O273</f>
        <v/>
      </c>
      <c r="S273" s="28" t="str">
        <f>'INCEXC A'!P273</f>
        <v/>
      </c>
      <c r="T273" s="28" t="str">
        <f>'INCEXC B'!P273</f>
        <v/>
      </c>
      <c r="U273" s="28" t="b">
        <f t="shared" si="4"/>
        <v>1</v>
      </c>
      <c r="V273" s="28" t="b">
        <f t="shared" si="5"/>
        <v>0</v>
      </c>
    </row>
    <row r="274" hidden="1">
      <c r="A274" s="35" t="str">
        <f>'INCEXC A'!A274</f>
        <v>https://doi.org/10.1145/3762989</v>
      </c>
      <c r="B274" s="35" t="str">
        <f>'INCEXC B'!A274</f>
        <v>https://doi.org/10.1145/3762989</v>
      </c>
      <c r="C274" s="28" t="b">
        <f t="shared" si="1"/>
        <v>1</v>
      </c>
      <c r="D274" s="28" t="str">
        <f>'INCEXC A'!B274</f>
        <v>10.1145/3762989</v>
      </c>
      <c r="E274" s="28" t="str">
        <f>'INCEXC A'!C274</f>
        <v>Unsolved Problems in MLOps: Either find a better paradigm or fix the ones we're using now.</v>
      </c>
      <c r="F274" s="28" t="str">
        <f>'INCEXC A'!D274</f>
        <v>Marilyn</v>
      </c>
      <c r="G274" s="28" t="str">
        <f>'INCEXC B'!D274</f>
        <v>Taylor</v>
      </c>
      <c r="H274" s="28" t="str">
        <f>'INCEXC A'!E274</f>
        <v>Exclude</v>
      </c>
      <c r="I274" s="28" t="str">
        <f>'INCEXC B'!E274</f>
        <v>Exclude</v>
      </c>
      <c r="J274" s="28" t="b">
        <f t="shared" si="2"/>
        <v>1</v>
      </c>
      <c r="K274" s="28" t="b">
        <f t="shared" si="3"/>
        <v>0</v>
      </c>
      <c r="L274" s="28" t="str">
        <f>'INCEXC A'!L274</f>
        <v/>
      </c>
      <c r="M274" s="28" t="str">
        <f>'INCEXC B'!L274</f>
        <v/>
      </c>
      <c r="O274" s="28" t="str">
        <f>'INCEXC A'!M274</f>
        <v/>
      </c>
      <c r="P274" s="28" t="str">
        <f>'INCEXC A'!N274</f>
        <v/>
      </c>
      <c r="Q274" s="28" t="str">
        <f>'INCEXC A'!O274</f>
        <v/>
      </c>
      <c r="R274" s="28" t="str">
        <f>'INCEXC B'!O274</f>
        <v/>
      </c>
      <c r="S274" s="28" t="str">
        <f>'INCEXC A'!P274</f>
        <v/>
      </c>
      <c r="T274" s="28" t="str">
        <f>'INCEXC B'!P274</f>
        <v/>
      </c>
      <c r="U274" s="28" t="b">
        <f t="shared" si="4"/>
        <v>1</v>
      </c>
      <c r="V274" s="28" t="b">
        <f t="shared" si="5"/>
        <v>0</v>
      </c>
    </row>
    <row r="275" hidden="1">
      <c r="A275" s="35" t="str">
        <f>'INCEXC A'!A275</f>
        <v>https://doi.org/10.1145/3764687.3764716</v>
      </c>
      <c r="B275" s="35" t="str">
        <f>'INCEXC B'!A275</f>
        <v>https://doi.org/10.1145/3764687.3764716</v>
      </c>
      <c r="C275" s="28" t="b">
        <f t="shared" si="1"/>
        <v>1</v>
      </c>
      <c r="D275" s="28" t="str">
        <f>'INCEXC A'!B275</f>
        <v>10.1145/3764687.3764716</v>
      </c>
      <c r="E275" s="28" t="str">
        <f>'INCEXC A'!C275</f>
        <v>Co-creating Vocal Imaginaries with Conversational AIs</v>
      </c>
      <c r="F275" s="28" t="str">
        <f>'INCEXC A'!D275</f>
        <v>Kaiser</v>
      </c>
      <c r="G275" s="28" t="str">
        <f>'INCEXC B'!D275</f>
        <v>Ceren</v>
      </c>
      <c r="H275" s="28" t="str">
        <f>'INCEXC A'!E275</f>
        <v>Exclude</v>
      </c>
      <c r="I275" s="28" t="str">
        <f>'INCEXC B'!E275</f>
        <v>Exclude</v>
      </c>
      <c r="J275" s="28" t="b">
        <f t="shared" si="2"/>
        <v>1</v>
      </c>
      <c r="K275" s="28" t="b">
        <f t="shared" si="3"/>
        <v>0</v>
      </c>
      <c r="L275" s="28" t="str">
        <f>'INCEXC A'!L275</f>
        <v/>
      </c>
      <c r="M275" s="28" t="str">
        <f>'INCEXC B'!L275</f>
        <v/>
      </c>
      <c r="O275" s="28" t="str">
        <f>'INCEXC A'!M275</f>
        <v/>
      </c>
      <c r="P275" s="28" t="str">
        <f>'INCEXC A'!N275</f>
        <v/>
      </c>
      <c r="Q275" s="28" t="str">
        <f>'INCEXC A'!O275</f>
        <v/>
      </c>
      <c r="R275" s="28" t="str">
        <f>'INCEXC B'!O275</f>
        <v/>
      </c>
      <c r="S275" s="28" t="str">
        <f>'INCEXC A'!P275</f>
        <v/>
      </c>
      <c r="T275" s="28" t="str">
        <f>'INCEXC B'!P275</f>
        <v/>
      </c>
      <c r="U275" s="28" t="b">
        <f t="shared" si="4"/>
        <v>1</v>
      </c>
      <c r="V275" s="28" t="b">
        <f t="shared" si="5"/>
        <v>0</v>
      </c>
    </row>
    <row r="276" hidden="1">
      <c r="A276" s="35" t="str">
        <f>'INCEXC A'!A276</f>
        <v>https://doi.org/10.1145/3765766.3765852</v>
      </c>
      <c r="B276" s="35" t="str">
        <f>'INCEXC B'!A276</f>
        <v>https://doi.org/10.1145/3765766.3765852</v>
      </c>
      <c r="C276" s="28" t="b">
        <f t="shared" si="1"/>
        <v>1</v>
      </c>
      <c r="D276" s="28" t="str">
        <f>'INCEXC A'!B276</f>
        <v>10.1145/3765766.3765852</v>
      </c>
      <c r="E276" s="28" t="str">
        <f>'INCEXC A'!C276</f>
        <v>How Do People Evaluate Their Interactions with AI: A Qualitative Study of Emotionally Motivated AI Use and User Evaluation</v>
      </c>
      <c r="F276" s="28" t="str">
        <f>'INCEXC A'!D276</f>
        <v>Jonathan</v>
      </c>
      <c r="G276" s="28" t="str">
        <f>'INCEXC B'!D276</f>
        <v>Ceren</v>
      </c>
      <c r="H276" s="28" t="str">
        <f>'INCEXC A'!E276</f>
        <v>Exclude</v>
      </c>
      <c r="I276" s="28" t="str">
        <f>'INCEXC B'!E276</f>
        <v>Exclude</v>
      </c>
      <c r="J276" s="28" t="b">
        <f t="shared" si="2"/>
        <v>1</v>
      </c>
      <c r="K276" s="28" t="b">
        <f t="shared" si="3"/>
        <v>0</v>
      </c>
      <c r="L276" s="28" t="str">
        <f>'INCEXC A'!L276</f>
        <v/>
      </c>
      <c r="M276" s="28" t="str">
        <f>'INCEXC B'!L276</f>
        <v/>
      </c>
      <c r="O276" s="28" t="str">
        <f>'INCEXC A'!M276</f>
        <v/>
      </c>
      <c r="P276" s="28" t="str">
        <f>'INCEXC A'!N276</f>
        <v/>
      </c>
      <c r="Q276" s="28" t="str">
        <f>'INCEXC A'!O276</f>
        <v/>
      </c>
      <c r="R276" s="28" t="str">
        <f>'INCEXC B'!O276</f>
        <v/>
      </c>
      <c r="S276" s="28" t="str">
        <f>'INCEXC A'!P276</f>
        <v/>
      </c>
      <c r="T276" s="28" t="str">
        <f>'INCEXC B'!P276</f>
        <v/>
      </c>
      <c r="U276" s="28" t="b">
        <f t="shared" si="4"/>
        <v>1</v>
      </c>
      <c r="V276" s="28" t="b">
        <f t="shared" si="5"/>
        <v>0</v>
      </c>
    </row>
    <row r="277" hidden="1">
      <c r="A277" s="35" t="str">
        <f>'INCEXC A'!A277</f>
        <v>https://doi.org/10.1145/3767154</v>
      </c>
      <c r="B277" s="35" t="str">
        <f>'INCEXC B'!A277</f>
        <v>https://doi.org/10.1145/3767154</v>
      </c>
      <c r="C277" s="28" t="b">
        <f t="shared" si="1"/>
        <v>1</v>
      </c>
      <c r="D277" s="28" t="str">
        <f>'INCEXC A'!B277</f>
        <v>10.1145/3767154</v>
      </c>
      <c r="E277" s="28" t="str">
        <f>'INCEXC A'!C277</f>
        <v>Innovative Approaches to Addressing Challenges in 3D Macro Placement</v>
      </c>
      <c r="F277" s="28" t="str">
        <f>'INCEXC A'!D277</f>
        <v>Marilyn</v>
      </c>
      <c r="G277" s="28" t="str">
        <f>'INCEXC B'!D277</f>
        <v>Ceren</v>
      </c>
      <c r="H277" s="28" t="str">
        <f>'INCEXC A'!E277</f>
        <v>Exclude</v>
      </c>
      <c r="I277" s="28" t="str">
        <f>'INCEXC B'!E277</f>
        <v>Exclude</v>
      </c>
      <c r="J277" s="28" t="b">
        <f t="shared" si="2"/>
        <v>1</v>
      </c>
      <c r="K277" s="28" t="b">
        <f t="shared" si="3"/>
        <v>0</v>
      </c>
      <c r="L277" s="28" t="str">
        <f>'INCEXC A'!L277</f>
        <v/>
      </c>
      <c r="M277" s="28" t="str">
        <f>'INCEXC B'!L277</f>
        <v/>
      </c>
      <c r="O277" s="28" t="str">
        <f>'INCEXC A'!M277</f>
        <v/>
      </c>
      <c r="P277" s="28" t="str">
        <f>'INCEXC A'!N277</f>
        <v/>
      </c>
      <c r="Q277" s="28" t="str">
        <f>'INCEXC A'!O277</f>
        <v/>
      </c>
      <c r="R277" s="28" t="str">
        <f>'INCEXC B'!O277</f>
        <v/>
      </c>
      <c r="S277" s="28" t="str">
        <f>'INCEXC A'!P277</f>
        <v/>
      </c>
      <c r="T277" s="28" t="str">
        <f>'INCEXC B'!P277</f>
        <v/>
      </c>
      <c r="U277" s="28" t="b">
        <f t="shared" si="4"/>
        <v>1</v>
      </c>
      <c r="V277" s="28" t="b">
        <f t="shared" si="5"/>
        <v>0</v>
      </c>
    </row>
    <row r="278" hidden="1">
      <c r="A278" s="35" t="str">
        <f>'INCEXC A'!A278</f>
        <v>https://doi.org/10.1145/3767695.3769511</v>
      </c>
      <c r="B278" s="35" t="str">
        <f>'INCEXC B'!A278</f>
        <v>https://doi.org/10.1145/3767695.3769511</v>
      </c>
      <c r="C278" s="28" t="b">
        <f t="shared" si="1"/>
        <v>1</v>
      </c>
      <c r="D278" s="28" t="str">
        <f>'INCEXC A'!B278</f>
        <v>10.1145/3767695.3769511</v>
      </c>
      <c r="E278" s="28" t="str">
        <f>'INCEXC A'!C278</f>
        <v>Synthetic Prefixes to Mitigate Bias in Real-Time Neural Query Autocomplete</v>
      </c>
      <c r="F278" s="28" t="str">
        <f>'INCEXC A'!D278</f>
        <v>Marilyn</v>
      </c>
      <c r="G278" s="28" t="str">
        <f>'INCEXC B'!D278</f>
        <v>Danni</v>
      </c>
      <c r="H278" s="28" t="str">
        <f>'INCEXC A'!E278</f>
        <v>Exclude</v>
      </c>
      <c r="I278" s="28" t="str">
        <f>'INCEXC B'!E278</f>
        <v>Exclude</v>
      </c>
      <c r="J278" s="28" t="b">
        <f t="shared" si="2"/>
        <v>1</v>
      </c>
      <c r="K278" s="28" t="b">
        <f t="shared" si="3"/>
        <v>0</v>
      </c>
      <c r="L278" s="28" t="str">
        <f>'INCEXC A'!L278</f>
        <v/>
      </c>
      <c r="M278" s="28" t="str">
        <f>'INCEXC B'!L278</f>
        <v/>
      </c>
      <c r="O278" s="28" t="str">
        <f>'INCEXC A'!M278</f>
        <v/>
      </c>
      <c r="P278" s="28" t="str">
        <f>'INCEXC A'!N278</f>
        <v/>
      </c>
      <c r="Q278" s="28" t="str">
        <f>'INCEXC A'!O278</f>
        <v/>
      </c>
      <c r="R278" s="28" t="str">
        <f>'INCEXC B'!O278</f>
        <v/>
      </c>
      <c r="S278" s="28" t="str">
        <f>'INCEXC A'!P278</f>
        <v/>
      </c>
      <c r="T278" s="28" t="str">
        <f>'INCEXC B'!P278</f>
        <v/>
      </c>
      <c r="U278" s="28" t="b">
        <f t="shared" si="4"/>
        <v>1</v>
      </c>
      <c r="V278" s="28" t="b">
        <f t="shared" si="5"/>
        <v>0</v>
      </c>
    </row>
    <row r="279" hidden="1">
      <c r="A279" s="35" t="str">
        <f>'INCEXC A'!A279</f>
        <v>https://doi.org/10.1145/3768165</v>
      </c>
      <c r="B279" s="35" t="str">
        <f>'INCEXC B'!A279</f>
        <v>https://doi.org/10.1145/3768165</v>
      </c>
      <c r="C279" s="28" t="b">
        <f t="shared" si="1"/>
        <v>1</v>
      </c>
      <c r="D279" s="28" t="str">
        <f>'INCEXC A'!B279</f>
        <v>10.1145/3768165</v>
      </c>
      <c r="E279" s="28" t="str">
        <f>'INCEXC A'!C279</f>
        <v>A Comprehensive Survey of Small Language Models in the Era of Large Language Models: Techniques</v>
      </c>
      <c r="F279" s="28" t="str">
        <f>'INCEXC A'!D279</f>
        <v>Marilyn</v>
      </c>
      <c r="G279" s="28" t="str">
        <f>'INCEXC B'!D279</f>
        <v>Danni</v>
      </c>
      <c r="H279" s="28" t="str">
        <f>'INCEXC A'!E279</f>
        <v>Exclude</v>
      </c>
      <c r="I279" s="28" t="str">
        <f>'INCEXC B'!E279</f>
        <v>Exclude</v>
      </c>
      <c r="J279" s="28" t="b">
        <f t="shared" si="2"/>
        <v>1</v>
      </c>
      <c r="K279" s="28" t="b">
        <f t="shared" si="3"/>
        <v>0</v>
      </c>
      <c r="L279" s="28" t="str">
        <f>'INCEXC A'!L279</f>
        <v/>
      </c>
      <c r="M279" s="28" t="str">
        <f>'INCEXC B'!L279</f>
        <v/>
      </c>
      <c r="O279" s="28" t="str">
        <f>'INCEXC A'!M279</f>
        <v/>
      </c>
      <c r="P279" s="28" t="str">
        <f>'INCEXC A'!N279</f>
        <v/>
      </c>
      <c r="Q279" s="28" t="str">
        <f>'INCEXC A'!O279</f>
        <v/>
      </c>
      <c r="R279" s="28" t="str">
        <f>'INCEXC B'!O279</f>
        <v/>
      </c>
      <c r="S279" s="28" t="str">
        <f>'INCEXC A'!P279</f>
        <v/>
      </c>
      <c r="T279" s="28" t="str">
        <f>'INCEXC B'!P279</f>
        <v/>
      </c>
      <c r="U279" s="28" t="b">
        <f t="shared" si="4"/>
        <v>1</v>
      </c>
      <c r="V279" s="28" t="b">
        <f t="shared" si="5"/>
        <v>0</v>
      </c>
    </row>
    <row r="280" hidden="1">
      <c r="A280" s="35" t="str">
        <f>'INCEXC A'!A280</f>
        <v>https://doi.org/10.1145/3769126.3769241</v>
      </c>
      <c r="B280" s="35" t="str">
        <f>'INCEXC B'!A280</f>
        <v>https://doi.org/10.1145/3769126.3769241</v>
      </c>
      <c r="C280" s="28" t="b">
        <f t="shared" si="1"/>
        <v>1</v>
      </c>
      <c r="D280" s="28" t="str">
        <f>'INCEXC A'!B280</f>
        <v>10.1145/3769126.3769241</v>
      </c>
      <c r="E280" s="28" t="str">
        <f>'INCEXC A'!C280</f>
        <v>From Legal Text to Tech Specs: Generative AI’s Interpretation of Consent in Privacy Law</v>
      </c>
      <c r="F280" s="28" t="str">
        <f>'INCEXC A'!D280</f>
        <v>Marilyn</v>
      </c>
      <c r="G280" s="28" t="str">
        <f>'INCEXC B'!D280</f>
        <v>Danni</v>
      </c>
      <c r="H280" s="28" t="str">
        <f>'INCEXC A'!E280</f>
        <v>Exclude</v>
      </c>
      <c r="I280" s="28" t="str">
        <f>'INCEXC B'!E280</f>
        <v>Exclude</v>
      </c>
      <c r="J280" s="28" t="b">
        <f t="shared" si="2"/>
        <v>1</v>
      </c>
      <c r="K280" s="28" t="b">
        <f t="shared" si="3"/>
        <v>0</v>
      </c>
      <c r="L280" s="28" t="str">
        <f>'INCEXC A'!L280</f>
        <v/>
      </c>
      <c r="M280" s="28" t="str">
        <f>'INCEXC B'!L280</f>
        <v/>
      </c>
      <c r="O280" s="28" t="str">
        <f>'INCEXC A'!M280</f>
        <v/>
      </c>
      <c r="P280" s="28" t="str">
        <f>'INCEXC A'!N280</f>
        <v/>
      </c>
      <c r="Q280" s="28" t="str">
        <f>'INCEXC A'!O280</f>
        <v/>
      </c>
      <c r="R280" s="28" t="str">
        <f>'INCEXC B'!O280</f>
        <v/>
      </c>
      <c r="S280" s="28" t="str">
        <f>'INCEXC A'!P280</f>
        <v/>
      </c>
      <c r="T280" s="28" t="str">
        <f>'INCEXC B'!P280</f>
        <v/>
      </c>
      <c r="U280" s="28" t="b">
        <f t="shared" si="4"/>
        <v>1</v>
      </c>
      <c r="V280" s="28" t="b">
        <f t="shared" si="5"/>
        <v>0</v>
      </c>
    </row>
    <row r="281" hidden="1">
      <c r="A281" s="35" t="str">
        <f>'INCEXC A'!A281</f>
        <v>https://doi.org/10.1145/3769686</v>
      </c>
      <c r="B281" s="35" t="str">
        <f>'INCEXC B'!A281</f>
        <v>https://doi.org/10.1145/3769686</v>
      </c>
      <c r="C281" s="28" t="b">
        <f t="shared" si="1"/>
        <v>1</v>
      </c>
      <c r="D281" s="28" t="str">
        <f>'INCEXC A'!B281</f>
        <v>10.1145/3769686</v>
      </c>
      <c r="E281" s="28" t="str">
        <f>'INCEXC A'!C281</f>
        <v>Rolling in the Deep of Cognitive and AI Biases</v>
      </c>
      <c r="F281" s="28" t="str">
        <f>'INCEXC A'!D281</f>
        <v>Jonathan</v>
      </c>
      <c r="G281" s="28" t="str">
        <f>'INCEXC B'!D281</f>
        <v>Danni</v>
      </c>
      <c r="H281" s="28" t="str">
        <f>'INCEXC A'!E281</f>
        <v>Exclude</v>
      </c>
      <c r="I281" s="28" t="str">
        <f>'INCEXC B'!E281</f>
        <v>Exclude</v>
      </c>
      <c r="J281" s="28" t="b">
        <f t="shared" si="2"/>
        <v>1</v>
      </c>
      <c r="K281" s="28" t="b">
        <f t="shared" si="3"/>
        <v>0</v>
      </c>
      <c r="L281" s="28" t="str">
        <f>'INCEXC A'!L281</f>
        <v/>
      </c>
      <c r="M281" s="28" t="str">
        <f>'INCEXC B'!L281</f>
        <v/>
      </c>
      <c r="O281" s="28" t="str">
        <f>'INCEXC A'!M281</f>
        <v/>
      </c>
      <c r="P281" s="28" t="str">
        <f>'INCEXC A'!N281</f>
        <v/>
      </c>
      <c r="Q281" s="28" t="str">
        <f>'INCEXC A'!O281</f>
        <v/>
      </c>
      <c r="R281" s="28" t="str">
        <f>'INCEXC B'!O281</f>
        <v/>
      </c>
      <c r="S281" s="28" t="str">
        <f>'INCEXC A'!P281</f>
        <v/>
      </c>
      <c r="T281" s="28" t="str">
        <f>'INCEXC B'!P281</f>
        <v/>
      </c>
      <c r="U281" s="28" t="b">
        <f t="shared" si="4"/>
        <v>1</v>
      </c>
      <c r="V281" s="28" t="b">
        <f t="shared" si="5"/>
        <v>0</v>
      </c>
    </row>
    <row r="282" hidden="1">
      <c r="A282" s="35" t="str">
        <f>'INCEXC A'!A282</f>
        <v>https://doi.org/10.1145/3769689</v>
      </c>
      <c r="B282" s="35" t="str">
        <f>'INCEXC B'!A282</f>
        <v>https://doi.org/10.1145/3769689</v>
      </c>
      <c r="C282" s="28" t="b">
        <f t="shared" si="1"/>
        <v>1</v>
      </c>
      <c r="D282" s="28" t="str">
        <f>'INCEXC A'!B282</f>
        <v>10.1145/3769689</v>
      </c>
      <c r="E282" s="28" t="str">
        <f>'INCEXC A'!C282</f>
        <v>Communication Bias in Large Language Models: A Regulatory Perspective</v>
      </c>
      <c r="F282" s="28" t="str">
        <f>'INCEXC A'!D282</f>
        <v>Marilyn</v>
      </c>
      <c r="G282" s="28" t="str">
        <f>'INCEXC B'!D282</f>
        <v>Ceren</v>
      </c>
      <c r="H282" s="28" t="str">
        <f>'INCEXC A'!E282</f>
        <v>Exclude</v>
      </c>
      <c r="I282" s="28" t="str">
        <f>'INCEXC B'!E282</f>
        <v>Exclude</v>
      </c>
      <c r="J282" s="28" t="b">
        <f t="shared" si="2"/>
        <v>1</v>
      </c>
      <c r="K282" s="28" t="b">
        <f t="shared" si="3"/>
        <v>0</v>
      </c>
      <c r="L282" s="28" t="str">
        <f>'INCEXC A'!L282</f>
        <v/>
      </c>
      <c r="M282" s="28" t="str">
        <f>'INCEXC B'!L282</f>
        <v/>
      </c>
      <c r="O282" s="28" t="str">
        <f>'INCEXC A'!M282</f>
        <v/>
      </c>
      <c r="P282" s="28" t="str">
        <f>'INCEXC A'!N282</f>
        <v/>
      </c>
      <c r="Q282" s="28" t="str">
        <f>'INCEXC A'!O282</f>
        <v/>
      </c>
      <c r="R282" s="28" t="str">
        <f>'INCEXC B'!O282</f>
        <v/>
      </c>
      <c r="S282" s="28" t="str">
        <f>'INCEXC A'!P282</f>
        <v/>
      </c>
      <c r="T282" s="28" t="str">
        <f>'INCEXC B'!P282</f>
        <v/>
      </c>
      <c r="U282" s="28" t="b">
        <f t="shared" si="4"/>
        <v>1</v>
      </c>
      <c r="V282" s="28" t="b">
        <f t="shared" si="5"/>
        <v>0</v>
      </c>
    </row>
    <row r="283" hidden="1">
      <c r="A283" s="35" t="str">
        <f>'INCEXC A'!A283</f>
        <v>https://doi.org/10.1145/3770749</v>
      </c>
      <c r="B283" s="35" t="str">
        <f>'INCEXC B'!A283</f>
        <v>https://doi.org/10.1145/3770749</v>
      </c>
      <c r="C283" s="28" t="b">
        <f t="shared" si="1"/>
        <v>1</v>
      </c>
      <c r="D283" s="28" t="str">
        <f>'INCEXC A'!B283</f>
        <v>10.1145/3770749</v>
      </c>
      <c r="E283" s="28" t="str">
        <f>'INCEXC A'!C283</f>
        <v>AI Alignment: A Contemporary Survey</v>
      </c>
      <c r="F283" s="28" t="str">
        <f>'INCEXC A'!D283</f>
        <v>Marilyn</v>
      </c>
      <c r="G283" s="28" t="str">
        <f>'INCEXC B'!D283</f>
        <v>Ceren</v>
      </c>
      <c r="H283" s="28" t="str">
        <f>'INCEXC A'!E283</f>
        <v>Exclude</v>
      </c>
      <c r="I283" s="28" t="str">
        <f>'INCEXC B'!E283</f>
        <v>Exclude</v>
      </c>
      <c r="J283" s="28" t="b">
        <f t="shared" si="2"/>
        <v>1</v>
      </c>
      <c r="K283" s="28" t="b">
        <f t="shared" si="3"/>
        <v>0</v>
      </c>
      <c r="L283" s="28" t="str">
        <f>'INCEXC A'!L283</f>
        <v/>
      </c>
      <c r="M283" s="28" t="str">
        <f>'INCEXC B'!L283</f>
        <v/>
      </c>
      <c r="O283" s="28" t="str">
        <f>'INCEXC A'!M283</f>
        <v/>
      </c>
      <c r="P283" s="28" t="str">
        <f>'INCEXC A'!N283</f>
        <v/>
      </c>
      <c r="Q283" s="28" t="str">
        <f>'INCEXC A'!O283</f>
        <v/>
      </c>
      <c r="R283" s="28" t="str">
        <f>'INCEXC B'!O283</f>
        <v/>
      </c>
      <c r="S283" s="28" t="str">
        <f>'INCEXC A'!P283</f>
        <v/>
      </c>
      <c r="T283" s="28" t="str">
        <f>'INCEXC B'!P283</f>
        <v/>
      </c>
      <c r="U283" s="28" t="b">
        <f t="shared" si="4"/>
        <v>1</v>
      </c>
      <c r="V283" s="28" t="b">
        <f t="shared" si="5"/>
        <v>0</v>
      </c>
    </row>
    <row r="284" hidden="1">
      <c r="A284" s="35" t="str">
        <f>'INCEXC A'!A284</f>
        <v>https://doi.org/10.1145/3772318.3790271</v>
      </c>
      <c r="B284" s="35" t="str">
        <f>'INCEXC B'!A284</f>
        <v>https://doi.org/10.1145/3772318.3790271</v>
      </c>
      <c r="C284" s="28" t="b">
        <f t="shared" si="1"/>
        <v>1</v>
      </c>
      <c r="D284" s="28" t="str">
        <f>'INCEXC A'!B284</f>
        <v>10.1145/3772318.3790271</v>
      </c>
      <c r="E284" s="28" t="str">
        <f>'INCEXC A'!C284</f>
        <v>LLM-box vs. Thinking-box: Designing for Deliberate User Engagement with Distorted Information in Conversational Search</v>
      </c>
      <c r="F284" s="28" t="str">
        <f>'INCEXC A'!D284</f>
        <v>Jonathan</v>
      </c>
      <c r="G284" s="28" t="str">
        <f>'INCEXC B'!D284</f>
        <v>Ceren</v>
      </c>
      <c r="H284" s="28" t="str">
        <f>'INCEXC A'!E284</f>
        <v>Exclude</v>
      </c>
      <c r="I284" s="28" t="str">
        <f>'INCEXC B'!E284</f>
        <v>Exclude</v>
      </c>
      <c r="J284" s="28" t="b">
        <f t="shared" si="2"/>
        <v>1</v>
      </c>
      <c r="K284" s="28" t="b">
        <f t="shared" si="3"/>
        <v>0</v>
      </c>
      <c r="L284" s="28" t="str">
        <f>'INCEXC A'!L284</f>
        <v/>
      </c>
      <c r="M284" s="28" t="str">
        <f>'INCEXC B'!L284</f>
        <v/>
      </c>
      <c r="O284" s="28" t="str">
        <f>'INCEXC A'!M284</f>
        <v/>
      </c>
      <c r="P284" s="28" t="str">
        <f>'INCEXC A'!N284</f>
        <v/>
      </c>
      <c r="Q284" s="28" t="str">
        <f>'INCEXC A'!O284</f>
        <v/>
      </c>
      <c r="R284" s="28" t="str">
        <f>'INCEXC B'!O284</f>
        <v/>
      </c>
      <c r="S284" s="28" t="str">
        <f>'INCEXC A'!P284</f>
        <v/>
      </c>
      <c r="T284" s="28" t="str">
        <f>'INCEXC B'!P284</f>
        <v/>
      </c>
      <c r="U284" s="28" t="b">
        <f t="shared" si="4"/>
        <v>1</v>
      </c>
      <c r="V284" s="28" t="b">
        <f t="shared" si="5"/>
        <v>0</v>
      </c>
    </row>
    <row r="285" hidden="1">
      <c r="A285" s="35" t="str">
        <f>'INCEXC A'!A285</f>
        <v>https://doi.org/10.1145/3772318.3790279</v>
      </c>
      <c r="B285" s="35" t="str">
        <f>'INCEXC B'!A285</f>
        <v>https://doi.org/10.1145/3772318.3790279</v>
      </c>
      <c r="C285" s="28" t="b">
        <f t="shared" si="1"/>
        <v>1</v>
      </c>
      <c r="D285" s="28" t="str">
        <f>'INCEXC A'!B285</f>
        <v>10.1145/3772318.3790279</v>
      </c>
      <c r="E285" s="28" t="str">
        <f>'INCEXC A'!C285</f>
        <v>Futuring Social Assemblages: How Enmeshing AIs into Social Life Challenges the Individual and the Interpersonal</v>
      </c>
      <c r="F285" s="28" t="str">
        <f>'INCEXC A'!D285</f>
        <v>Jonathan</v>
      </c>
      <c r="G285" s="28" t="str">
        <f>'INCEXC B'!D285</f>
        <v>Danni</v>
      </c>
      <c r="H285" s="28" t="str">
        <f>'INCEXC A'!E285</f>
        <v>Exclude</v>
      </c>
      <c r="I285" s="28" t="str">
        <f>'INCEXC B'!E285</f>
        <v>Exclude</v>
      </c>
      <c r="J285" s="28" t="b">
        <f t="shared" si="2"/>
        <v>1</v>
      </c>
      <c r="K285" s="28" t="b">
        <f t="shared" si="3"/>
        <v>0</v>
      </c>
      <c r="L285" s="28" t="str">
        <f>'INCEXC A'!L285</f>
        <v/>
      </c>
      <c r="M285" s="28" t="str">
        <f>'INCEXC B'!L285</f>
        <v/>
      </c>
      <c r="O285" s="28" t="str">
        <f>'INCEXC A'!M285</f>
        <v/>
      </c>
      <c r="P285" s="28" t="str">
        <f>'INCEXC A'!N285</f>
        <v/>
      </c>
      <c r="Q285" s="28" t="str">
        <f>'INCEXC A'!O285</f>
        <v/>
      </c>
      <c r="R285" s="28" t="str">
        <f>'INCEXC B'!O285</f>
        <v/>
      </c>
      <c r="S285" s="28" t="str">
        <f>'INCEXC A'!P285</f>
        <v/>
      </c>
      <c r="T285" s="28" t="str">
        <f>'INCEXC B'!P285</f>
        <v/>
      </c>
      <c r="U285" s="28" t="b">
        <f t="shared" si="4"/>
        <v>1</v>
      </c>
      <c r="V285" s="28" t="b">
        <f t="shared" si="5"/>
        <v>0</v>
      </c>
    </row>
    <row r="286" hidden="1">
      <c r="A286" s="35" t="str">
        <f>'INCEXC A'!A286</f>
        <v>https://doi.org/10.1145/3772318.3790292</v>
      </c>
      <c r="B286" s="35" t="str">
        <f>'INCEXC B'!A286</f>
        <v>https://doi.org/10.1145/3772318.3790292</v>
      </c>
      <c r="C286" s="28" t="b">
        <f t="shared" si="1"/>
        <v>1</v>
      </c>
      <c r="D286" s="28" t="str">
        <f>'INCEXC A'!B286</f>
        <v>10.1145/3772318.3790292</v>
      </c>
      <c r="E286" s="28" t="str">
        <f>'INCEXC A'!C286</f>
        <v>From Crafting Text to Crafting Thought: Grounding AI Writing Support to Writing Center Pedagogy</v>
      </c>
      <c r="F286" s="28" t="str">
        <f>'INCEXC A'!D286</f>
        <v>Marilyn</v>
      </c>
      <c r="G286" s="28" t="str">
        <f>'INCEXC B'!D286</f>
        <v>Ceren</v>
      </c>
      <c r="H286" s="28" t="str">
        <f>'INCEXC A'!E286</f>
        <v>Exclude</v>
      </c>
      <c r="I286" s="28" t="str">
        <f>'INCEXC B'!E286</f>
        <v>Exclude</v>
      </c>
      <c r="J286" s="28" t="b">
        <f t="shared" si="2"/>
        <v>1</v>
      </c>
      <c r="K286" s="28" t="b">
        <f t="shared" si="3"/>
        <v>0</v>
      </c>
      <c r="L286" s="28" t="str">
        <f>'INCEXC A'!L286</f>
        <v/>
      </c>
      <c r="M286" s="28" t="str">
        <f>'INCEXC B'!L286</f>
        <v/>
      </c>
      <c r="O286" s="28" t="str">
        <f>'INCEXC A'!M286</f>
        <v/>
      </c>
      <c r="P286" s="28" t="str">
        <f>'INCEXC A'!N286</f>
        <v/>
      </c>
      <c r="Q286" s="28" t="str">
        <f>'INCEXC A'!O286</f>
        <v/>
      </c>
      <c r="R286" s="28" t="str">
        <f>'INCEXC B'!O286</f>
        <v/>
      </c>
      <c r="S286" s="28" t="str">
        <f>'INCEXC A'!P286</f>
        <v/>
      </c>
      <c r="T286" s="28" t="str">
        <f>'INCEXC B'!P286</f>
        <v/>
      </c>
      <c r="U286" s="28" t="b">
        <f t="shared" si="4"/>
        <v>1</v>
      </c>
      <c r="V286" s="28" t="b">
        <f t="shared" si="5"/>
        <v>0</v>
      </c>
    </row>
    <row r="287" hidden="1">
      <c r="A287" s="35" t="str">
        <f>'INCEXC A'!A287</f>
        <v>https://doi.org/10.1145/3772318.3790303</v>
      </c>
      <c r="B287" s="35" t="str">
        <f>'INCEXC B'!A287</f>
        <v>https://doi.org/10.1145/3772318.3790303</v>
      </c>
      <c r="C287" s="28" t="b">
        <f t="shared" si="1"/>
        <v>1</v>
      </c>
      <c r="D287" s="28" t="str">
        <f>'INCEXC A'!B287</f>
        <v>10.1145/3772318.3790303</v>
      </c>
      <c r="E287" s="28" t="str">
        <f>'INCEXC A'!C287</f>
        <v>When Workout Buddies Are Virtual: AI Agents and Human Peers in a Longitudinal Physical Activity Study</v>
      </c>
      <c r="F287" s="28" t="str">
        <f>'INCEXC A'!D287</f>
        <v>Marilyn</v>
      </c>
      <c r="G287" s="28" t="str">
        <f>'INCEXC B'!D287</f>
        <v>Ceren</v>
      </c>
      <c r="H287" s="28" t="str">
        <f>'INCEXC A'!E287</f>
        <v>Exclude</v>
      </c>
      <c r="I287" s="28" t="str">
        <f>'INCEXC B'!E287</f>
        <v>Exclude</v>
      </c>
      <c r="J287" s="28" t="b">
        <f t="shared" si="2"/>
        <v>1</v>
      </c>
      <c r="K287" s="28" t="b">
        <f t="shared" si="3"/>
        <v>0</v>
      </c>
      <c r="L287" s="28" t="str">
        <f>'INCEXC A'!L287</f>
        <v/>
      </c>
      <c r="M287" s="28" t="str">
        <f>'INCEXC B'!L287</f>
        <v/>
      </c>
      <c r="O287" s="28" t="str">
        <f>'INCEXC A'!M287</f>
        <v/>
      </c>
      <c r="P287" s="28" t="str">
        <f>'INCEXC A'!N287</f>
        <v/>
      </c>
      <c r="Q287" s="28" t="str">
        <f>'INCEXC A'!O287</f>
        <v/>
      </c>
      <c r="R287" s="28" t="str">
        <f>'INCEXC B'!O287</f>
        <v/>
      </c>
      <c r="S287" s="28" t="str">
        <f>'INCEXC A'!P287</f>
        <v/>
      </c>
      <c r="T287" s="28" t="str">
        <f>'INCEXC B'!P287</f>
        <v/>
      </c>
      <c r="U287" s="28" t="b">
        <f t="shared" si="4"/>
        <v>1</v>
      </c>
      <c r="V287" s="28" t="b">
        <f t="shared" si="5"/>
        <v>0</v>
      </c>
    </row>
    <row r="288">
      <c r="A288" s="35" t="str">
        <f>'INCEXC A'!A288</f>
        <v>https://doi.org/10.1145/3772318.3790332</v>
      </c>
      <c r="B288" s="35" t="str">
        <f>'INCEXC B'!A288</f>
        <v>https://doi.org/10.1145/3772318.3790332</v>
      </c>
      <c r="C288" s="28" t="b">
        <f t="shared" si="1"/>
        <v>1</v>
      </c>
      <c r="D288" s="28" t="str">
        <f>'INCEXC A'!B288</f>
        <v>10.1145/3772318.3790332</v>
      </c>
      <c r="E288" s="28" t="str">
        <f>'INCEXC A'!C288</f>
        <v>Behavioral Indicators of Overreliance During Interaction with Conversational Language Models</v>
      </c>
      <c r="F288" s="28" t="str">
        <f>'INCEXC A'!D288</f>
        <v>Kaiser</v>
      </c>
      <c r="G288" s="28" t="str">
        <f>'INCEXC B'!D288</f>
        <v>Taylor</v>
      </c>
      <c r="H288" s="28" t="str">
        <f>'INCEXC A'!E288</f>
        <v>Exclude</v>
      </c>
      <c r="I288" s="28" t="str">
        <f>'INCEXC B'!E288</f>
        <v>Include</v>
      </c>
      <c r="J288" s="28" t="b">
        <f t="shared" si="2"/>
        <v>0</v>
      </c>
      <c r="K288" s="28" t="b">
        <f t="shared" si="3"/>
        <v>0</v>
      </c>
      <c r="L288" s="28" t="str">
        <f>'INCEXC A'!L288</f>
        <v/>
      </c>
      <c r="M288" s="28" t="str">
        <f>'INCEXC B'!L288</f>
        <v/>
      </c>
      <c r="O288" s="28" t="str">
        <f>'INCEXC A'!M288</f>
        <v/>
      </c>
      <c r="P288" s="28" t="str">
        <f>'INCEXC A'!N288</f>
        <v/>
      </c>
      <c r="Q288" s="28" t="str">
        <f>'INCEXC A'!O288</f>
        <v/>
      </c>
      <c r="R288" s="28" t="str">
        <f>'INCEXC B'!O288</f>
        <v/>
      </c>
      <c r="S288" s="28" t="str">
        <f>'INCEXC A'!P288</f>
        <v/>
      </c>
      <c r="T288" s="28" t="str">
        <f>'INCEXC B'!P288</f>
        <v/>
      </c>
      <c r="U288" s="28" t="b">
        <f t="shared" si="4"/>
        <v>1</v>
      </c>
      <c r="V288" s="28" t="b">
        <f t="shared" si="5"/>
        <v>0</v>
      </c>
    </row>
    <row r="289" hidden="1">
      <c r="A289" s="35" t="str">
        <f>'INCEXC A'!A289</f>
        <v>https://doi.org/10.1145/3772318.3790340</v>
      </c>
      <c r="B289" s="35" t="str">
        <f>'INCEXC B'!A289</f>
        <v>https://doi.org/10.1145/3772318.3790340</v>
      </c>
      <c r="C289" s="28" t="b">
        <f t="shared" si="1"/>
        <v>1</v>
      </c>
      <c r="D289" s="28" t="str">
        <f>'INCEXC A'!B289</f>
        <v>10.1145/3772318.3790340</v>
      </c>
      <c r="E289" s="28" t="str">
        <f>'INCEXC A'!C289</f>
        <v>Polite But Boring? Trade-offs Between Engagement and Psychological Reactance to Chatbot Feedback Styles</v>
      </c>
      <c r="F289" s="28" t="str">
        <f>'INCEXC A'!D289</f>
        <v>Jonathan</v>
      </c>
      <c r="G289" s="28" t="str">
        <f>'INCEXC B'!D289</f>
        <v>Danni</v>
      </c>
      <c r="H289" s="28" t="str">
        <f>'INCEXC A'!E289</f>
        <v>Exclude</v>
      </c>
      <c r="I289" s="28" t="str">
        <f>'INCEXC B'!E289</f>
        <v>Exclude</v>
      </c>
      <c r="J289" s="28" t="b">
        <f t="shared" si="2"/>
        <v>1</v>
      </c>
      <c r="K289" s="28" t="b">
        <f t="shared" si="3"/>
        <v>0</v>
      </c>
      <c r="L289" s="28" t="str">
        <f>'INCEXC A'!L289</f>
        <v/>
      </c>
      <c r="M289" s="28" t="str">
        <f>'INCEXC B'!L289</f>
        <v/>
      </c>
      <c r="O289" s="28" t="str">
        <f>'INCEXC A'!M289</f>
        <v/>
      </c>
      <c r="P289" s="28" t="str">
        <f>'INCEXC A'!N289</f>
        <v/>
      </c>
      <c r="Q289" s="28" t="str">
        <f>'INCEXC A'!O289</f>
        <v/>
      </c>
      <c r="R289" s="28" t="str">
        <f>'INCEXC B'!O289</f>
        <v/>
      </c>
      <c r="S289" s="28" t="str">
        <f>'INCEXC A'!P289</f>
        <v/>
      </c>
      <c r="T289" s="28" t="str">
        <f>'INCEXC B'!P289</f>
        <v/>
      </c>
      <c r="U289" s="28" t="b">
        <f t="shared" si="4"/>
        <v>1</v>
      </c>
      <c r="V289" s="28" t="b">
        <f t="shared" si="5"/>
        <v>0</v>
      </c>
    </row>
    <row r="290" hidden="1">
      <c r="A290" s="35" t="str">
        <f>'INCEXC A'!A290</f>
        <v>https://doi.org/10.1145/3772318.3790358</v>
      </c>
      <c r="B290" s="35" t="str">
        <f>'INCEXC B'!A290</f>
        <v>https://doi.org/10.1145/3772318.3790358</v>
      </c>
      <c r="C290" s="28" t="b">
        <f t="shared" si="1"/>
        <v>1</v>
      </c>
      <c r="D290" s="28" t="str">
        <f>'INCEXC A'!B290</f>
        <v>10.1145/3772318.3790358</v>
      </c>
      <c r="E290" s="28" t="str">
        <f>'INCEXC A'!C290</f>
        <v>From Overload to Convergence: Supporting Multi-Issue Human–AI Negotiation with Bayesian Visualization</v>
      </c>
      <c r="F290" s="28" t="str">
        <f>'INCEXC A'!D290</f>
        <v>Marilyn</v>
      </c>
      <c r="G290" s="28" t="str">
        <f>'INCEXC B'!D290</f>
        <v>Taylor</v>
      </c>
      <c r="H290" s="28" t="str">
        <f>'INCEXC A'!E290</f>
        <v>Exclude</v>
      </c>
      <c r="I290" s="28" t="str">
        <f>'INCEXC B'!E290</f>
        <v>Exclude</v>
      </c>
      <c r="J290" s="28" t="b">
        <f t="shared" si="2"/>
        <v>1</v>
      </c>
      <c r="K290" s="28" t="b">
        <f t="shared" si="3"/>
        <v>0</v>
      </c>
      <c r="L290" s="28" t="str">
        <f>'INCEXC A'!L290</f>
        <v/>
      </c>
      <c r="M290" s="28" t="str">
        <f>'INCEXC B'!L290</f>
        <v/>
      </c>
      <c r="O290" s="28" t="str">
        <f>'INCEXC A'!M290</f>
        <v/>
      </c>
      <c r="P290" s="28" t="str">
        <f>'INCEXC A'!N290</f>
        <v/>
      </c>
      <c r="Q290" s="28" t="str">
        <f>'INCEXC A'!O290</f>
        <v/>
      </c>
      <c r="R290" s="28" t="str">
        <f>'INCEXC B'!O290</f>
        <v/>
      </c>
      <c r="S290" s="28" t="str">
        <f>'INCEXC A'!P290</f>
        <v/>
      </c>
      <c r="T290" s="28" t="str">
        <f>'INCEXC B'!P290</f>
        <v/>
      </c>
      <c r="U290" s="28" t="b">
        <f t="shared" si="4"/>
        <v>1</v>
      </c>
      <c r="V290" s="28" t="b">
        <f t="shared" si="5"/>
        <v>0</v>
      </c>
    </row>
    <row r="291">
      <c r="A291" s="35" t="str">
        <f>'INCEXC A'!A291</f>
        <v>https://doi.org/10.1145/3772318.3790385</v>
      </c>
      <c r="B291" s="35" t="str">
        <f>'INCEXC B'!A291</f>
        <v>https://doi.org/10.1145/3772318.3790385</v>
      </c>
      <c r="C291" s="28" t="b">
        <f t="shared" si="1"/>
        <v>1</v>
      </c>
      <c r="D291" s="28" t="str">
        <f>'INCEXC A'!B291</f>
        <v>10.1145/3772318.3790385</v>
      </c>
      <c r="E291" s="28" t="str">
        <f>'INCEXC A'!C291</f>
        <v>Understanding Compliance and Conversion Dynamics in Multi-Agent Collectives</v>
      </c>
      <c r="F291" s="28" t="str">
        <f>'INCEXC A'!D291</f>
        <v>Marilyn</v>
      </c>
      <c r="G291" s="28" t="str">
        <f>'INCEXC B'!D291</f>
        <v>Taylor</v>
      </c>
      <c r="H291" s="28" t="str">
        <f>'INCEXC A'!E291</f>
        <v>Exclude</v>
      </c>
      <c r="I291" s="28" t="str">
        <f>'INCEXC B'!E291</f>
        <v>Include</v>
      </c>
      <c r="J291" s="28" t="b">
        <f t="shared" si="2"/>
        <v>0</v>
      </c>
      <c r="K291" s="28" t="b">
        <f t="shared" si="3"/>
        <v>0</v>
      </c>
      <c r="L291" s="28" t="str">
        <f>'INCEXC A'!L291</f>
        <v/>
      </c>
      <c r="M291" s="28" t="str">
        <f>'INCEXC B'!L291</f>
        <v/>
      </c>
      <c r="O291" s="28" t="str">
        <f>'INCEXC A'!M291</f>
        <v/>
      </c>
      <c r="P291" s="28" t="str">
        <f>'INCEXC A'!N291</f>
        <v/>
      </c>
      <c r="Q291" s="28" t="str">
        <f>'INCEXC A'!O291</f>
        <v/>
      </c>
      <c r="R291" s="28" t="str">
        <f>'INCEXC B'!O291</f>
        <v/>
      </c>
      <c r="S291" s="28" t="str">
        <f>'INCEXC A'!P291</f>
        <v/>
      </c>
      <c r="T291" s="28" t="str">
        <f>'INCEXC B'!P291</f>
        <v/>
      </c>
      <c r="U291" s="28" t="b">
        <f t="shared" si="4"/>
        <v>1</v>
      </c>
      <c r="V291" s="28" t="b">
        <f t="shared" si="5"/>
        <v>0</v>
      </c>
    </row>
    <row r="292" hidden="1">
      <c r="A292" s="35" t="str">
        <f>'INCEXC A'!A292</f>
        <v>https://doi.org/10.1145/3772318.3790388</v>
      </c>
      <c r="B292" s="35" t="str">
        <f>'INCEXC B'!A292</f>
        <v>https://doi.org/10.1145/3772318.3790388</v>
      </c>
      <c r="C292" s="28" t="b">
        <f t="shared" si="1"/>
        <v>1</v>
      </c>
      <c r="D292" s="28" t="str">
        <f>'INCEXC A'!B292</f>
        <v>10.1145/3772318.3790388</v>
      </c>
      <c r="E292" s="28" t="str">
        <f>'INCEXC A'!C292</f>
        <v>Vibe Check: Understanding the Effects of LLM-Based Conversational Agents' Personality and Alignment on User Perceptions in Goal-Oriented Tasks</v>
      </c>
      <c r="F292" s="28" t="str">
        <f>'INCEXC A'!D292</f>
        <v>Jonathan</v>
      </c>
      <c r="G292" s="28" t="str">
        <f>'INCEXC B'!D292</f>
        <v>Ceren</v>
      </c>
      <c r="H292" s="28" t="str">
        <f>'INCEXC A'!E292</f>
        <v>Exclude</v>
      </c>
      <c r="I292" s="28" t="str">
        <f>'INCEXC B'!E292</f>
        <v>Exclude</v>
      </c>
      <c r="J292" s="28" t="b">
        <f t="shared" si="2"/>
        <v>1</v>
      </c>
      <c r="K292" s="28" t="b">
        <f t="shared" si="3"/>
        <v>0</v>
      </c>
      <c r="L292" s="28" t="str">
        <f>'INCEXC A'!L292</f>
        <v/>
      </c>
      <c r="M292" s="28" t="str">
        <f>'INCEXC B'!L292</f>
        <v/>
      </c>
      <c r="O292" s="28" t="str">
        <f>'INCEXC A'!M292</f>
        <v/>
      </c>
      <c r="P292" s="28" t="str">
        <f>'INCEXC A'!N292</f>
        <v/>
      </c>
      <c r="Q292" s="28" t="str">
        <f>'INCEXC A'!O292</f>
        <v/>
      </c>
      <c r="R292" s="28" t="str">
        <f>'INCEXC B'!O292</f>
        <v/>
      </c>
      <c r="S292" s="28" t="str">
        <f>'INCEXC A'!P292</f>
        <v/>
      </c>
      <c r="T292" s="28" t="str">
        <f>'INCEXC B'!P292</f>
        <v/>
      </c>
      <c r="U292" s="28" t="b">
        <f t="shared" si="4"/>
        <v>1</v>
      </c>
      <c r="V292" s="28" t="b">
        <f t="shared" si="5"/>
        <v>0</v>
      </c>
    </row>
    <row r="293" hidden="1">
      <c r="A293" s="35" t="str">
        <f>'INCEXC A'!A293</f>
        <v>https://doi.org/10.1145/3772318.3790456</v>
      </c>
      <c r="B293" s="35" t="str">
        <f>'INCEXC B'!A293</f>
        <v>https://doi.org/10.1145/3772318.3790456</v>
      </c>
      <c r="C293" s="28" t="b">
        <f t="shared" si="1"/>
        <v>1</v>
      </c>
      <c r="D293" s="28" t="str">
        <f>'INCEXC A'!B293</f>
        <v>10.1145/3772318.3790456</v>
      </c>
      <c r="E293" s="28" t="str">
        <f>'INCEXC A'!C293</f>
        <v>ReVisor: A Reflective Design Tool for Instructional Designers to Improve Teacher Training Materials via AI Discussions</v>
      </c>
      <c r="F293" s="28" t="str">
        <f>'INCEXC A'!D293</f>
        <v>Marilyn</v>
      </c>
      <c r="G293" s="28" t="str">
        <f>'INCEXC B'!D293</f>
        <v>Ceren</v>
      </c>
      <c r="H293" s="28" t="str">
        <f>'INCEXC A'!E293</f>
        <v>Exclude</v>
      </c>
      <c r="I293" s="28" t="str">
        <f>'INCEXC B'!E293</f>
        <v>Exclude</v>
      </c>
      <c r="J293" s="28" t="b">
        <f t="shared" si="2"/>
        <v>1</v>
      </c>
      <c r="K293" s="28" t="b">
        <f t="shared" si="3"/>
        <v>0</v>
      </c>
      <c r="L293" s="28" t="str">
        <f>'INCEXC A'!L293</f>
        <v/>
      </c>
      <c r="M293" s="28" t="str">
        <f>'INCEXC B'!L293</f>
        <v/>
      </c>
      <c r="O293" s="28" t="str">
        <f>'INCEXC A'!M293</f>
        <v/>
      </c>
      <c r="P293" s="28" t="str">
        <f>'INCEXC A'!N293</f>
        <v/>
      </c>
      <c r="Q293" s="28" t="str">
        <f>'INCEXC A'!O293</f>
        <v/>
      </c>
      <c r="R293" s="28" t="str">
        <f>'INCEXC B'!O293</f>
        <v/>
      </c>
      <c r="S293" s="28" t="str">
        <f>'INCEXC A'!P293</f>
        <v/>
      </c>
      <c r="T293" s="28" t="str">
        <f>'INCEXC B'!P293</f>
        <v/>
      </c>
      <c r="U293" s="28" t="b">
        <f t="shared" si="4"/>
        <v>1</v>
      </c>
      <c r="V293" s="28" t="b">
        <f t="shared" si="5"/>
        <v>0</v>
      </c>
    </row>
    <row r="294" hidden="1">
      <c r="A294" s="35" t="str">
        <f>'INCEXC A'!A294</f>
        <v>https://doi.org/10.1145/3772318.3790461</v>
      </c>
      <c r="B294" s="35" t="str">
        <f>'INCEXC B'!A294</f>
        <v>https://doi.org/10.1145/3772318.3790461</v>
      </c>
      <c r="C294" s="28" t="b">
        <f t="shared" si="1"/>
        <v>1</v>
      </c>
      <c r="D294" s="28" t="str">
        <f>'INCEXC A'!B294</f>
        <v>10.1145/3772318.3790461</v>
      </c>
      <c r="E294" s="28" t="str">
        <f>'INCEXC A'!C294</f>
        <v>Rememo: A Research-through-Design Inquiry Towards an AI-in-the-loop Therapist’s Tool for Dementia Reminiscence</v>
      </c>
      <c r="F294" s="28" t="str">
        <f>'INCEXC A'!D294</f>
        <v>Jonathan</v>
      </c>
      <c r="G294" s="28" t="str">
        <f>'INCEXC B'!D294</f>
        <v>Danni</v>
      </c>
      <c r="H294" s="28" t="str">
        <f>'INCEXC A'!E294</f>
        <v>Exclude</v>
      </c>
      <c r="I294" s="28" t="str">
        <f>'INCEXC B'!E294</f>
        <v>Exclude</v>
      </c>
      <c r="J294" s="28" t="b">
        <f t="shared" si="2"/>
        <v>1</v>
      </c>
      <c r="K294" s="28" t="b">
        <f t="shared" si="3"/>
        <v>0</v>
      </c>
      <c r="L294" s="28" t="str">
        <f>'INCEXC A'!L294</f>
        <v/>
      </c>
      <c r="M294" s="28" t="str">
        <f>'INCEXC B'!L294</f>
        <v/>
      </c>
      <c r="O294" s="28" t="str">
        <f>'INCEXC A'!M294</f>
        <v/>
      </c>
      <c r="P294" s="28" t="str">
        <f>'INCEXC A'!N294</f>
        <v/>
      </c>
      <c r="Q294" s="28" t="str">
        <f>'INCEXC A'!O294</f>
        <v/>
      </c>
      <c r="R294" s="28" t="str">
        <f>'INCEXC B'!O294</f>
        <v/>
      </c>
      <c r="S294" s="28" t="str">
        <f>'INCEXC A'!P294</f>
        <v/>
      </c>
      <c r="T294" s="28" t="str">
        <f>'INCEXC B'!P294</f>
        <v/>
      </c>
      <c r="U294" s="28" t="b">
        <f t="shared" si="4"/>
        <v>1</v>
      </c>
      <c r="V294" s="28" t="b">
        <f t="shared" si="5"/>
        <v>0</v>
      </c>
    </row>
    <row r="295" hidden="1">
      <c r="A295" s="35" t="str">
        <f>'INCEXC A'!A295</f>
        <v>https://doi.org/10.1145/3772318.3790529</v>
      </c>
      <c r="B295" s="35" t="str">
        <f>'INCEXC B'!A295</f>
        <v>https://doi.org/10.1145/3772318.3790529</v>
      </c>
      <c r="C295" s="28" t="b">
        <f t="shared" si="1"/>
        <v>1</v>
      </c>
      <c r="D295" s="28" t="str">
        <f>'INCEXC A'!B295</f>
        <v>10.1145/3772318.3790529</v>
      </c>
      <c r="E295" s="28" t="str">
        <f>'INCEXC A'!C295</f>
        <v>MIND: Empowering Mental Health Clinicians with Multimodal Data Insights through a Narrative Dashboard</v>
      </c>
      <c r="F295" s="28" t="str">
        <f>'INCEXC A'!D295</f>
        <v>Jonathan</v>
      </c>
      <c r="G295" s="28" t="str">
        <f>'INCEXC B'!D295</f>
        <v>Danni</v>
      </c>
      <c r="H295" s="28" t="str">
        <f>'INCEXC A'!E295</f>
        <v>Exclude</v>
      </c>
      <c r="I295" s="28" t="str">
        <f>'INCEXC B'!E295</f>
        <v>Exclude</v>
      </c>
      <c r="J295" s="28" t="b">
        <f t="shared" si="2"/>
        <v>1</v>
      </c>
      <c r="K295" s="28" t="b">
        <f t="shared" si="3"/>
        <v>0</v>
      </c>
      <c r="L295" s="28" t="str">
        <f>'INCEXC A'!L295</f>
        <v/>
      </c>
      <c r="M295" s="28" t="str">
        <f>'INCEXC B'!L295</f>
        <v/>
      </c>
      <c r="O295" s="28" t="str">
        <f>'INCEXC A'!M295</f>
        <v/>
      </c>
      <c r="P295" s="28" t="str">
        <f>'INCEXC A'!N295</f>
        <v/>
      </c>
      <c r="Q295" s="28" t="str">
        <f>'INCEXC A'!O295</f>
        <v/>
      </c>
      <c r="R295" s="28" t="str">
        <f>'INCEXC B'!O295</f>
        <v/>
      </c>
      <c r="S295" s="28" t="str">
        <f>'INCEXC A'!P295</f>
        <v/>
      </c>
      <c r="T295" s="28" t="str">
        <f>'INCEXC B'!P295</f>
        <v/>
      </c>
      <c r="U295" s="28" t="b">
        <f t="shared" si="4"/>
        <v>1</v>
      </c>
      <c r="V295" s="28" t="b">
        <f t="shared" si="5"/>
        <v>0</v>
      </c>
    </row>
    <row r="296" hidden="1">
      <c r="A296" s="35" t="str">
        <f>'INCEXC A'!A296</f>
        <v>https://doi.org/10.1145/3772318.3790586</v>
      </c>
      <c r="B296" s="35" t="str">
        <f>'INCEXC B'!A296</f>
        <v>https://doi.org/10.1145/3772318.3790586</v>
      </c>
      <c r="C296" s="28" t="b">
        <f t="shared" si="1"/>
        <v>1</v>
      </c>
      <c r="D296" s="28" t="str">
        <f>'INCEXC A'!B296</f>
        <v>10.1145/3772318.3790586</v>
      </c>
      <c r="E296" s="28" t="str">
        <f>'INCEXC A'!C296</f>
        <v>“Tinged with Heartbreak”: An Ethnographic Account of Navigating Autistic Loneliness and the Fragile Promise of AI Companionship: “Tinged with Heartbreak”: “Tinged with Heartbreak”</v>
      </c>
      <c r="F296" s="28" t="str">
        <f>'INCEXC A'!D296</f>
        <v>Marilyn</v>
      </c>
      <c r="G296" s="28" t="str">
        <f>'INCEXC B'!D296</f>
        <v>Ceren</v>
      </c>
      <c r="H296" s="28" t="str">
        <f>'INCEXC A'!E296</f>
        <v>Exclude</v>
      </c>
      <c r="I296" s="28" t="str">
        <f>'INCEXC B'!E296</f>
        <v>Exclude</v>
      </c>
      <c r="J296" s="28" t="b">
        <f t="shared" si="2"/>
        <v>1</v>
      </c>
      <c r="K296" s="28" t="b">
        <f t="shared" si="3"/>
        <v>0</v>
      </c>
      <c r="L296" s="28" t="str">
        <f>'INCEXC A'!L296</f>
        <v/>
      </c>
      <c r="M296" s="28" t="str">
        <f>'INCEXC B'!L296</f>
        <v/>
      </c>
      <c r="O296" s="28" t="str">
        <f>'INCEXC A'!M296</f>
        <v/>
      </c>
      <c r="P296" s="28" t="str">
        <f>'INCEXC A'!N296</f>
        <v/>
      </c>
      <c r="Q296" s="28" t="str">
        <f>'INCEXC A'!O296</f>
        <v/>
      </c>
      <c r="R296" s="28" t="str">
        <f>'INCEXC B'!O296</f>
        <v/>
      </c>
      <c r="S296" s="28" t="str">
        <f>'INCEXC A'!P296</f>
        <v/>
      </c>
      <c r="T296" s="28" t="str">
        <f>'INCEXC B'!P296</f>
        <v/>
      </c>
      <c r="U296" s="28" t="b">
        <f t="shared" si="4"/>
        <v>1</v>
      </c>
      <c r="V296" s="28" t="b">
        <f t="shared" si="5"/>
        <v>0</v>
      </c>
    </row>
    <row r="297" hidden="1">
      <c r="A297" s="35" t="str">
        <f>'INCEXC A'!A297</f>
        <v>https://doi.org/10.1145/3772318.3790685</v>
      </c>
      <c r="B297" s="35" t="str">
        <f>'INCEXC B'!A297</f>
        <v>https://doi.org/10.1145/3772318.3790685</v>
      </c>
      <c r="C297" s="28" t="b">
        <f t="shared" si="1"/>
        <v>1</v>
      </c>
      <c r="D297" s="28" t="str">
        <f>'INCEXC A'!B297</f>
        <v>10.1145/3772318.3790685</v>
      </c>
      <c r="E297" s="28" t="str">
        <f>'INCEXC A'!C297</f>
        <v>PuppetChat: Fostering Intimate Communication through Bidirectional Actions and Micronarratives</v>
      </c>
      <c r="F297" s="28" t="str">
        <f>'INCEXC A'!D297</f>
        <v>Jonathan</v>
      </c>
      <c r="G297" s="28" t="str">
        <f>'INCEXC B'!D297</f>
        <v>Taylor</v>
      </c>
      <c r="H297" s="28" t="str">
        <f>'INCEXC A'!E297</f>
        <v>Exclude</v>
      </c>
      <c r="I297" s="28" t="str">
        <f>'INCEXC B'!E297</f>
        <v>Exclude</v>
      </c>
      <c r="J297" s="28" t="b">
        <f t="shared" si="2"/>
        <v>1</v>
      </c>
      <c r="K297" s="28" t="b">
        <f t="shared" si="3"/>
        <v>0</v>
      </c>
      <c r="L297" s="28" t="str">
        <f>'INCEXC A'!L297</f>
        <v/>
      </c>
      <c r="M297" s="28" t="str">
        <f>'INCEXC B'!L297</f>
        <v/>
      </c>
      <c r="O297" s="28" t="str">
        <f>'INCEXC A'!M297</f>
        <v/>
      </c>
      <c r="P297" s="28" t="str">
        <f>'INCEXC A'!N297</f>
        <v/>
      </c>
      <c r="Q297" s="28" t="str">
        <f>'INCEXC A'!O297</f>
        <v/>
      </c>
      <c r="R297" s="28" t="str">
        <f>'INCEXC B'!O297</f>
        <v/>
      </c>
      <c r="S297" s="28" t="str">
        <f>'INCEXC A'!P297</f>
        <v/>
      </c>
      <c r="T297" s="28" t="str">
        <f>'INCEXC B'!P297</f>
        <v/>
      </c>
      <c r="U297" s="28" t="b">
        <f t="shared" si="4"/>
        <v>1</v>
      </c>
      <c r="V297" s="28" t="b">
        <f t="shared" si="5"/>
        <v>0</v>
      </c>
    </row>
    <row r="298" hidden="1">
      <c r="A298" s="35" t="str">
        <f>'INCEXC A'!A298</f>
        <v>https://doi.org/10.1145/3772318.3790697</v>
      </c>
      <c r="B298" s="35" t="str">
        <f>'INCEXC B'!A298</f>
        <v>https://doi.org/10.1145/3772318.3790697</v>
      </c>
      <c r="C298" s="28" t="b">
        <f t="shared" si="1"/>
        <v>1</v>
      </c>
      <c r="D298" s="28" t="str">
        <f>'INCEXC A'!B298</f>
        <v>10.1145/3772318.3790697</v>
      </c>
      <c r="E298" s="28" t="str">
        <f>'INCEXC A'!C298</f>
        <v>Scaffolding Metacognition with GenAI: Exploring Design Opportunities to Support Task Management for University Students with ADHD</v>
      </c>
      <c r="F298" s="28" t="str">
        <f>'INCEXC A'!D298</f>
        <v>Kaiser</v>
      </c>
      <c r="G298" s="28" t="str">
        <f>'INCEXC B'!D298</f>
        <v>Ceren</v>
      </c>
      <c r="H298" s="28" t="str">
        <f>'INCEXC A'!E298</f>
        <v>Exclude</v>
      </c>
      <c r="I298" s="28" t="str">
        <f>'INCEXC B'!E298</f>
        <v>Exclude</v>
      </c>
      <c r="J298" s="28" t="b">
        <f t="shared" si="2"/>
        <v>1</v>
      </c>
      <c r="K298" s="28" t="b">
        <f t="shared" si="3"/>
        <v>0</v>
      </c>
      <c r="L298" s="28" t="str">
        <f>'INCEXC A'!L298</f>
        <v/>
      </c>
      <c r="M298" s="28" t="str">
        <f>'INCEXC B'!L298</f>
        <v/>
      </c>
      <c r="O298" s="28" t="str">
        <f>'INCEXC A'!M298</f>
        <v/>
      </c>
      <c r="P298" s="28" t="str">
        <f>'INCEXC A'!N298</f>
        <v/>
      </c>
      <c r="Q298" s="28" t="str">
        <f>'INCEXC A'!O298</f>
        <v/>
      </c>
      <c r="R298" s="28" t="str">
        <f>'INCEXC B'!O298</f>
        <v/>
      </c>
      <c r="S298" s="28" t="str">
        <f>'INCEXC A'!P298</f>
        <v/>
      </c>
      <c r="T298" s="28" t="str">
        <f>'INCEXC B'!P298</f>
        <v/>
      </c>
      <c r="U298" s="28" t="b">
        <f t="shared" si="4"/>
        <v>1</v>
      </c>
      <c r="V298" s="28" t="b">
        <f t="shared" si="5"/>
        <v>0</v>
      </c>
    </row>
    <row r="299" hidden="1">
      <c r="A299" s="35" t="str">
        <f>'INCEXC A'!A299</f>
        <v>https://doi.org/10.1145/3772318.3790739</v>
      </c>
      <c r="B299" s="35" t="str">
        <f>'INCEXC B'!A299</f>
        <v>https://doi.org/10.1145/3772318.3790739</v>
      </c>
      <c r="C299" s="28" t="b">
        <f t="shared" si="1"/>
        <v>1</v>
      </c>
      <c r="D299" s="28" t="str">
        <f>'INCEXC A'!B299</f>
        <v>10.1145/3772318.3790739</v>
      </c>
      <c r="E299" s="28" t="str">
        <f>'INCEXC A'!C299</f>
        <v>Chat	Should I Leave Him? Risks</v>
      </c>
      <c r="F299" s="28" t="str">
        <f>'INCEXC A'!D299</f>
        <v>Jonathan</v>
      </c>
      <c r="G299" s="28" t="str">
        <f>'INCEXC B'!D299</f>
        <v>Danni</v>
      </c>
      <c r="H299" s="28" t="str">
        <f>'INCEXC A'!E299</f>
        <v>Exclude</v>
      </c>
      <c r="I299" s="28" t="str">
        <f>'INCEXC B'!E299</f>
        <v>Exclude</v>
      </c>
      <c r="J299" s="28" t="b">
        <f t="shared" si="2"/>
        <v>1</v>
      </c>
      <c r="K299" s="28" t="b">
        <f t="shared" si="3"/>
        <v>0</v>
      </c>
      <c r="L299" s="28" t="str">
        <f>'INCEXC A'!L299</f>
        <v/>
      </c>
      <c r="M299" s="28" t="str">
        <f>'INCEXC B'!L299</f>
        <v/>
      </c>
      <c r="O299" s="28" t="str">
        <f>'INCEXC A'!M299</f>
        <v/>
      </c>
      <c r="P299" s="28" t="str">
        <f>'INCEXC A'!N299</f>
        <v/>
      </c>
      <c r="Q299" s="28" t="str">
        <f>'INCEXC A'!O299</f>
        <v/>
      </c>
      <c r="R299" s="28" t="str">
        <f>'INCEXC B'!O299</f>
        <v/>
      </c>
      <c r="S299" s="28" t="str">
        <f>'INCEXC A'!P299</f>
        <v/>
      </c>
      <c r="T299" s="28" t="str">
        <f>'INCEXC B'!P299</f>
        <v/>
      </c>
      <c r="U299" s="28" t="b">
        <f t="shared" si="4"/>
        <v>1</v>
      </c>
      <c r="V299" s="28" t="b">
        <f t="shared" si="5"/>
        <v>0</v>
      </c>
    </row>
    <row r="300" hidden="1">
      <c r="A300" s="35" t="str">
        <f>'INCEXC A'!A300</f>
        <v>https://doi.org/10.1145/3772318.3790812</v>
      </c>
      <c r="B300" s="35" t="str">
        <f>'INCEXC B'!A300</f>
        <v>https://doi.org/10.1145/3772318.3790812</v>
      </c>
      <c r="C300" s="28" t="b">
        <f t="shared" si="1"/>
        <v>1</v>
      </c>
      <c r="D300" s="28" t="str">
        <f>'INCEXC A'!B300</f>
        <v>10.1145/3772318.3790812</v>
      </c>
      <c r="E300" s="28" t="str">
        <f>'INCEXC A'!C300</f>
        <v>Sometimes You Need Facts</v>
      </c>
      <c r="F300" s="28" t="str">
        <f>'INCEXC A'!D300</f>
        <v>Marilyn</v>
      </c>
      <c r="G300" s="28" t="str">
        <f>'INCEXC B'!D300</f>
        <v>Danni</v>
      </c>
      <c r="H300" s="28" t="str">
        <f>'INCEXC A'!E300</f>
        <v>Exclude</v>
      </c>
      <c r="I300" s="28" t="str">
        <f>'INCEXC B'!E300</f>
        <v>Exclude</v>
      </c>
      <c r="J300" s="28" t="b">
        <f t="shared" si="2"/>
        <v>1</v>
      </c>
      <c r="K300" s="28" t="b">
        <f t="shared" si="3"/>
        <v>0</v>
      </c>
      <c r="L300" s="28" t="str">
        <f>'INCEXC A'!L300</f>
        <v/>
      </c>
      <c r="M300" s="28" t="str">
        <f>'INCEXC B'!L300</f>
        <v/>
      </c>
      <c r="O300" s="28" t="str">
        <f>'INCEXC A'!M300</f>
        <v/>
      </c>
      <c r="P300" s="28" t="str">
        <f>'INCEXC A'!N300</f>
        <v/>
      </c>
      <c r="Q300" s="28" t="str">
        <f>'INCEXC A'!O300</f>
        <v/>
      </c>
      <c r="R300" s="28" t="str">
        <f>'INCEXC B'!O300</f>
        <v/>
      </c>
      <c r="S300" s="28" t="str">
        <f>'INCEXC A'!P300</f>
        <v/>
      </c>
      <c r="T300" s="28" t="str">
        <f>'INCEXC B'!P300</f>
        <v/>
      </c>
      <c r="U300" s="28" t="b">
        <f t="shared" si="4"/>
        <v>1</v>
      </c>
      <c r="V300" s="28" t="b">
        <f t="shared" si="5"/>
        <v>0</v>
      </c>
    </row>
    <row r="301" hidden="1">
      <c r="A301" s="35" t="str">
        <f>'INCEXC A'!A301</f>
        <v>https://doi.org/10.1145/3772318.3790859</v>
      </c>
      <c r="B301" s="35" t="str">
        <f>'INCEXC B'!A301</f>
        <v>https://doi.org/10.1145/3772318.3790859</v>
      </c>
      <c r="C301" s="28" t="b">
        <f t="shared" si="1"/>
        <v>1</v>
      </c>
      <c r="D301" s="28" t="str">
        <f>'INCEXC A'!B301</f>
        <v>10.1145/3772318.3790859</v>
      </c>
      <c r="E301" s="28" t="str">
        <f>'INCEXC A'!C301</f>
        <v>AI-Facilitated Coercive Control: An Experimental Study</v>
      </c>
      <c r="F301" s="28" t="str">
        <f>'INCEXC A'!D301</f>
        <v>Jonathan</v>
      </c>
      <c r="G301" s="28" t="str">
        <f>'INCEXC B'!D301</f>
        <v>Danni</v>
      </c>
      <c r="H301" s="28" t="str">
        <f>'INCEXC A'!E301</f>
        <v>Exclude</v>
      </c>
      <c r="I301" s="28" t="str">
        <f>'INCEXC B'!E301</f>
        <v>Exclude</v>
      </c>
      <c r="J301" s="28" t="b">
        <f t="shared" si="2"/>
        <v>1</v>
      </c>
      <c r="K301" s="28" t="b">
        <f t="shared" si="3"/>
        <v>0</v>
      </c>
      <c r="L301" s="28" t="str">
        <f>'INCEXC A'!L301</f>
        <v/>
      </c>
      <c r="M301" s="28" t="str">
        <f>'INCEXC B'!L301</f>
        <v/>
      </c>
      <c r="O301" s="28" t="str">
        <f>'INCEXC A'!M301</f>
        <v/>
      </c>
      <c r="P301" s="28" t="str">
        <f>'INCEXC A'!N301</f>
        <v/>
      </c>
      <c r="Q301" s="28" t="str">
        <f>'INCEXC A'!O301</f>
        <v/>
      </c>
      <c r="R301" s="28" t="str">
        <f>'INCEXC B'!O301</f>
        <v/>
      </c>
      <c r="S301" s="28" t="str">
        <f>'INCEXC A'!P301</f>
        <v/>
      </c>
      <c r="T301" s="28" t="str">
        <f>'INCEXC B'!P301</f>
        <v/>
      </c>
      <c r="U301" s="28" t="b">
        <f t="shared" si="4"/>
        <v>1</v>
      </c>
      <c r="V301" s="28" t="b">
        <f t="shared" si="5"/>
        <v>0</v>
      </c>
    </row>
    <row r="302" hidden="1">
      <c r="A302" s="35" t="str">
        <f>'INCEXC A'!A302</f>
        <v>https://doi.org/10.1145/3772318.3790907</v>
      </c>
      <c r="B302" s="35" t="str">
        <f>'INCEXC B'!A302</f>
        <v>https://doi.org/10.1145/3772318.3790907</v>
      </c>
      <c r="C302" s="28" t="b">
        <f t="shared" si="1"/>
        <v>1</v>
      </c>
      <c r="D302" s="28" t="str">
        <f>'INCEXC A'!B302</f>
        <v>10.1145/3772318.3790907</v>
      </c>
      <c r="E302" s="28" t="str">
        <f>'INCEXC A'!C302</f>
        <v>Generative AI in Children's Creative Collaboration: Impact</v>
      </c>
      <c r="F302" s="28" t="str">
        <f>'INCEXC A'!D302</f>
        <v>Jonathan</v>
      </c>
      <c r="G302" s="28" t="str">
        <f>'INCEXC B'!D302</f>
        <v>Danni</v>
      </c>
      <c r="H302" s="28" t="str">
        <f>'INCEXC A'!E302</f>
        <v>Exclude</v>
      </c>
      <c r="I302" s="28" t="str">
        <f>'INCEXC B'!E302</f>
        <v>Exclude</v>
      </c>
      <c r="J302" s="28" t="b">
        <f t="shared" si="2"/>
        <v>1</v>
      </c>
      <c r="K302" s="28" t="b">
        <f t="shared" si="3"/>
        <v>0</v>
      </c>
      <c r="L302" s="28" t="str">
        <f>'INCEXC A'!L302</f>
        <v/>
      </c>
      <c r="M302" s="28" t="str">
        <f>'INCEXC B'!L302</f>
        <v/>
      </c>
      <c r="O302" s="28" t="str">
        <f>'INCEXC A'!M302</f>
        <v/>
      </c>
      <c r="P302" s="28" t="str">
        <f>'INCEXC A'!N302</f>
        <v/>
      </c>
      <c r="Q302" s="28" t="str">
        <f>'INCEXC A'!O302</f>
        <v/>
      </c>
      <c r="R302" s="28" t="str">
        <f>'INCEXC B'!O302</f>
        <v/>
      </c>
      <c r="S302" s="28" t="str">
        <f>'INCEXC A'!P302</f>
        <v/>
      </c>
      <c r="T302" s="28" t="str">
        <f>'INCEXC B'!P302</f>
        <v/>
      </c>
      <c r="U302" s="28" t="b">
        <f t="shared" si="4"/>
        <v>1</v>
      </c>
      <c r="V302" s="28" t="b">
        <f t="shared" si="5"/>
        <v>0</v>
      </c>
    </row>
    <row r="303">
      <c r="A303" s="35" t="str">
        <f>'INCEXC A'!A303</f>
        <v>https://doi.org/10.1145/3772318.3790934</v>
      </c>
      <c r="B303" s="35" t="str">
        <f>'INCEXC B'!A303</f>
        <v>https://doi.org/10.1145/3772318.3790934</v>
      </c>
      <c r="C303" s="28" t="b">
        <f t="shared" si="1"/>
        <v>1</v>
      </c>
      <c r="D303" s="28" t="str">
        <f>'INCEXC A'!B303</f>
        <v>10.1145/3772318.3790934</v>
      </c>
      <c r="E303" s="28" t="str">
        <f>'INCEXC A'!C303</f>
        <v>Does Sycophancy Change Decisions? Effect of LLM Sycophancy on AI-Assisted Decision-Making</v>
      </c>
      <c r="F303" s="28" t="str">
        <f>'INCEXC A'!D303</f>
        <v>Jonathan</v>
      </c>
      <c r="G303" s="28" t="str">
        <f>'INCEXC B'!D303</f>
        <v>Ceren</v>
      </c>
      <c r="H303" s="28" t="str">
        <f>'INCEXC A'!E303</f>
        <v>Include</v>
      </c>
      <c r="I303" s="28" t="str">
        <f>'INCEXC B'!E303</f>
        <v>Include</v>
      </c>
      <c r="J303" s="28" t="b">
        <f t="shared" si="2"/>
        <v>1</v>
      </c>
      <c r="K303" s="28" t="b">
        <f t="shared" si="3"/>
        <v>1</v>
      </c>
      <c r="L303" s="28" t="str">
        <f>'INCEXC A'!L303</f>
        <v/>
      </c>
      <c r="M303" s="28" t="str">
        <f>'INCEXC B'!L303</f>
        <v/>
      </c>
      <c r="O303" s="28" t="str">
        <f>'INCEXC A'!M303</f>
        <v/>
      </c>
      <c r="P303" s="28" t="str">
        <f>'INCEXC A'!N303</f>
        <v/>
      </c>
      <c r="Q303" s="28" t="str">
        <f>'INCEXC A'!O303</f>
        <v/>
      </c>
      <c r="R303" s="28" t="str">
        <f>'INCEXC B'!O303</f>
        <v/>
      </c>
      <c r="S303" s="28" t="str">
        <f>'INCEXC A'!P303</f>
        <v/>
      </c>
      <c r="T303" s="28" t="str">
        <f>'INCEXC B'!P303</f>
        <v/>
      </c>
      <c r="U303" s="28" t="b">
        <f t="shared" si="4"/>
        <v>1</v>
      </c>
      <c r="V303" s="28" t="b">
        <f t="shared" si="5"/>
        <v>0</v>
      </c>
    </row>
    <row r="304" hidden="1">
      <c r="A304" s="35" t="str">
        <f>'INCEXC A'!A304</f>
        <v>https://doi.org/10.1145/3772318.3791012</v>
      </c>
      <c r="B304" s="35" t="str">
        <f>'INCEXC B'!A304</f>
        <v>https://doi.org/10.1145/3772318.3791012</v>
      </c>
      <c r="C304" s="28" t="b">
        <f t="shared" si="1"/>
        <v>1</v>
      </c>
      <c r="D304" s="28" t="str">
        <f>'INCEXC A'!B304</f>
        <v>10.1145/3772318.3791012</v>
      </c>
      <c r="E304" s="28" t="str">
        <f>'INCEXC A'!C304</f>
        <v>Mapping the Landscape of Affective Extended Reality: A Scoping Review of Biodata-Driven Systems for Understanding and Sharing Emotions</v>
      </c>
      <c r="F304" s="28" t="str">
        <f>'INCEXC A'!D304</f>
        <v>Jonathan</v>
      </c>
      <c r="G304" s="28" t="str">
        <f>'INCEXC B'!D304</f>
        <v>Ceren</v>
      </c>
      <c r="H304" s="28" t="str">
        <f>'INCEXC A'!E304</f>
        <v>Exclude</v>
      </c>
      <c r="I304" s="28" t="str">
        <f>'INCEXC B'!E304</f>
        <v>Exclude</v>
      </c>
      <c r="J304" s="28" t="b">
        <f t="shared" si="2"/>
        <v>1</v>
      </c>
      <c r="K304" s="28" t="b">
        <f t="shared" si="3"/>
        <v>0</v>
      </c>
      <c r="L304" s="28" t="str">
        <f>'INCEXC A'!L304</f>
        <v/>
      </c>
      <c r="M304" s="28" t="str">
        <f>'INCEXC B'!L304</f>
        <v/>
      </c>
      <c r="O304" s="28" t="str">
        <f>'INCEXC A'!M304</f>
        <v/>
      </c>
      <c r="P304" s="28" t="str">
        <f>'INCEXC A'!N304</f>
        <v/>
      </c>
      <c r="Q304" s="28" t="str">
        <f>'INCEXC A'!O304</f>
        <v/>
      </c>
      <c r="R304" s="28" t="str">
        <f>'INCEXC B'!O304</f>
        <v/>
      </c>
      <c r="S304" s="28" t="str">
        <f>'INCEXC A'!P304</f>
        <v/>
      </c>
      <c r="T304" s="28" t="str">
        <f>'INCEXC B'!P304</f>
        <v/>
      </c>
      <c r="U304" s="28" t="b">
        <f t="shared" si="4"/>
        <v>1</v>
      </c>
      <c r="V304" s="28" t="b">
        <f t="shared" si="5"/>
        <v>0</v>
      </c>
    </row>
    <row r="305" hidden="1">
      <c r="A305" s="35" t="str">
        <f>'INCEXC A'!A305</f>
        <v>https://doi.org/10.1145/3772318.3791060</v>
      </c>
      <c r="B305" s="35" t="str">
        <f>'INCEXC B'!A305</f>
        <v>https://doi.org/10.1145/3772318.3791060</v>
      </c>
      <c r="C305" s="28" t="b">
        <f t="shared" si="1"/>
        <v>1</v>
      </c>
      <c r="D305" s="28" t="str">
        <f>'INCEXC A'!B305</f>
        <v>10.1145/3772318.3791060</v>
      </c>
      <c r="E305" s="28" t="str">
        <f>'INCEXC A'!C305</f>
        <v>'It Hasn’t Lived in Our Society”: Investigating Cultural Sensitivity in LLM Chatbots for Emotional Support</v>
      </c>
      <c r="F305" s="28" t="str">
        <f>'INCEXC A'!D305</f>
        <v>Marilyn</v>
      </c>
      <c r="G305" s="28" t="str">
        <f>'INCEXC B'!D305</f>
        <v>Taylor</v>
      </c>
      <c r="H305" s="28" t="str">
        <f>'INCEXC A'!E305</f>
        <v>Exclude</v>
      </c>
      <c r="I305" s="28" t="str">
        <f>'INCEXC B'!E305</f>
        <v>Exclude</v>
      </c>
      <c r="J305" s="28" t="b">
        <f t="shared" si="2"/>
        <v>1</v>
      </c>
      <c r="K305" s="28" t="b">
        <f t="shared" si="3"/>
        <v>0</v>
      </c>
      <c r="L305" s="28" t="str">
        <f>'INCEXC A'!L305</f>
        <v/>
      </c>
      <c r="M305" s="28" t="str">
        <f>'INCEXC B'!L305</f>
        <v/>
      </c>
      <c r="O305" s="28" t="str">
        <f>'INCEXC A'!M305</f>
        <v/>
      </c>
      <c r="P305" s="28" t="str">
        <f>'INCEXC A'!N305</f>
        <v/>
      </c>
      <c r="Q305" s="28" t="str">
        <f>'INCEXC A'!O305</f>
        <v/>
      </c>
      <c r="R305" s="28" t="str">
        <f>'INCEXC B'!O305</f>
        <v/>
      </c>
      <c r="S305" s="28" t="str">
        <f>'INCEXC A'!P305</f>
        <v/>
      </c>
      <c r="T305" s="28" t="str">
        <f>'INCEXC B'!P305</f>
        <v/>
      </c>
      <c r="U305" s="28" t="b">
        <f t="shared" si="4"/>
        <v>1</v>
      </c>
      <c r="V305" s="28" t="b">
        <f t="shared" si="5"/>
        <v>0</v>
      </c>
    </row>
    <row r="306" hidden="1">
      <c r="A306" s="35" t="str">
        <f>'INCEXC A'!A306</f>
        <v>https://doi.org/10.1145/3772318.3791068</v>
      </c>
      <c r="B306" s="35" t="str">
        <f>'INCEXC B'!A306</f>
        <v>https://doi.org/10.1145/3772318.3791068</v>
      </c>
      <c r="C306" s="28" t="b">
        <f t="shared" si="1"/>
        <v>1</v>
      </c>
      <c r="D306" s="28" t="str">
        <f>'INCEXC A'!B306</f>
        <v>10.1145/3772318.3791068</v>
      </c>
      <c r="E306" s="28" t="str">
        <f>'INCEXC A'!C306</f>
        <v>LLM-based Embodied Conversational Agent for Reducing Foreign Language Speaking Anxiety in Social VR</v>
      </c>
      <c r="F306" s="28" t="str">
        <f>'INCEXC A'!D306</f>
        <v>Marilyn</v>
      </c>
      <c r="G306" s="28" t="str">
        <f>'INCEXC B'!D306</f>
        <v>Taylor</v>
      </c>
      <c r="H306" s="28" t="str">
        <f>'INCEXC A'!E306</f>
        <v>Exclude</v>
      </c>
      <c r="I306" s="28" t="str">
        <f>'INCEXC B'!E306</f>
        <v>Exclude</v>
      </c>
      <c r="J306" s="28" t="b">
        <f t="shared" si="2"/>
        <v>1</v>
      </c>
      <c r="K306" s="28" t="b">
        <f t="shared" si="3"/>
        <v>0</v>
      </c>
      <c r="L306" s="28" t="str">
        <f>'INCEXC A'!L306</f>
        <v/>
      </c>
      <c r="M306" s="28" t="str">
        <f>'INCEXC B'!L306</f>
        <v/>
      </c>
      <c r="O306" s="28" t="str">
        <f>'INCEXC A'!M306</f>
        <v/>
      </c>
      <c r="P306" s="28" t="str">
        <f>'INCEXC A'!N306</f>
        <v/>
      </c>
      <c r="Q306" s="28" t="str">
        <f>'INCEXC A'!O306</f>
        <v/>
      </c>
      <c r="R306" s="28" t="str">
        <f>'INCEXC B'!O306</f>
        <v/>
      </c>
      <c r="S306" s="28" t="str">
        <f>'INCEXC A'!P306</f>
        <v/>
      </c>
      <c r="T306" s="28" t="str">
        <f>'INCEXC B'!P306</f>
        <v/>
      </c>
      <c r="U306" s="28" t="b">
        <f t="shared" si="4"/>
        <v>1</v>
      </c>
      <c r="V306" s="28" t="b">
        <f t="shared" si="5"/>
        <v>0</v>
      </c>
    </row>
    <row r="307">
      <c r="A307" s="35" t="str">
        <f>'INCEXC A'!A307</f>
        <v>https://doi.org/10.1145/3772318.3791079</v>
      </c>
      <c r="B307" s="35" t="str">
        <f>'INCEXC B'!A307</f>
        <v>https://doi.org/10.1145/3772318.3791079</v>
      </c>
      <c r="C307" s="28" t="b">
        <f t="shared" si="1"/>
        <v>1</v>
      </c>
      <c r="D307" s="28" t="str">
        <f>'INCEXC A'!B307</f>
        <v>10.1145/3772318.3791079</v>
      </c>
      <c r="E307" s="28" t="str">
        <f>'INCEXC A'!C307</f>
        <v>Be Friendly</v>
      </c>
      <c r="F307" s="28" t="str">
        <f>'INCEXC A'!D307</f>
        <v>Kaiser</v>
      </c>
      <c r="G307" s="28" t="str">
        <f>'INCEXC B'!D307</f>
        <v>Taylor</v>
      </c>
      <c r="H307" s="28" t="str">
        <f>'INCEXC A'!E307</f>
        <v>Include</v>
      </c>
      <c r="I307" s="28" t="str">
        <f>'INCEXC B'!E307</f>
        <v>Include</v>
      </c>
      <c r="J307" s="28" t="b">
        <f t="shared" si="2"/>
        <v>1</v>
      </c>
      <c r="K307" s="28" t="b">
        <f t="shared" si="3"/>
        <v>1</v>
      </c>
      <c r="L307" s="28" t="str">
        <f>'INCEXC A'!L307</f>
        <v/>
      </c>
      <c r="M307" s="28" t="str">
        <f>'INCEXC B'!L307</f>
        <v/>
      </c>
      <c r="O307" s="28" t="str">
        <f>'INCEXC A'!M307</f>
        <v/>
      </c>
      <c r="P307" s="28" t="str">
        <f>'INCEXC A'!N307</f>
        <v/>
      </c>
      <c r="Q307" s="28" t="str">
        <f>'INCEXC A'!O307</f>
        <v/>
      </c>
      <c r="R307" s="28" t="str">
        <f>'INCEXC B'!O307</f>
        <v/>
      </c>
      <c r="S307" s="28" t="str">
        <f>'INCEXC A'!P307</f>
        <v/>
      </c>
      <c r="T307" s="28" t="str">
        <f>'INCEXC B'!P307</f>
        <v/>
      </c>
      <c r="U307" s="28" t="b">
        <f t="shared" si="4"/>
        <v>1</v>
      </c>
      <c r="V307" s="28" t="b">
        <f t="shared" si="5"/>
        <v>0</v>
      </c>
    </row>
    <row r="308">
      <c r="A308" s="35" t="str">
        <f>'INCEXC A'!A308</f>
        <v>https://doi.org/10.1145/3772318.3791149</v>
      </c>
      <c r="B308" s="35" t="str">
        <f>'INCEXC B'!A308</f>
        <v>https://doi.org/10.1145/3772318.3791149</v>
      </c>
      <c r="C308" s="28" t="b">
        <f t="shared" si="1"/>
        <v>1</v>
      </c>
      <c r="D308" s="28" t="str">
        <f>'INCEXC A'!B308</f>
        <v>10.1145/3772318.3791149</v>
      </c>
      <c r="E308" s="28" t="str">
        <f>'INCEXC A'!C308</f>
        <v>The Siren Song of LLMs: How Users Perceive and Respond to Dark Patterns in Large Language Models</v>
      </c>
      <c r="F308" s="28" t="str">
        <f>'INCEXC A'!D308</f>
        <v>Jonathan</v>
      </c>
      <c r="G308" s="28" t="str">
        <f>'INCEXC B'!D308</f>
        <v>Danni</v>
      </c>
      <c r="H308" s="28" t="str">
        <f>'INCEXC A'!E308</f>
        <v>Include</v>
      </c>
      <c r="I308" s="28" t="str">
        <f>'INCEXC B'!E308</f>
        <v>Include</v>
      </c>
      <c r="J308" s="28" t="b">
        <f t="shared" si="2"/>
        <v>1</v>
      </c>
      <c r="K308" s="28" t="b">
        <f t="shared" si="3"/>
        <v>1</v>
      </c>
      <c r="L308" s="28" t="str">
        <f>'INCEXC A'!L308</f>
        <v/>
      </c>
      <c r="M308" s="28" t="str">
        <f>'INCEXC B'!L308</f>
        <v/>
      </c>
      <c r="O308" s="28" t="str">
        <f>'INCEXC A'!M308</f>
        <v/>
      </c>
      <c r="P308" s="28" t="str">
        <f>'INCEXC A'!N308</f>
        <v/>
      </c>
      <c r="Q308" s="28" t="str">
        <f>'INCEXC A'!O308</f>
        <v/>
      </c>
      <c r="R308" s="28" t="str">
        <f>'INCEXC B'!O308</f>
        <v/>
      </c>
      <c r="S308" s="28" t="str">
        <f>'INCEXC A'!P308</f>
        <v/>
      </c>
      <c r="T308" s="28" t="str">
        <f>'INCEXC B'!P308</f>
        <v/>
      </c>
      <c r="U308" s="28" t="b">
        <f t="shared" si="4"/>
        <v>1</v>
      </c>
      <c r="V308" s="28" t="b">
        <f t="shared" si="5"/>
        <v>0</v>
      </c>
    </row>
    <row r="309">
      <c r="A309" s="35" t="str">
        <f>'INCEXC A'!A309</f>
        <v>https://doi.org/10.1145/3772318.3791233</v>
      </c>
      <c r="B309" s="35" t="str">
        <f>'INCEXC B'!A309</f>
        <v>https://doi.org/10.1145/3772318.3791233</v>
      </c>
      <c r="C309" s="28" t="b">
        <f t="shared" si="1"/>
        <v>1</v>
      </c>
      <c r="D309" s="28" t="str">
        <f>'INCEXC A'!B309</f>
        <v>10.1145/3772318.3791233</v>
      </c>
      <c r="E309" s="28" t="str">
        <f>'INCEXC A'!C309</f>
        <v>When AI Gives Advice: Evaluating AI and Human Responses to Online Advice-Seeking for Well-Being</v>
      </c>
      <c r="F309" s="28" t="str">
        <f>'INCEXC A'!D309</f>
        <v>Kaiser</v>
      </c>
      <c r="G309" s="28" t="str">
        <f>'INCEXC B'!D309</f>
        <v>Ceren</v>
      </c>
      <c r="H309" s="28" t="str">
        <f>'INCEXC A'!E309</f>
        <v>Include</v>
      </c>
      <c r="I309" s="28" t="str">
        <f>'INCEXC B'!E309</f>
        <v>Include</v>
      </c>
      <c r="J309" s="28" t="b">
        <f t="shared" si="2"/>
        <v>1</v>
      </c>
      <c r="K309" s="28" t="b">
        <f t="shared" si="3"/>
        <v>1</v>
      </c>
      <c r="L309" s="28" t="str">
        <f>'INCEXC A'!L309</f>
        <v/>
      </c>
      <c r="M309" s="28" t="str">
        <f>'INCEXC B'!L309</f>
        <v/>
      </c>
      <c r="O309" s="28" t="str">
        <f>'INCEXC A'!M309</f>
        <v/>
      </c>
      <c r="P309" s="28" t="str">
        <f>'INCEXC A'!N309</f>
        <v/>
      </c>
      <c r="Q309" s="28" t="str">
        <f>'INCEXC A'!O309</f>
        <v/>
      </c>
      <c r="R309" s="28" t="str">
        <f>'INCEXC B'!O309</f>
        <v/>
      </c>
      <c r="S309" s="28" t="str">
        <f>'INCEXC A'!P309</f>
        <v/>
      </c>
      <c r="T309" s="28" t="str">
        <f>'INCEXC B'!P309</f>
        <v/>
      </c>
      <c r="U309" s="28" t="b">
        <f t="shared" si="4"/>
        <v>1</v>
      </c>
      <c r="V309" s="28" t="b">
        <f t="shared" si="5"/>
        <v>0</v>
      </c>
    </row>
    <row r="310" hidden="1">
      <c r="A310" s="35" t="str">
        <f>'INCEXC A'!A310</f>
        <v>https://doi.org/10.1145/3772318.3791248</v>
      </c>
      <c r="B310" s="35" t="str">
        <f>'INCEXC B'!A310</f>
        <v>https://doi.org/10.1145/3772318.3791248</v>
      </c>
      <c r="C310" s="28" t="b">
        <f t="shared" si="1"/>
        <v>1</v>
      </c>
      <c r="D310" s="28" t="str">
        <f>'INCEXC A'!B310</f>
        <v>10.1145/3772318.3791248</v>
      </c>
      <c r="E310" s="28" t="str">
        <f>'INCEXC A'!C310</f>
        <v>InnerPond: Fostering Inter-Self Dialogue with a Multi-Agent Approach for Introspection</v>
      </c>
      <c r="F310" s="28" t="str">
        <f>'INCEXC A'!D310</f>
        <v>Kaiser</v>
      </c>
      <c r="G310" s="28" t="str">
        <f>'INCEXC B'!D310</f>
        <v>Danni</v>
      </c>
      <c r="H310" s="28" t="str">
        <f>'INCEXC A'!E310</f>
        <v>Exclude</v>
      </c>
      <c r="I310" s="28" t="str">
        <f>'INCEXC B'!E310</f>
        <v>Exclude</v>
      </c>
      <c r="J310" s="28" t="b">
        <f t="shared" si="2"/>
        <v>1</v>
      </c>
      <c r="K310" s="28" t="b">
        <f t="shared" si="3"/>
        <v>0</v>
      </c>
      <c r="L310" s="28" t="str">
        <f>'INCEXC A'!L310</f>
        <v/>
      </c>
      <c r="M310" s="28" t="str">
        <f>'INCEXC B'!L310</f>
        <v/>
      </c>
      <c r="O310" s="28" t="str">
        <f>'INCEXC A'!M310</f>
        <v/>
      </c>
      <c r="P310" s="28" t="str">
        <f>'INCEXC A'!N310</f>
        <v/>
      </c>
      <c r="Q310" s="28" t="str">
        <f>'INCEXC A'!O310</f>
        <v/>
      </c>
      <c r="R310" s="28" t="str">
        <f>'INCEXC B'!O310</f>
        <v/>
      </c>
      <c r="S310" s="28" t="str">
        <f>'INCEXC A'!P310</f>
        <v/>
      </c>
      <c r="T310" s="28" t="str">
        <f>'INCEXC B'!P310</f>
        <v/>
      </c>
      <c r="U310" s="28" t="b">
        <f t="shared" si="4"/>
        <v>1</v>
      </c>
      <c r="V310" s="28" t="b">
        <f t="shared" si="5"/>
        <v>0</v>
      </c>
    </row>
    <row r="311">
      <c r="A311" s="35" t="str">
        <f>'INCEXC A'!A311</f>
        <v>https://doi.org/10.1145/3772318.3791300</v>
      </c>
      <c r="B311" s="35" t="str">
        <f>'INCEXC B'!A311</f>
        <v>https://doi.org/10.1145/3772318.3791300</v>
      </c>
      <c r="C311" s="28" t="b">
        <f t="shared" si="1"/>
        <v>1</v>
      </c>
      <c r="D311" s="28" t="str">
        <f>'INCEXC A'!B311</f>
        <v>10.1145/3772318.3791300</v>
      </c>
      <c r="E311" s="28" t="str">
        <f>'INCEXC A'!C311</f>
        <v>All Accept</v>
      </c>
      <c r="F311" s="28" t="str">
        <f>'INCEXC A'!D311</f>
        <v>Marilyn</v>
      </c>
      <c r="G311" s="28" t="str">
        <f>'INCEXC B'!D311</f>
        <v>Danni</v>
      </c>
      <c r="H311" s="28" t="str">
        <f>'INCEXC A'!E311</f>
        <v>Include</v>
      </c>
      <c r="I311" s="28" t="str">
        <f>'INCEXC B'!E311</f>
        <v>Include</v>
      </c>
      <c r="J311" s="28" t="b">
        <f t="shared" si="2"/>
        <v>1</v>
      </c>
      <c r="K311" s="28" t="b">
        <f t="shared" si="3"/>
        <v>1</v>
      </c>
      <c r="L311" s="28" t="str">
        <f>'INCEXC A'!L311</f>
        <v/>
      </c>
      <c r="M311" s="28" t="str">
        <f>'INCEXC B'!L311</f>
        <v/>
      </c>
      <c r="O311" s="28" t="str">
        <f>'INCEXC A'!M311</f>
        <v/>
      </c>
      <c r="P311" s="28" t="str">
        <f>'INCEXC A'!N311</f>
        <v/>
      </c>
      <c r="Q311" s="28" t="str">
        <f>'INCEXC A'!O311</f>
        <v/>
      </c>
      <c r="R311" s="28" t="str">
        <f>'INCEXC B'!O311</f>
        <v/>
      </c>
      <c r="S311" s="28" t="str">
        <f>'INCEXC A'!P311</f>
        <v/>
      </c>
      <c r="T311" s="28" t="str">
        <f>'INCEXC B'!P311</f>
        <v/>
      </c>
      <c r="U311" s="28" t="b">
        <f t="shared" si="4"/>
        <v>1</v>
      </c>
      <c r="V311" s="28" t="b">
        <f t="shared" si="5"/>
        <v>0</v>
      </c>
    </row>
    <row r="312" hidden="1">
      <c r="A312" s="35" t="str">
        <f>'INCEXC A'!A312</f>
        <v>https://doi.org/10.1145/3772318.3791319</v>
      </c>
      <c r="B312" s="35" t="str">
        <f>'INCEXC B'!A312</f>
        <v>https://doi.org/10.1145/3772318.3791319</v>
      </c>
      <c r="C312" s="28" t="b">
        <f t="shared" si="1"/>
        <v>1</v>
      </c>
      <c r="D312" s="28" t="str">
        <f>'INCEXC A'!B312</f>
        <v>10.1145/3772318.3791319</v>
      </c>
      <c r="E312" s="28" t="str">
        <f>'INCEXC A'!C312</f>
        <v>Are we writing an advice column for Spock here? Understanding Stereotypes in AI Advice for Autistic Users</v>
      </c>
      <c r="F312" s="28" t="str">
        <f>'INCEXC A'!D312</f>
        <v>Jonathan</v>
      </c>
      <c r="G312" s="28" t="str">
        <f>'INCEXC B'!D312</f>
        <v>Taylor</v>
      </c>
      <c r="H312" s="28" t="str">
        <f>'INCEXC A'!E312</f>
        <v>Exclude</v>
      </c>
      <c r="I312" s="28" t="str">
        <f>'INCEXC B'!E312</f>
        <v>Exclude</v>
      </c>
      <c r="J312" s="28" t="b">
        <f t="shared" si="2"/>
        <v>1</v>
      </c>
      <c r="K312" s="28" t="b">
        <f t="shared" si="3"/>
        <v>0</v>
      </c>
      <c r="L312" s="28" t="str">
        <f>'INCEXC A'!L312</f>
        <v/>
      </c>
      <c r="M312" s="28" t="str">
        <f>'INCEXC B'!L312</f>
        <v/>
      </c>
      <c r="O312" s="28" t="str">
        <f>'INCEXC A'!M312</f>
        <v/>
      </c>
      <c r="P312" s="28" t="str">
        <f>'INCEXC A'!N312</f>
        <v/>
      </c>
      <c r="Q312" s="28" t="str">
        <f>'INCEXC A'!O312</f>
        <v/>
      </c>
      <c r="R312" s="28" t="str">
        <f>'INCEXC B'!O312</f>
        <v/>
      </c>
      <c r="S312" s="28" t="str">
        <f>'INCEXC A'!P312</f>
        <v/>
      </c>
      <c r="T312" s="28" t="str">
        <f>'INCEXC B'!P312</f>
        <v/>
      </c>
      <c r="U312" s="28" t="b">
        <f t="shared" si="4"/>
        <v>1</v>
      </c>
      <c r="V312" s="28" t="b">
        <f t="shared" si="5"/>
        <v>0</v>
      </c>
    </row>
    <row r="313" hidden="1">
      <c r="A313" s="35" t="str">
        <f>'INCEXC A'!A313</f>
        <v>https://doi.org/10.1145/3772318.3791363</v>
      </c>
      <c r="B313" s="35" t="str">
        <f>'INCEXC B'!A313</f>
        <v>https://doi.org/10.1145/3772318.3791363</v>
      </c>
      <c r="C313" s="28" t="b">
        <f t="shared" si="1"/>
        <v>1</v>
      </c>
      <c r="D313" s="28" t="str">
        <f>'INCEXC A'!B313</f>
        <v>10.1145/3772318.3791363</v>
      </c>
      <c r="E313" s="28" t="str">
        <f>'INCEXC A'!C313</f>
        <v>How Generative AI Empowers Attackers and Defenders Across the Trust &amp;amp; Safety Landscape</v>
      </c>
      <c r="F313" s="28" t="str">
        <f>'INCEXC A'!D313</f>
        <v>Jonathan</v>
      </c>
      <c r="G313" s="28" t="str">
        <f>'INCEXC B'!D313</f>
        <v>Danni</v>
      </c>
      <c r="H313" s="28" t="str">
        <f>'INCEXC A'!E313</f>
        <v>Exclude</v>
      </c>
      <c r="I313" s="28" t="str">
        <f>'INCEXC B'!E313</f>
        <v>Exclude</v>
      </c>
      <c r="J313" s="28" t="b">
        <f t="shared" si="2"/>
        <v>1</v>
      </c>
      <c r="K313" s="28" t="b">
        <f t="shared" si="3"/>
        <v>0</v>
      </c>
      <c r="L313" s="28" t="str">
        <f>'INCEXC A'!L313</f>
        <v/>
      </c>
      <c r="M313" s="28" t="str">
        <f>'INCEXC B'!L313</f>
        <v/>
      </c>
      <c r="O313" s="28" t="str">
        <f>'INCEXC A'!M313</f>
        <v/>
      </c>
      <c r="P313" s="28" t="str">
        <f>'INCEXC A'!N313</f>
        <v/>
      </c>
      <c r="Q313" s="28" t="str">
        <f>'INCEXC A'!O313</f>
        <v/>
      </c>
      <c r="R313" s="28" t="str">
        <f>'INCEXC B'!O313</f>
        <v/>
      </c>
      <c r="S313" s="28" t="str">
        <f>'INCEXC A'!P313</f>
        <v/>
      </c>
      <c r="T313" s="28" t="str">
        <f>'INCEXC B'!P313</f>
        <v/>
      </c>
      <c r="U313" s="28" t="b">
        <f t="shared" si="4"/>
        <v>1</v>
      </c>
      <c r="V313" s="28" t="b">
        <f t="shared" si="5"/>
        <v>0</v>
      </c>
    </row>
    <row r="314">
      <c r="A314" s="35" t="str">
        <f>'INCEXC A'!A314</f>
        <v>https://doi.org/10.1145/3772318.3791365</v>
      </c>
      <c r="B314" s="35" t="str">
        <f>'INCEXC B'!A314</f>
        <v>https://doi.org/10.1145/3772318.3791365</v>
      </c>
      <c r="C314" s="28" t="b">
        <f t="shared" si="1"/>
        <v>1</v>
      </c>
      <c r="D314" s="28" t="str">
        <f>'INCEXC A'!B314</f>
        <v>10.1145/3772318.3791365</v>
      </c>
      <c r="E314" s="28" t="str">
        <f>'INCEXC A'!C314</f>
        <v>Invisible Saboteurs: Sycophantic LLMs Mislead Novices in Problem-Solving Tasks</v>
      </c>
      <c r="F314" s="28" t="str">
        <f>'INCEXC A'!D314</f>
        <v>Jonathan</v>
      </c>
      <c r="G314" s="28" t="str">
        <f>'INCEXC B'!D314</f>
        <v>Danni</v>
      </c>
      <c r="H314" s="28" t="str">
        <f>'INCEXC A'!E314</f>
        <v>Include</v>
      </c>
      <c r="I314" s="28" t="str">
        <f>'INCEXC B'!E314</f>
        <v>Include</v>
      </c>
      <c r="J314" s="28" t="b">
        <f t="shared" si="2"/>
        <v>1</v>
      </c>
      <c r="K314" s="28" t="b">
        <f t="shared" si="3"/>
        <v>1</v>
      </c>
      <c r="L314" s="28" t="str">
        <f>'INCEXC A'!L314</f>
        <v/>
      </c>
      <c r="M314" s="28" t="str">
        <f>'INCEXC B'!L314</f>
        <v/>
      </c>
      <c r="O314" s="28" t="str">
        <f>'INCEXC A'!M314</f>
        <v/>
      </c>
      <c r="P314" s="28" t="str">
        <f>'INCEXC A'!N314</f>
        <v/>
      </c>
      <c r="Q314" s="28" t="str">
        <f>'INCEXC A'!O314</f>
        <v/>
      </c>
      <c r="R314" s="28" t="str">
        <f>'INCEXC B'!O314</f>
        <v/>
      </c>
      <c r="S314" s="28" t="str">
        <f>'INCEXC A'!P314</f>
        <v/>
      </c>
      <c r="T314" s="28" t="str">
        <f>'INCEXC B'!P314</f>
        <v/>
      </c>
      <c r="U314" s="28" t="b">
        <f t="shared" si="4"/>
        <v>1</v>
      </c>
      <c r="V314" s="28" t="b">
        <f t="shared" si="5"/>
        <v>0</v>
      </c>
    </row>
    <row r="315" hidden="1">
      <c r="A315" s="35" t="str">
        <f>'INCEXC A'!A315</f>
        <v>https://doi.org/10.1145/3772318.3791381</v>
      </c>
      <c r="B315" s="35" t="str">
        <f>'INCEXC B'!A315</f>
        <v>https://doi.org/10.1145/3772318.3791381</v>
      </c>
      <c r="C315" s="28" t="b">
        <f t="shared" si="1"/>
        <v>1</v>
      </c>
      <c r="D315" s="28" t="str">
        <f>'INCEXC A'!B315</f>
        <v>10.1145/3772318.3791381</v>
      </c>
      <c r="E315" s="28" t="str">
        <f>'INCEXC A'!C315</f>
        <v>Autiverse: Eliciting Autistic Adolescents' Daily Narratives through AI-guided Multimodal Journaling</v>
      </c>
      <c r="F315" s="28" t="str">
        <f>'INCEXC A'!D315</f>
        <v>Marilyn</v>
      </c>
      <c r="G315" s="28" t="str">
        <f>'INCEXC B'!D315</f>
        <v>Ceren</v>
      </c>
      <c r="H315" s="28" t="str">
        <f>'INCEXC A'!E315</f>
        <v>Exclude</v>
      </c>
      <c r="I315" s="28" t="str">
        <f>'INCEXC B'!E315</f>
        <v>Exclude</v>
      </c>
      <c r="J315" s="28" t="b">
        <f t="shared" si="2"/>
        <v>1</v>
      </c>
      <c r="K315" s="28" t="b">
        <f t="shared" si="3"/>
        <v>0</v>
      </c>
      <c r="L315" s="28" t="str">
        <f>'INCEXC A'!L315</f>
        <v/>
      </c>
      <c r="M315" s="28" t="str">
        <f>'INCEXC B'!L315</f>
        <v/>
      </c>
      <c r="O315" s="28" t="str">
        <f>'INCEXC A'!M315</f>
        <v/>
      </c>
      <c r="P315" s="28" t="str">
        <f>'INCEXC A'!N315</f>
        <v/>
      </c>
      <c r="Q315" s="28" t="str">
        <f>'INCEXC A'!O315</f>
        <v/>
      </c>
      <c r="R315" s="28" t="str">
        <f>'INCEXC B'!O315</f>
        <v/>
      </c>
      <c r="S315" s="28" t="str">
        <f>'INCEXC A'!P315</f>
        <v/>
      </c>
      <c r="T315" s="28" t="str">
        <f>'INCEXC B'!P315</f>
        <v/>
      </c>
      <c r="U315" s="28" t="b">
        <f t="shared" si="4"/>
        <v>1</v>
      </c>
      <c r="V315" s="28" t="b">
        <f t="shared" si="5"/>
        <v>0</v>
      </c>
    </row>
    <row r="316" hidden="1">
      <c r="A316" s="35" t="str">
        <f>'INCEXC A'!A316</f>
        <v>https://doi.org/10.1145/3772318.3791428</v>
      </c>
      <c r="B316" s="35" t="str">
        <f>'INCEXC B'!A316</f>
        <v>https://doi.org/10.1145/3772318.3791428</v>
      </c>
      <c r="C316" s="28" t="b">
        <f t="shared" si="1"/>
        <v>1</v>
      </c>
      <c r="D316" s="28" t="str">
        <f>'INCEXC A'!B316</f>
        <v>10.1145/3772318.3791428</v>
      </c>
      <c r="E316" s="28" t="str">
        <f>'INCEXC A'!C316</f>
        <v>Who Does What? Archetypes of Roles Assigned to LLMs During Human-AI Decision-Making</v>
      </c>
      <c r="F316" s="28" t="str">
        <f>'INCEXC A'!D316</f>
        <v>Jonathan</v>
      </c>
      <c r="G316" s="28" t="str">
        <f>'INCEXC B'!D316</f>
        <v>Danni</v>
      </c>
      <c r="H316" s="28" t="str">
        <f>'INCEXC A'!E316</f>
        <v>Exclude</v>
      </c>
      <c r="I316" s="28" t="str">
        <f>'INCEXC B'!E316</f>
        <v>Exclude</v>
      </c>
      <c r="J316" s="28" t="b">
        <f t="shared" si="2"/>
        <v>1</v>
      </c>
      <c r="K316" s="28" t="b">
        <f t="shared" si="3"/>
        <v>0</v>
      </c>
      <c r="L316" s="28" t="str">
        <f>'INCEXC A'!L316</f>
        <v/>
      </c>
      <c r="M316" s="28" t="str">
        <f>'INCEXC B'!L316</f>
        <v/>
      </c>
      <c r="O316" s="28" t="str">
        <f>'INCEXC A'!M316</f>
        <v/>
      </c>
      <c r="P316" s="28" t="str">
        <f>'INCEXC A'!N316</f>
        <v/>
      </c>
      <c r="Q316" s="28" t="str">
        <f>'INCEXC A'!O316</f>
        <v/>
      </c>
      <c r="R316" s="28" t="str">
        <f>'INCEXC B'!O316</f>
        <v/>
      </c>
      <c r="S316" s="28" t="str">
        <f>'INCEXC A'!P316</f>
        <v/>
      </c>
      <c r="T316" s="28" t="str">
        <f>'INCEXC B'!P316</f>
        <v/>
      </c>
      <c r="U316" s="28" t="b">
        <f t="shared" si="4"/>
        <v>1</v>
      </c>
      <c r="V316" s="28" t="b">
        <f t="shared" si="5"/>
        <v>0</v>
      </c>
    </row>
    <row r="317" hidden="1">
      <c r="A317" s="35" t="str">
        <f>'INCEXC A'!A317</f>
        <v>https://doi.org/10.1145/3772318.3791484</v>
      </c>
      <c r="B317" s="35" t="str">
        <f>'INCEXC B'!A317</f>
        <v>https://doi.org/10.1145/3772318.3791484</v>
      </c>
      <c r="C317" s="28" t="b">
        <f t="shared" si="1"/>
        <v>1</v>
      </c>
      <c r="D317" s="28" t="str">
        <f>'INCEXC A'!B317</f>
        <v>10.1145/3772318.3791484</v>
      </c>
      <c r="E317" s="28" t="str">
        <f>'INCEXC A'!C317</f>
        <v>Retelling the News: Exploring AI-Driven Conversational News Interactions</v>
      </c>
      <c r="F317" s="28" t="str">
        <f>'INCEXC A'!D317</f>
        <v>Kaiser</v>
      </c>
      <c r="G317" s="28" t="str">
        <f>'INCEXC B'!D317</f>
        <v>Danni</v>
      </c>
      <c r="H317" s="28" t="str">
        <f>'INCEXC A'!E317</f>
        <v>Exclude</v>
      </c>
      <c r="I317" s="28" t="str">
        <f>'INCEXC B'!E317</f>
        <v>Exclude</v>
      </c>
      <c r="J317" s="28" t="b">
        <f t="shared" si="2"/>
        <v>1</v>
      </c>
      <c r="K317" s="28" t="b">
        <f t="shared" si="3"/>
        <v>0</v>
      </c>
      <c r="L317" s="28" t="str">
        <f>'INCEXC A'!L317</f>
        <v/>
      </c>
      <c r="M317" s="28" t="str">
        <f>'INCEXC B'!L317</f>
        <v/>
      </c>
      <c r="O317" s="28" t="str">
        <f>'INCEXC A'!M317</f>
        <v/>
      </c>
      <c r="P317" s="28" t="str">
        <f>'INCEXC A'!N317</f>
        <v/>
      </c>
      <c r="Q317" s="28" t="str">
        <f>'INCEXC A'!O317</f>
        <v/>
      </c>
      <c r="R317" s="28" t="str">
        <f>'INCEXC B'!O317</f>
        <v/>
      </c>
      <c r="S317" s="28" t="str">
        <f>'INCEXC A'!P317</f>
        <v/>
      </c>
      <c r="T317" s="28" t="str">
        <f>'INCEXC B'!P317</f>
        <v/>
      </c>
      <c r="U317" s="28" t="b">
        <f t="shared" si="4"/>
        <v>1</v>
      </c>
      <c r="V317" s="28" t="b">
        <f t="shared" si="5"/>
        <v>0</v>
      </c>
    </row>
    <row r="318" hidden="1">
      <c r="A318" s="35" t="str">
        <f>'INCEXC A'!A318</f>
        <v>https://doi.org/10.1145/3772318.3791556</v>
      </c>
      <c r="B318" s="35" t="str">
        <f>'INCEXC B'!A318</f>
        <v>https://doi.org/10.1145/3772318.3791556</v>
      </c>
      <c r="C318" s="28" t="b">
        <f t="shared" si="1"/>
        <v>1</v>
      </c>
      <c r="D318" s="28" t="str">
        <f>'INCEXC A'!B318</f>
        <v>10.1145/3772318.3791556</v>
      </c>
      <c r="E318" s="28" t="str">
        <f>'INCEXC A'!C318</f>
        <v>Framing Responsible Design of AI for Mental Well-Being: AI as Primary Care</v>
      </c>
      <c r="F318" s="28" t="str">
        <f>'INCEXC A'!D318</f>
        <v>Kaiser</v>
      </c>
      <c r="G318" s="28" t="str">
        <f>'INCEXC B'!D318</f>
        <v>Danni</v>
      </c>
      <c r="H318" s="28" t="str">
        <f>'INCEXC A'!E318</f>
        <v>Exclude</v>
      </c>
      <c r="I318" s="28" t="str">
        <f>'INCEXC B'!E318</f>
        <v>Exclude</v>
      </c>
      <c r="J318" s="28" t="b">
        <f t="shared" si="2"/>
        <v>1</v>
      </c>
      <c r="K318" s="28" t="b">
        <f t="shared" si="3"/>
        <v>0</v>
      </c>
      <c r="L318" s="28" t="str">
        <f>'INCEXC A'!L318</f>
        <v/>
      </c>
      <c r="M318" s="28" t="str">
        <f>'INCEXC B'!L318</f>
        <v/>
      </c>
      <c r="O318" s="28" t="str">
        <f>'INCEXC A'!M318</f>
        <v/>
      </c>
      <c r="P318" s="28" t="str">
        <f>'INCEXC A'!N318</f>
        <v/>
      </c>
      <c r="Q318" s="28" t="str">
        <f>'INCEXC A'!O318</f>
        <v/>
      </c>
      <c r="R318" s="28" t="str">
        <f>'INCEXC B'!O318</f>
        <v/>
      </c>
      <c r="S318" s="28" t="str">
        <f>'INCEXC A'!P318</f>
        <v/>
      </c>
      <c r="T318" s="28" t="str">
        <f>'INCEXC B'!P318</f>
        <v/>
      </c>
      <c r="U318" s="28" t="b">
        <f t="shared" si="4"/>
        <v>1</v>
      </c>
      <c r="V318" s="28" t="b">
        <f t="shared" si="5"/>
        <v>0</v>
      </c>
    </row>
    <row r="319" hidden="1">
      <c r="A319" s="35" t="str">
        <f>'INCEXC A'!A319</f>
        <v>https://doi.org/10.1145/3772318.3791560</v>
      </c>
      <c r="B319" s="35" t="str">
        <f>'INCEXC B'!A319</f>
        <v>https://doi.org/10.1145/3772318.3791560</v>
      </c>
      <c r="C319" s="28" t="b">
        <f t="shared" si="1"/>
        <v>1</v>
      </c>
      <c r="D319" s="28" t="str">
        <f>'INCEXC A'!B319</f>
        <v>10.1145/3772318.3791560</v>
      </c>
      <c r="E319" s="28" t="str">
        <f>'INCEXC A'!C319</f>
        <v>Perspectra: Choosing Your Experts Enhances Critical Thinking in Multi-Agent Research Ideation</v>
      </c>
      <c r="F319" s="28" t="str">
        <f>'INCEXC A'!D319</f>
        <v>Jonathan</v>
      </c>
      <c r="G319" s="28" t="str">
        <f>'INCEXC B'!D319</f>
        <v>Danni</v>
      </c>
      <c r="H319" s="28" t="str">
        <f>'INCEXC A'!E319</f>
        <v>Exclude</v>
      </c>
      <c r="I319" s="28" t="str">
        <f>'INCEXC B'!E319</f>
        <v>Exclude</v>
      </c>
      <c r="J319" s="28" t="b">
        <f t="shared" si="2"/>
        <v>1</v>
      </c>
      <c r="K319" s="28" t="b">
        <f t="shared" si="3"/>
        <v>0</v>
      </c>
      <c r="L319" s="28" t="str">
        <f>'INCEXC A'!L319</f>
        <v/>
      </c>
      <c r="M319" s="28" t="str">
        <f>'INCEXC B'!L319</f>
        <v/>
      </c>
      <c r="O319" s="28" t="str">
        <f>'INCEXC A'!M319</f>
        <v/>
      </c>
      <c r="P319" s="28" t="str">
        <f>'INCEXC A'!N319</f>
        <v/>
      </c>
      <c r="Q319" s="28" t="str">
        <f>'INCEXC A'!O319</f>
        <v/>
      </c>
      <c r="R319" s="28" t="str">
        <f>'INCEXC B'!O319</f>
        <v/>
      </c>
      <c r="S319" s="28" t="str">
        <f>'INCEXC A'!P319</f>
        <v/>
      </c>
      <c r="T319" s="28" t="str">
        <f>'INCEXC B'!P319</f>
        <v/>
      </c>
      <c r="U319" s="28" t="b">
        <f t="shared" si="4"/>
        <v>1</v>
      </c>
      <c r="V319" s="28" t="b">
        <f t="shared" si="5"/>
        <v>0</v>
      </c>
    </row>
    <row r="320" hidden="1">
      <c r="A320" s="35" t="str">
        <f>'INCEXC A'!A320</f>
        <v>https://doi.org/10.1145/3772318.3791571</v>
      </c>
      <c r="B320" s="35" t="str">
        <f>'INCEXC B'!A320</f>
        <v>https://doi.org/10.1145/3772318.3791571</v>
      </c>
      <c r="C320" s="28" t="b">
        <f t="shared" si="1"/>
        <v>1</v>
      </c>
      <c r="D320" s="28" t="str">
        <f>'INCEXC A'!B320</f>
        <v>10.1145/3772318.3791571</v>
      </c>
      <c r="E320" s="28" t="str">
        <f>'INCEXC A'!C320</f>
        <v>Interpretive Cultures: Resonance</v>
      </c>
      <c r="F320" s="28" t="str">
        <f>'INCEXC A'!D320</f>
        <v>Kaiser</v>
      </c>
      <c r="G320" s="28" t="str">
        <f>'INCEXC B'!D320</f>
        <v>Danni</v>
      </c>
      <c r="H320" s="28" t="str">
        <f>'INCEXC A'!E320</f>
        <v>Exclude</v>
      </c>
      <c r="I320" s="28" t="str">
        <f>'INCEXC B'!E320</f>
        <v>Exclude</v>
      </c>
      <c r="J320" s="28" t="b">
        <f t="shared" si="2"/>
        <v>1</v>
      </c>
      <c r="K320" s="28" t="b">
        <f t="shared" si="3"/>
        <v>0</v>
      </c>
      <c r="L320" s="28" t="str">
        <f>'INCEXC A'!L320</f>
        <v/>
      </c>
      <c r="M320" s="28" t="str">
        <f>'INCEXC B'!L320</f>
        <v/>
      </c>
      <c r="O320" s="28" t="str">
        <f>'INCEXC A'!M320</f>
        <v/>
      </c>
      <c r="P320" s="28" t="str">
        <f>'INCEXC A'!N320</f>
        <v/>
      </c>
      <c r="Q320" s="28" t="str">
        <f>'INCEXC A'!O320</f>
        <v/>
      </c>
      <c r="R320" s="28" t="str">
        <f>'INCEXC B'!O320</f>
        <v/>
      </c>
      <c r="S320" s="28" t="str">
        <f>'INCEXC A'!P320</f>
        <v/>
      </c>
      <c r="T320" s="28" t="str">
        <f>'INCEXC B'!P320</f>
        <v/>
      </c>
      <c r="U320" s="28" t="b">
        <f t="shared" si="4"/>
        <v>1</v>
      </c>
      <c r="V320" s="28" t="b">
        <f t="shared" si="5"/>
        <v>0</v>
      </c>
    </row>
    <row r="321" hidden="1">
      <c r="A321" s="35" t="str">
        <f>'INCEXC A'!A321</f>
        <v>https://doi.org/10.1145/3772318.3791600</v>
      </c>
      <c r="B321" s="35" t="str">
        <f>'INCEXC B'!A321</f>
        <v>https://doi.org/10.1145/3772318.3791600</v>
      </c>
      <c r="C321" s="28" t="b">
        <f t="shared" si="1"/>
        <v>1</v>
      </c>
      <c r="D321" s="28" t="str">
        <f>'INCEXC A'!B321</f>
        <v>10.1145/3772318.3791600</v>
      </c>
      <c r="E321" s="28" t="str">
        <f>'INCEXC A'!C321</f>
        <v>Feedback by Design: Understanding and Overcoming User Feedback Barriers in Conversational Agents</v>
      </c>
      <c r="F321" s="28" t="str">
        <f>'INCEXC A'!D321</f>
        <v>Kaiser</v>
      </c>
      <c r="G321" s="28" t="str">
        <f>'INCEXC B'!D321</f>
        <v>Taylor</v>
      </c>
      <c r="H321" s="28" t="str">
        <f>'INCEXC A'!E321</f>
        <v>Exclude</v>
      </c>
      <c r="I321" s="28" t="str">
        <f>'INCEXC B'!E321</f>
        <v>Exclude</v>
      </c>
      <c r="J321" s="28" t="b">
        <f t="shared" si="2"/>
        <v>1</v>
      </c>
      <c r="K321" s="28" t="b">
        <f t="shared" si="3"/>
        <v>0</v>
      </c>
      <c r="L321" s="28" t="str">
        <f>'INCEXC A'!L321</f>
        <v/>
      </c>
      <c r="M321" s="28" t="str">
        <f>'INCEXC B'!L321</f>
        <v/>
      </c>
      <c r="O321" s="28" t="str">
        <f>'INCEXC A'!M321</f>
        <v/>
      </c>
      <c r="P321" s="28" t="str">
        <f>'INCEXC A'!N321</f>
        <v/>
      </c>
      <c r="Q321" s="28" t="str">
        <f>'INCEXC A'!O321</f>
        <v/>
      </c>
      <c r="R321" s="28" t="str">
        <f>'INCEXC B'!O321</f>
        <v/>
      </c>
      <c r="S321" s="28" t="str">
        <f>'INCEXC A'!P321</f>
        <v/>
      </c>
      <c r="T321" s="28" t="str">
        <f>'INCEXC B'!P321</f>
        <v/>
      </c>
      <c r="U321" s="28" t="b">
        <f t="shared" si="4"/>
        <v>1</v>
      </c>
      <c r="V321" s="28" t="b">
        <f t="shared" si="5"/>
        <v>0</v>
      </c>
    </row>
    <row r="322" hidden="1">
      <c r="A322" s="35" t="str">
        <f>'INCEXC A'!A322</f>
        <v>https://doi.org/10.1145/3772318.3791632</v>
      </c>
      <c r="B322" s="35" t="str">
        <f>'INCEXC B'!A322</f>
        <v>https://doi.org/10.1145/3772318.3791632</v>
      </c>
      <c r="C322" s="28" t="b">
        <f t="shared" si="1"/>
        <v>1</v>
      </c>
      <c r="D322" s="28" t="str">
        <f>'INCEXC A'!B322</f>
        <v>10.1145/3772318.3791632</v>
      </c>
      <c r="E322" s="28" t="str">
        <f>'INCEXC A'!C322</f>
        <v>What is Safety? Corporate Discourse</v>
      </c>
      <c r="F322" s="28" t="str">
        <f>'INCEXC A'!D322</f>
        <v>Jonathan</v>
      </c>
      <c r="G322" s="28" t="str">
        <f>'INCEXC B'!D322</f>
        <v>Ceren</v>
      </c>
      <c r="H322" s="28" t="str">
        <f>'INCEXC A'!E322</f>
        <v>Exclude</v>
      </c>
      <c r="I322" s="28" t="str">
        <f>'INCEXC B'!E322</f>
        <v>Exclude</v>
      </c>
      <c r="J322" s="28" t="b">
        <f t="shared" si="2"/>
        <v>1</v>
      </c>
      <c r="K322" s="28" t="b">
        <f t="shared" si="3"/>
        <v>0</v>
      </c>
      <c r="L322" s="28" t="str">
        <f>'INCEXC A'!L322</f>
        <v/>
      </c>
      <c r="M322" s="28" t="str">
        <f>'INCEXC B'!L322</f>
        <v/>
      </c>
      <c r="O322" s="28" t="str">
        <f>'INCEXC A'!M322</f>
        <v/>
      </c>
      <c r="P322" s="28" t="str">
        <f>'INCEXC A'!N322</f>
        <v/>
      </c>
      <c r="Q322" s="28" t="str">
        <f>'INCEXC A'!O322</f>
        <v/>
      </c>
      <c r="R322" s="28" t="str">
        <f>'INCEXC B'!O322</f>
        <v/>
      </c>
      <c r="S322" s="28" t="str">
        <f>'INCEXC A'!P322</f>
        <v/>
      </c>
      <c r="T322" s="28" t="str">
        <f>'INCEXC B'!P322</f>
        <v/>
      </c>
      <c r="U322" s="28" t="b">
        <f t="shared" si="4"/>
        <v>1</v>
      </c>
      <c r="V322" s="28" t="b">
        <f t="shared" si="5"/>
        <v>0</v>
      </c>
    </row>
    <row r="323" hidden="1">
      <c r="A323" s="35" t="str">
        <f>'INCEXC A'!A323</f>
        <v>https://doi.org/10.1145/3772318.3791640</v>
      </c>
      <c r="B323" s="35" t="str">
        <f>'INCEXC B'!A323</f>
        <v>https://doi.org/10.1145/3772318.3791640</v>
      </c>
      <c r="C323" s="28" t="b">
        <f t="shared" si="1"/>
        <v>1</v>
      </c>
      <c r="D323" s="28" t="str">
        <f>'INCEXC A'!B323</f>
        <v>10.1145/3772318.3791640</v>
      </c>
      <c r="E323" s="28" t="str">
        <f>'INCEXC A'!C323</f>
        <v>Forage: Understanding LLM-facilitated sensemaking of conversation data</v>
      </c>
      <c r="F323" s="28" t="str">
        <f>'INCEXC A'!D323</f>
        <v>Marilyn</v>
      </c>
      <c r="G323" s="28" t="str">
        <f>'INCEXC B'!D323</f>
        <v>Taylor</v>
      </c>
      <c r="H323" s="28" t="str">
        <f>'INCEXC A'!E323</f>
        <v>Exclude</v>
      </c>
      <c r="I323" s="28" t="str">
        <f>'INCEXC B'!E323</f>
        <v>Exclude</v>
      </c>
      <c r="J323" s="28" t="b">
        <f t="shared" si="2"/>
        <v>1</v>
      </c>
      <c r="K323" s="28" t="b">
        <f t="shared" si="3"/>
        <v>0</v>
      </c>
      <c r="L323" s="28" t="str">
        <f>'INCEXC A'!L323</f>
        <v/>
      </c>
      <c r="M323" s="28" t="str">
        <f>'INCEXC B'!L323</f>
        <v/>
      </c>
      <c r="O323" s="28" t="str">
        <f>'INCEXC A'!M323</f>
        <v/>
      </c>
      <c r="P323" s="28" t="str">
        <f>'INCEXC A'!N323</f>
        <v/>
      </c>
      <c r="Q323" s="28" t="str">
        <f>'INCEXC A'!O323</f>
        <v/>
      </c>
      <c r="R323" s="28" t="str">
        <f>'INCEXC B'!O323</f>
        <v/>
      </c>
      <c r="S323" s="28" t="str">
        <f>'INCEXC A'!P323</f>
        <v/>
      </c>
      <c r="T323" s="28" t="str">
        <f>'INCEXC B'!P323</f>
        <v/>
      </c>
      <c r="U323" s="28" t="b">
        <f t="shared" si="4"/>
        <v>1</v>
      </c>
      <c r="V323" s="28" t="b">
        <f t="shared" si="5"/>
        <v>0</v>
      </c>
    </row>
    <row r="324" hidden="1">
      <c r="A324" s="35" t="str">
        <f>'INCEXC A'!A324</f>
        <v>https://doi.org/10.1145/3772318.3791726</v>
      </c>
      <c r="B324" s="35" t="str">
        <f>'INCEXC B'!A324</f>
        <v>https://doi.org/10.1145/3772318.3791726</v>
      </c>
      <c r="C324" s="28" t="b">
        <f t="shared" si="1"/>
        <v>1</v>
      </c>
      <c r="D324" s="28" t="str">
        <f>'INCEXC A'!B324</f>
        <v>10.1145/3772318.3791726</v>
      </c>
      <c r="E324" s="28" t="str">
        <f>'INCEXC A'!C324</f>
        <v>Who Controls the Conversation? User Perspectives on Generative AI (LLM) System Prompts</v>
      </c>
      <c r="F324" s="28" t="str">
        <f>'INCEXC A'!D324</f>
        <v>Kaiser</v>
      </c>
      <c r="G324" s="28" t="str">
        <f>'INCEXC B'!D324</f>
        <v>Taylor</v>
      </c>
      <c r="H324" s="28" t="str">
        <f>'INCEXC A'!E324</f>
        <v>Exclude</v>
      </c>
      <c r="I324" s="28" t="str">
        <f>'INCEXC B'!E324</f>
        <v>Exclude</v>
      </c>
      <c r="J324" s="28" t="b">
        <f t="shared" si="2"/>
        <v>1</v>
      </c>
      <c r="K324" s="28" t="b">
        <f t="shared" si="3"/>
        <v>0</v>
      </c>
      <c r="L324" s="28" t="str">
        <f>'INCEXC A'!L324</f>
        <v/>
      </c>
      <c r="M324" s="28" t="str">
        <f>'INCEXC B'!L324</f>
        <v/>
      </c>
      <c r="O324" s="28" t="str">
        <f>'INCEXC A'!M324</f>
        <v/>
      </c>
      <c r="P324" s="28" t="str">
        <f>'INCEXC A'!N324</f>
        <v/>
      </c>
      <c r="Q324" s="28" t="str">
        <f>'INCEXC A'!O324</f>
        <v/>
      </c>
      <c r="R324" s="28" t="str">
        <f>'INCEXC B'!O324</f>
        <v/>
      </c>
      <c r="S324" s="28" t="str">
        <f>'INCEXC A'!P324</f>
        <v/>
      </c>
      <c r="T324" s="28" t="str">
        <f>'INCEXC B'!P324</f>
        <v/>
      </c>
      <c r="U324" s="28" t="b">
        <f t="shared" si="4"/>
        <v>1</v>
      </c>
      <c r="V324" s="28" t="b">
        <f t="shared" si="5"/>
        <v>0</v>
      </c>
    </row>
    <row r="325" hidden="1">
      <c r="A325" s="35" t="str">
        <f>'INCEXC A'!A325</f>
        <v>https://doi.org/10.1145/3772318.3791760</v>
      </c>
      <c r="B325" s="35" t="str">
        <f>'INCEXC B'!A325</f>
        <v>https://doi.org/10.1145/3772318.3791760</v>
      </c>
      <c r="C325" s="28" t="b">
        <f t="shared" si="1"/>
        <v>1</v>
      </c>
      <c r="D325" s="28" t="str">
        <f>'INCEXC A'!B325</f>
        <v>10.1145/3772318.3791760</v>
      </c>
      <c r="E325" s="28" t="str">
        <f>'INCEXC A'!C325</f>
        <v>OceanChat: The Effect of Virtual Conversational AI Agents on Sustainable Attitude and Behavior Change</v>
      </c>
      <c r="F325" s="28" t="str">
        <f>'INCEXC A'!D325</f>
        <v>Marilyn</v>
      </c>
      <c r="G325" s="28" t="str">
        <f>'INCEXC B'!D325</f>
        <v>Taylor</v>
      </c>
      <c r="H325" s="28" t="str">
        <f>'INCEXC A'!E325</f>
        <v>Exclude</v>
      </c>
      <c r="I325" s="28" t="str">
        <f>'INCEXC B'!E325</f>
        <v>Exclude</v>
      </c>
      <c r="J325" s="28" t="b">
        <f t="shared" si="2"/>
        <v>1</v>
      </c>
      <c r="K325" s="28" t="b">
        <f t="shared" si="3"/>
        <v>0</v>
      </c>
      <c r="L325" s="28" t="str">
        <f>'INCEXC A'!L325</f>
        <v/>
      </c>
      <c r="M325" s="28" t="str">
        <f>'INCEXC B'!L325</f>
        <v/>
      </c>
      <c r="O325" s="28" t="str">
        <f>'INCEXC A'!M325</f>
        <v/>
      </c>
      <c r="P325" s="28" t="str">
        <f>'INCEXC A'!N325</f>
        <v/>
      </c>
      <c r="Q325" s="28" t="str">
        <f>'INCEXC A'!O325</f>
        <v/>
      </c>
      <c r="R325" s="28" t="str">
        <f>'INCEXC B'!O325</f>
        <v/>
      </c>
      <c r="S325" s="28" t="str">
        <f>'INCEXC A'!P325</f>
        <v/>
      </c>
      <c r="T325" s="28" t="str">
        <f>'INCEXC B'!P325</f>
        <v/>
      </c>
      <c r="U325" s="28" t="b">
        <f t="shared" si="4"/>
        <v>1</v>
      </c>
      <c r="V325" s="28" t="b">
        <f t="shared" si="5"/>
        <v>0</v>
      </c>
    </row>
    <row r="326" hidden="1">
      <c r="A326" s="35" t="str">
        <f>'INCEXC A'!A326</f>
        <v>https://doi.org/10.1145/3772318.3791775</v>
      </c>
      <c r="B326" s="35" t="str">
        <f>'INCEXC B'!A326</f>
        <v>https://doi.org/10.1145/3772318.3791775</v>
      </c>
      <c r="C326" s="28" t="b">
        <f t="shared" si="1"/>
        <v>1</v>
      </c>
      <c r="D326" s="28" t="str">
        <f>'INCEXC A'!B326</f>
        <v>10.1145/3772318.3791775</v>
      </c>
      <c r="E326" s="28" t="str">
        <f>'INCEXC A'!C326</f>
        <v>From Symptoms to Systems: An Expert-Guided Approach to Understanding Risks of Generative AI for Eating Disorders</v>
      </c>
      <c r="F326" s="28" t="str">
        <f>'INCEXC A'!D326</f>
        <v>Jonathan</v>
      </c>
      <c r="G326" s="28" t="str">
        <f>'INCEXC B'!D326</f>
        <v>Danni</v>
      </c>
      <c r="H326" s="28" t="str">
        <f>'INCEXC A'!E326</f>
        <v>Exclude</v>
      </c>
      <c r="I326" s="28" t="str">
        <f>'INCEXC B'!E326</f>
        <v>Exclude</v>
      </c>
      <c r="J326" s="28" t="b">
        <f t="shared" si="2"/>
        <v>1</v>
      </c>
      <c r="K326" s="28" t="b">
        <f t="shared" si="3"/>
        <v>0</v>
      </c>
      <c r="L326" s="28" t="str">
        <f>'INCEXC A'!L326</f>
        <v/>
      </c>
      <c r="M326" s="28" t="str">
        <f>'INCEXC B'!L326</f>
        <v/>
      </c>
      <c r="O326" s="28" t="str">
        <f>'INCEXC A'!M326</f>
        <v/>
      </c>
      <c r="P326" s="28" t="str">
        <f>'INCEXC A'!N326</f>
        <v/>
      </c>
      <c r="Q326" s="28" t="str">
        <f>'INCEXC A'!O326</f>
        <v/>
      </c>
      <c r="R326" s="28" t="str">
        <f>'INCEXC B'!O326</f>
        <v/>
      </c>
      <c r="S326" s="28" t="str">
        <f>'INCEXC A'!P326</f>
        <v/>
      </c>
      <c r="T326" s="28" t="str">
        <f>'INCEXC B'!P326</f>
        <v/>
      </c>
      <c r="U326" s="28" t="b">
        <f t="shared" si="4"/>
        <v>1</v>
      </c>
      <c r="V326" s="28" t="b">
        <f t="shared" si="5"/>
        <v>0</v>
      </c>
    </row>
    <row r="327" hidden="1">
      <c r="A327" s="35" t="str">
        <f>'INCEXC A'!A327</f>
        <v>https://doi.org/10.1145/3772318.3791834</v>
      </c>
      <c r="B327" s="35" t="str">
        <f>'INCEXC B'!A327</f>
        <v>https://doi.org/10.1145/3772318.3791834</v>
      </c>
      <c r="C327" s="28" t="b">
        <f t="shared" si="1"/>
        <v>1</v>
      </c>
      <c r="D327" s="28" t="str">
        <f>'INCEXC A'!B327</f>
        <v>10.1145/3772318.3791834</v>
      </c>
      <c r="E327" s="28" t="str">
        <f>'INCEXC A'!C327</f>
        <v>re</v>
      </c>
      <c r="F327" s="28" t="str">
        <f>'INCEXC A'!D327</f>
        <v>Jonathan</v>
      </c>
      <c r="G327" s="28" t="str">
        <f>'INCEXC B'!D327</f>
        <v>Taylor</v>
      </c>
      <c r="H327" s="28" t="str">
        <f>'INCEXC A'!E327</f>
        <v>Exclude</v>
      </c>
      <c r="I327" s="28" t="str">
        <f>'INCEXC B'!E327</f>
        <v>Exclude</v>
      </c>
      <c r="J327" s="28" t="b">
        <f t="shared" si="2"/>
        <v>1</v>
      </c>
      <c r="K327" s="28" t="b">
        <f t="shared" si="3"/>
        <v>0</v>
      </c>
      <c r="L327" s="28" t="str">
        <f>'INCEXC A'!L327</f>
        <v/>
      </c>
      <c r="M327" s="28" t="str">
        <f>'INCEXC B'!L327</f>
        <v/>
      </c>
      <c r="O327" s="28" t="str">
        <f>'INCEXC A'!M327</f>
        <v/>
      </c>
      <c r="P327" s="28" t="str">
        <f>'INCEXC A'!N327</f>
        <v/>
      </c>
      <c r="Q327" s="28" t="str">
        <f>'INCEXC A'!O327</f>
        <v/>
      </c>
      <c r="R327" s="28" t="str">
        <f>'INCEXC B'!O327</f>
        <v/>
      </c>
      <c r="S327" s="28" t="str">
        <f>'INCEXC A'!P327</f>
        <v/>
      </c>
      <c r="T327" s="28" t="str">
        <f>'INCEXC B'!P327</f>
        <v/>
      </c>
      <c r="U327" s="28" t="b">
        <f t="shared" si="4"/>
        <v>1</v>
      </c>
      <c r="V327" s="28" t="b">
        <f t="shared" si="5"/>
        <v>0</v>
      </c>
    </row>
    <row r="328" hidden="1">
      <c r="A328" s="35" t="str">
        <f>'INCEXC A'!A328</f>
        <v>https://doi.org/10.1145/3772318.3791845</v>
      </c>
      <c r="B328" s="35" t="str">
        <f>'INCEXC B'!A328</f>
        <v>https://doi.org/10.1145/3772318.3791845</v>
      </c>
      <c r="C328" s="28" t="b">
        <f t="shared" si="1"/>
        <v>1</v>
      </c>
      <c r="D328" s="28" t="str">
        <f>'INCEXC A'!B328</f>
        <v>10.1145/3772318.3791845</v>
      </c>
      <c r="E328" s="28" t="str">
        <f>'INCEXC A'!C328</f>
        <v>Are We Automating the Joy Out of Work? Designing AI to Augment Work</v>
      </c>
      <c r="F328" s="28" t="str">
        <f>'INCEXC A'!D328</f>
        <v>Jonathan</v>
      </c>
      <c r="G328" s="28" t="str">
        <f>'INCEXC B'!D328</f>
        <v>Danni</v>
      </c>
      <c r="H328" s="28" t="str">
        <f>'INCEXC A'!E328</f>
        <v>Exclude</v>
      </c>
      <c r="I328" s="28" t="str">
        <f>'INCEXC B'!E328</f>
        <v>Exclude</v>
      </c>
      <c r="J328" s="28" t="b">
        <f t="shared" si="2"/>
        <v>1</v>
      </c>
      <c r="K328" s="28" t="b">
        <f t="shared" si="3"/>
        <v>0</v>
      </c>
      <c r="L328" s="28" t="str">
        <f>'INCEXC A'!L328</f>
        <v/>
      </c>
      <c r="M328" s="28" t="str">
        <f>'INCEXC B'!L328</f>
        <v/>
      </c>
      <c r="O328" s="28" t="str">
        <f>'INCEXC A'!M328</f>
        <v/>
      </c>
      <c r="P328" s="28" t="str">
        <f>'INCEXC A'!N328</f>
        <v/>
      </c>
      <c r="Q328" s="28" t="str">
        <f>'INCEXC A'!O328</f>
        <v/>
      </c>
      <c r="R328" s="28" t="str">
        <f>'INCEXC B'!O328</f>
        <v/>
      </c>
      <c r="S328" s="28" t="str">
        <f>'INCEXC A'!P328</f>
        <v/>
      </c>
      <c r="T328" s="28" t="str">
        <f>'INCEXC B'!P328</f>
        <v/>
      </c>
      <c r="U328" s="28" t="b">
        <f t="shared" si="4"/>
        <v>1</v>
      </c>
      <c r="V328" s="28" t="b">
        <f t="shared" si="5"/>
        <v>0</v>
      </c>
    </row>
    <row r="329">
      <c r="A329" s="35" t="str">
        <f>'INCEXC A'!A329</f>
        <v>https://doi.org/10.1145/3772318.3791851</v>
      </c>
      <c r="B329" s="35" t="str">
        <f>'INCEXC B'!A329</f>
        <v>https://doi.org/10.1145/3772318.3791851</v>
      </c>
      <c r="C329" s="28" t="b">
        <f t="shared" si="1"/>
        <v>1</v>
      </c>
      <c r="D329" s="28" t="str">
        <f>'INCEXC A'!B329</f>
        <v>10.1145/3772318.3791851</v>
      </c>
      <c r="E329" s="28" t="str">
        <f>'INCEXC A'!C329</f>
        <v>Personal Validation Effect in LLMs: Positive AI Responses Bias Perceptions of Validity</v>
      </c>
      <c r="F329" s="28" t="str">
        <f>'INCEXC A'!D329</f>
        <v>Jonathan</v>
      </c>
      <c r="G329" s="28" t="str">
        <f>'INCEXC B'!D329</f>
        <v>Danni</v>
      </c>
      <c r="H329" s="28" t="str">
        <f>'INCEXC A'!E329</f>
        <v>Include</v>
      </c>
      <c r="I329" s="28" t="str">
        <f>'INCEXC B'!E329</f>
        <v>Include</v>
      </c>
      <c r="J329" s="28" t="b">
        <f t="shared" si="2"/>
        <v>1</v>
      </c>
      <c r="K329" s="28" t="b">
        <f t="shared" si="3"/>
        <v>1</v>
      </c>
      <c r="L329" s="28" t="str">
        <f>'INCEXC A'!L329</f>
        <v/>
      </c>
      <c r="M329" s="28" t="str">
        <f>'INCEXC B'!L329</f>
        <v/>
      </c>
      <c r="O329" s="28" t="str">
        <f>'INCEXC A'!M329</f>
        <v/>
      </c>
      <c r="P329" s="28" t="str">
        <f>'INCEXC A'!N329</f>
        <v/>
      </c>
      <c r="Q329" s="28" t="str">
        <f>'INCEXC A'!O329</f>
        <v/>
      </c>
      <c r="R329" s="28" t="str">
        <f>'INCEXC B'!O329</f>
        <v/>
      </c>
      <c r="S329" s="28" t="str">
        <f>'INCEXC A'!P329</f>
        <v/>
      </c>
      <c r="T329" s="28" t="str">
        <f>'INCEXC B'!P329</f>
        <v/>
      </c>
      <c r="U329" s="28" t="b">
        <f t="shared" si="4"/>
        <v>1</v>
      </c>
      <c r="V329" s="28" t="b">
        <f t="shared" si="5"/>
        <v>0</v>
      </c>
    </row>
    <row r="330" hidden="1">
      <c r="A330" s="35" t="str">
        <f>'INCEXC A'!A330</f>
        <v>https://doi.org/10.1145/3772318.3791880</v>
      </c>
      <c r="B330" s="35" t="str">
        <f>'INCEXC B'!A330</f>
        <v>https://doi.org/10.1145/3772318.3791880</v>
      </c>
      <c r="C330" s="28" t="b">
        <f t="shared" si="1"/>
        <v>1</v>
      </c>
      <c r="D330" s="28" t="str">
        <f>'INCEXC A'!B330</f>
        <v>10.1145/3772318.3791880</v>
      </c>
      <c r="E330" s="28" t="str">
        <f>'INCEXC A'!C330</f>
        <v>SeeSawBot: An LLM-Driven Chatbot Mediating Across Private and Shared Slack Channels to Support Team Dynamics</v>
      </c>
      <c r="F330" s="28" t="str">
        <f>'INCEXC A'!D330</f>
        <v>Jonathan</v>
      </c>
      <c r="G330" s="28" t="str">
        <f>'INCEXC B'!D330</f>
        <v>Ceren</v>
      </c>
      <c r="H330" s="28" t="str">
        <f>'INCEXC A'!E330</f>
        <v>Exclude</v>
      </c>
      <c r="I330" s="28" t="str">
        <f>'INCEXC B'!E330</f>
        <v>Exclude</v>
      </c>
      <c r="J330" s="28" t="b">
        <f t="shared" si="2"/>
        <v>1</v>
      </c>
      <c r="K330" s="28" t="b">
        <f t="shared" si="3"/>
        <v>0</v>
      </c>
      <c r="L330" s="28" t="str">
        <f>'INCEXC A'!L330</f>
        <v/>
      </c>
      <c r="M330" s="28" t="str">
        <f>'INCEXC B'!L330</f>
        <v/>
      </c>
      <c r="O330" s="28" t="str">
        <f>'INCEXC A'!M330</f>
        <v/>
      </c>
      <c r="P330" s="28" t="str">
        <f>'INCEXC A'!N330</f>
        <v/>
      </c>
      <c r="Q330" s="28" t="str">
        <f>'INCEXC A'!O330</f>
        <v/>
      </c>
      <c r="R330" s="28" t="str">
        <f>'INCEXC B'!O330</f>
        <v/>
      </c>
      <c r="S330" s="28" t="str">
        <f>'INCEXC A'!P330</f>
        <v/>
      </c>
      <c r="T330" s="28" t="str">
        <f>'INCEXC B'!P330</f>
        <v/>
      </c>
      <c r="U330" s="28" t="b">
        <f t="shared" si="4"/>
        <v>1</v>
      </c>
      <c r="V330" s="28" t="b">
        <f t="shared" si="5"/>
        <v>0</v>
      </c>
    </row>
    <row r="331">
      <c r="A331" s="35" t="str">
        <f>'INCEXC A'!A331</f>
        <v>https://doi.org/10.1145/3772318.3791915</v>
      </c>
      <c r="B331" s="35" t="str">
        <f>'INCEXC B'!A331</f>
        <v>https://doi.org/10.1145/3772318.3791915</v>
      </c>
      <c r="C331" s="28" t="b">
        <f t="shared" si="1"/>
        <v>1</v>
      </c>
      <c r="D331" s="28" t="str">
        <f>'INCEXC A'!B331</f>
        <v>10.1145/3772318.3791915</v>
      </c>
      <c r="E331" s="28" t="str">
        <f>'INCEXC A'!C331</f>
        <v>Interaction Context Often Increases Sycophancy in LLMs</v>
      </c>
      <c r="F331" s="28" t="str">
        <f>'INCEXC A'!D331</f>
        <v>Kaiser</v>
      </c>
      <c r="G331" s="28" t="str">
        <f>'INCEXC B'!D331</f>
        <v>Danni</v>
      </c>
      <c r="H331" s="28" t="str">
        <f>'INCEXC A'!E331</f>
        <v>Include</v>
      </c>
      <c r="I331" s="28" t="str">
        <f>'INCEXC B'!E331</f>
        <v>Include</v>
      </c>
      <c r="J331" s="28" t="b">
        <f t="shared" si="2"/>
        <v>1</v>
      </c>
      <c r="K331" s="28" t="b">
        <f t="shared" si="3"/>
        <v>1</v>
      </c>
      <c r="L331" s="28" t="str">
        <f>'INCEXC A'!L331</f>
        <v/>
      </c>
      <c r="M331" s="28" t="str">
        <f>'INCEXC B'!L331</f>
        <v/>
      </c>
      <c r="O331" s="28" t="str">
        <f>'INCEXC A'!M331</f>
        <v/>
      </c>
      <c r="P331" s="28" t="str">
        <f>'INCEXC A'!N331</f>
        <v/>
      </c>
      <c r="Q331" s="28" t="str">
        <f>'INCEXC A'!O331</f>
        <v/>
      </c>
      <c r="R331" s="28" t="str">
        <f>'INCEXC B'!O331</f>
        <v/>
      </c>
      <c r="S331" s="28" t="str">
        <f>'INCEXC A'!P331</f>
        <v/>
      </c>
      <c r="T331" s="28" t="str">
        <f>'INCEXC B'!P331</f>
        <v/>
      </c>
      <c r="U331" s="28" t="b">
        <f t="shared" si="4"/>
        <v>1</v>
      </c>
      <c r="V331" s="28" t="b">
        <f t="shared" si="5"/>
        <v>0</v>
      </c>
    </row>
    <row r="332" hidden="1">
      <c r="A332" s="35" t="str">
        <f>'INCEXC A'!A332</f>
        <v>https://doi.org/10.1145/3772318.3793266</v>
      </c>
      <c r="B332" s="35" t="str">
        <f>'INCEXC B'!A332</f>
        <v>https://doi.org/10.1145/3772318.3793266</v>
      </c>
      <c r="C332" s="28" t="b">
        <f t="shared" si="1"/>
        <v>1</v>
      </c>
      <c r="D332" s="28" t="str">
        <f>'INCEXC A'!B332</f>
        <v>10.1145/3772318.3793266</v>
      </c>
      <c r="E332" s="28" t="str">
        <f>'INCEXC A'!C332</f>
        <v>How Multimodal Large Language Models Support Access to Visual Information: A Diary Study With Blind and Low Vision People</v>
      </c>
      <c r="F332" s="28" t="str">
        <f>'INCEXC A'!D332</f>
        <v>Marilyn</v>
      </c>
      <c r="G332" s="28" t="str">
        <f>'INCEXC B'!D332</f>
        <v>Ceren</v>
      </c>
      <c r="H332" s="28" t="str">
        <f>'INCEXC A'!E332</f>
        <v>Exclude</v>
      </c>
      <c r="I332" s="28" t="str">
        <f>'INCEXC B'!E332</f>
        <v>Exclude</v>
      </c>
      <c r="J332" s="28" t="b">
        <f t="shared" si="2"/>
        <v>1</v>
      </c>
      <c r="K332" s="28" t="b">
        <f t="shared" si="3"/>
        <v>0</v>
      </c>
      <c r="L332" s="28" t="str">
        <f>'INCEXC A'!L332</f>
        <v/>
      </c>
      <c r="M332" s="28" t="str">
        <f>'INCEXC B'!L332</f>
        <v/>
      </c>
      <c r="O332" s="28" t="str">
        <f>'INCEXC A'!M332</f>
        <v/>
      </c>
      <c r="P332" s="28" t="str">
        <f>'INCEXC A'!N332</f>
        <v/>
      </c>
      <c r="Q332" s="28" t="str">
        <f>'INCEXC A'!O332</f>
        <v/>
      </c>
      <c r="R332" s="28" t="str">
        <f>'INCEXC B'!O332</f>
        <v/>
      </c>
      <c r="S332" s="28" t="str">
        <f>'INCEXC A'!P332</f>
        <v/>
      </c>
      <c r="T332" s="28" t="str">
        <f>'INCEXC B'!P332</f>
        <v/>
      </c>
      <c r="U332" s="28" t="b">
        <f t="shared" si="4"/>
        <v>1</v>
      </c>
      <c r="V332" s="28" t="b">
        <f t="shared" si="5"/>
        <v>0</v>
      </c>
    </row>
    <row r="333" hidden="1">
      <c r="A333" s="35" t="str">
        <f>'INCEXC A'!A333</f>
        <v>https://doi.org/10.1145/3772318.3808894</v>
      </c>
      <c r="B333" s="35" t="str">
        <f>'INCEXC B'!A333</f>
        <v>https://doi.org/10.1145/3772318.3808894</v>
      </c>
      <c r="C333" s="28" t="b">
        <f t="shared" si="1"/>
        <v>1</v>
      </c>
      <c r="D333" s="28" t="str">
        <f>'INCEXC A'!B333</f>
        <v>10.1145/3772318.3808894</v>
      </c>
      <c r="E333" s="28" t="str">
        <f>'INCEXC A'!C333</f>
        <v>Session Summary Podcast: Session 14: AI for Youth Learning</v>
      </c>
      <c r="F333" s="28" t="str">
        <f>'INCEXC A'!D333</f>
        <v>Jonathan</v>
      </c>
      <c r="G333" s="28" t="str">
        <f>'INCEXC B'!D333</f>
        <v>Taylor</v>
      </c>
      <c r="H333" s="28" t="str">
        <f>'INCEXC A'!E333</f>
        <v>Exclude</v>
      </c>
      <c r="I333" s="28" t="str">
        <f>'INCEXC B'!E333</f>
        <v>Exclude</v>
      </c>
      <c r="J333" s="28" t="b">
        <f t="shared" si="2"/>
        <v>1</v>
      </c>
      <c r="K333" s="28" t="b">
        <f t="shared" si="3"/>
        <v>0</v>
      </c>
      <c r="L333" s="28" t="str">
        <f>'INCEXC A'!L333</f>
        <v/>
      </c>
      <c r="M333" s="28" t="str">
        <f>'INCEXC B'!L333</f>
        <v/>
      </c>
      <c r="O333" s="28" t="str">
        <f>'INCEXC A'!M333</f>
        <v/>
      </c>
      <c r="P333" s="28" t="str">
        <f>'INCEXC A'!N333</f>
        <v/>
      </c>
      <c r="Q333" s="28" t="str">
        <f>'INCEXC A'!O333</f>
        <v/>
      </c>
      <c r="R333" s="28" t="str">
        <f>'INCEXC B'!O333</f>
        <v/>
      </c>
      <c r="S333" s="28" t="str">
        <f>'INCEXC A'!P333</f>
        <v/>
      </c>
      <c r="T333" s="28" t="str">
        <f>'INCEXC B'!P333</f>
        <v/>
      </c>
      <c r="U333" s="28" t="b">
        <f t="shared" si="4"/>
        <v>1</v>
      </c>
      <c r="V333" s="28" t="b">
        <f t="shared" si="5"/>
        <v>0</v>
      </c>
    </row>
    <row r="334" hidden="1">
      <c r="A334" s="35" t="str">
        <f>'INCEXC A'!A334</f>
        <v>https://doi.org/10.1145/3772318.3809068</v>
      </c>
      <c r="B334" s="35" t="str">
        <f>'INCEXC B'!A334</f>
        <v>https://doi.org/10.1145/3772318.3809068</v>
      </c>
      <c r="C334" s="28" t="b">
        <f t="shared" si="1"/>
        <v>1</v>
      </c>
      <c r="D334" s="28" t="str">
        <f>'INCEXC A'!B334</f>
        <v>10.1145/3772318.3809068</v>
      </c>
      <c r="E334" s="28" t="str">
        <f>'INCEXC A'!C334</f>
        <v>Session Summary Podcast: Session 180: Relationships with AI</v>
      </c>
      <c r="F334" s="28" t="str">
        <f>'INCEXC A'!D334</f>
        <v>Marilyn</v>
      </c>
      <c r="G334" s="28" t="str">
        <f>'INCEXC B'!D334</f>
        <v>Ceren</v>
      </c>
      <c r="H334" s="28" t="str">
        <f>'INCEXC A'!E334</f>
        <v>Exclude</v>
      </c>
      <c r="I334" s="28" t="str">
        <f>'INCEXC B'!E334</f>
        <v>Exclude</v>
      </c>
      <c r="J334" s="28" t="b">
        <f t="shared" si="2"/>
        <v>1</v>
      </c>
      <c r="K334" s="28" t="b">
        <f t="shared" si="3"/>
        <v>0</v>
      </c>
      <c r="L334" s="28" t="str">
        <f>'INCEXC A'!L334</f>
        <v/>
      </c>
      <c r="M334" s="28" t="str">
        <f>'INCEXC B'!L334</f>
        <v/>
      </c>
      <c r="O334" s="28" t="str">
        <f>'INCEXC A'!M334</f>
        <v/>
      </c>
      <c r="P334" s="28" t="str">
        <f>'INCEXC A'!N334</f>
        <v/>
      </c>
      <c r="Q334" s="28" t="str">
        <f>'INCEXC A'!O334</f>
        <v/>
      </c>
      <c r="R334" s="28" t="str">
        <f>'INCEXC B'!O334</f>
        <v/>
      </c>
      <c r="S334" s="28" t="str">
        <f>'INCEXC A'!P334</f>
        <v/>
      </c>
      <c r="T334" s="28" t="str">
        <f>'INCEXC B'!P334</f>
        <v/>
      </c>
      <c r="U334" s="28" t="b">
        <f t="shared" si="4"/>
        <v>1</v>
      </c>
      <c r="V334" s="28" t="b">
        <f t="shared" si="5"/>
        <v>0</v>
      </c>
    </row>
    <row r="335" hidden="1">
      <c r="A335" s="35" t="str">
        <f>'INCEXC A'!A335</f>
        <v>https://doi.org/10.1145/3772318.3809104</v>
      </c>
      <c r="B335" s="35" t="str">
        <f>'INCEXC B'!A335</f>
        <v>https://doi.org/10.1145/3772318.3809104</v>
      </c>
      <c r="C335" s="28" t="b">
        <f t="shared" si="1"/>
        <v>1</v>
      </c>
      <c r="D335" s="28" t="str">
        <f>'INCEXC A'!B335</f>
        <v>10.1145/3772318.3809104</v>
      </c>
      <c r="E335" s="28" t="str">
        <f>'INCEXC A'!C335</f>
        <v>Session Summary Podcast: Session 216: The Dark Sides of AI</v>
      </c>
      <c r="F335" s="28" t="str">
        <f>'INCEXC A'!D335</f>
        <v>Jonathan</v>
      </c>
      <c r="G335" s="28" t="str">
        <f>'INCEXC B'!D335</f>
        <v>Danni</v>
      </c>
      <c r="H335" s="28" t="str">
        <f>'INCEXC A'!E335</f>
        <v>Exclude</v>
      </c>
      <c r="I335" s="28" t="str">
        <f>'INCEXC B'!E335</f>
        <v>Exclude</v>
      </c>
      <c r="J335" s="28" t="b">
        <f t="shared" si="2"/>
        <v>1</v>
      </c>
      <c r="K335" s="28" t="b">
        <f t="shared" si="3"/>
        <v>0</v>
      </c>
      <c r="L335" s="28" t="str">
        <f>'INCEXC A'!L335</f>
        <v/>
      </c>
      <c r="M335" s="28" t="str">
        <f>'INCEXC B'!L335</f>
        <v/>
      </c>
      <c r="O335" s="28" t="str">
        <f>'INCEXC A'!M335</f>
        <v/>
      </c>
      <c r="P335" s="28" t="str">
        <f>'INCEXC A'!N335</f>
        <v/>
      </c>
      <c r="Q335" s="28" t="str">
        <f>'INCEXC A'!O335</f>
        <v/>
      </c>
      <c r="R335" s="28" t="str">
        <f>'INCEXC B'!O335</f>
        <v/>
      </c>
      <c r="S335" s="28" t="str">
        <f>'INCEXC A'!P335</f>
        <v/>
      </c>
      <c r="T335" s="28" t="str">
        <f>'INCEXC B'!P335</f>
        <v/>
      </c>
      <c r="U335" s="28" t="b">
        <f t="shared" si="4"/>
        <v>1</v>
      </c>
      <c r="V335" s="28" t="b">
        <f t="shared" si="5"/>
        <v>0</v>
      </c>
    </row>
    <row r="336" hidden="1">
      <c r="A336" s="35" t="str">
        <f>'INCEXC A'!A336</f>
        <v>https://doi.org/10.1145/3772363.3778699</v>
      </c>
      <c r="B336" s="35" t="str">
        <f>'INCEXC B'!A336</f>
        <v>https://doi.org/10.1145/3772363.3778699</v>
      </c>
      <c r="C336" s="28" t="b">
        <f t="shared" si="1"/>
        <v>1</v>
      </c>
      <c r="D336" s="28" t="str">
        <f>'INCEXC A'!B336</f>
        <v>10.1145/3772363.3778699</v>
      </c>
      <c r="E336" s="28" t="str">
        <f>'INCEXC A'!C336</f>
        <v>Social and Emotional Uses of AI</v>
      </c>
      <c r="F336" s="28" t="str">
        <f>'INCEXC A'!D336</f>
        <v>Kaiser</v>
      </c>
      <c r="G336" s="28" t="str">
        <f>'INCEXC B'!D336</f>
        <v>Taylor</v>
      </c>
      <c r="H336" s="28" t="str">
        <f>'INCEXC A'!E336</f>
        <v>Exclude</v>
      </c>
      <c r="I336" s="28" t="str">
        <f>'INCEXC B'!E336</f>
        <v>Exclude</v>
      </c>
      <c r="J336" s="28" t="b">
        <f t="shared" si="2"/>
        <v>1</v>
      </c>
      <c r="K336" s="28" t="b">
        <f t="shared" si="3"/>
        <v>0</v>
      </c>
      <c r="L336" s="28" t="str">
        <f>'INCEXC A'!L336</f>
        <v/>
      </c>
      <c r="M336" s="28" t="str">
        <f>'INCEXC B'!L336</f>
        <v/>
      </c>
      <c r="O336" s="28" t="str">
        <f>'INCEXC A'!M336</f>
        <v/>
      </c>
      <c r="P336" s="28" t="str">
        <f>'INCEXC A'!N336</f>
        <v/>
      </c>
      <c r="Q336" s="28" t="str">
        <f>'INCEXC A'!O336</f>
        <v/>
      </c>
      <c r="R336" s="28" t="str">
        <f>'INCEXC B'!O336</f>
        <v/>
      </c>
      <c r="S336" s="28" t="str">
        <f>'INCEXC A'!P336</f>
        <v/>
      </c>
      <c r="T336" s="28" t="str">
        <f>'INCEXC B'!P336</f>
        <v/>
      </c>
      <c r="U336" s="28" t="b">
        <f t="shared" si="4"/>
        <v>1</v>
      </c>
      <c r="V336" s="28" t="b">
        <f t="shared" si="5"/>
        <v>0</v>
      </c>
    </row>
    <row r="337" hidden="1">
      <c r="A337" s="35" t="str">
        <f>'INCEXC A'!A337</f>
        <v>https://doi.org/10.1145/3772363.3778745</v>
      </c>
      <c r="B337" s="35" t="str">
        <f>'INCEXC B'!A337</f>
        <v>https://doi.org/10.1145/3772363.3778745</v>
      </c>
      <c r="C337" s="28" t="b">
        <f t="shared" si="1"/>
        <v>1</v>
      </c>
      <c r="D337" s="28" t="str">
        <f>'INCEXC A'!B337</f>
        <v>10.1145/3772363.3778745</v>
      </c>
      <c r="E337" s="28" t="str">
        <f>'INCEXC A'!C337</f>
        <v>From Generation to Simulation: Responsible Use of AI Personas in Human-Centered Design and Research</v>
      </c>
      <c r="F337" s="28" t="str">
        <f>'INCEXC A'!D337</f>
        <v>Jonathan</v>
      </c>
      <c r="G337" s="28" t="str">
        <f>'INCEXC B'!D337</f>
        <v>Taylor</v>
      </c>
      <c r="H337" s="28" t="str">
        <f>'INCEXC A'!E337</f>
        <v>Exclude</v>
      </c>
      <c r="I337" s="28" t="str">
        <f>'INCEXC B'!E337</f>
        <v>Exclude</v>
      </c>
      <c r="J337" s="28" t="b">
        <f t="shared" si="2"/>
        <v>1</v>
      </c>
      <c r="K337" s="28" t="b">
        <f t="shared" si="3"/>
        <v>0</v>
      </c>
      <c r="L337" s="28" t="str">
        <f>'INCEXC A'!L337</f>
        <v/>
      </c>
      <c r="M337" s="28" t="str">
        <f>'INCEXC B'!L337</f>
        <v/>
      </c>
      <c r="O337" s="28" t="str">
        <f>'INCEXC A'!M337</f>
        <v/>
      </c>
      <c r="P337" s="28" t="str">
        <f>'INCEXC A'!N337</f>
        <v/>
      </c>
      <c r="Q337" s="28" t="str">
        <f>'INCEXC A'!O337</f>
        <v/>
      </c>
      <c r="R337" s="28" t="str">
        <f>'INCEXC B'!O337</f>
        <v/>
      </c>
      <c r="S337" s="28" t="str">
        <f>'INCEXC A'!P337</f>
        <v/>
      </c>
      <c r="T337" s="28" t="str">
        <f>'INCEXC B'!P337</f>
        <v/>
      </c>
      <c r="U337" s="28" t="b">
        <f t="shared" si="4"/>
        <v>1</v>
      </c>
      <c r="V337" s="28" t="b">
        <f t="shared" si="5"/>
        <v>0</v>
      </c>
    </row>
    <row r="338" hidden="1">
      <c r="A338" s="35" t="str">
        <f>'INCEXC A'!A338</f>
        <v>https://doi.org/10.1145/3772363.3798453</v>
      </c>
      <c r="B338" s="35" t="str">
        <f>'INCEXC B'!A338</f>
        <v>https://doi.org/10.1145/3772363.3798453</v>
      </c>
      <c r="C338" s="28" t="b">
        <f t="shared" si="1"/>
        <v>1</v>
      </c>
      <c r="D338" s="28" t="str">
        <f>'INCEXC A'!B338</f>
        <v>10.1145/3772363.3798453</v>
      </c>
      <c r="E338" s="28" t="str">
        <f>'INCEXC A'!C338</f>
        <v>AI-Induced Delusional Spirals: Understanding Lived Experiences During Maladaptive Human-Chatbot Interactions</v>
      </c>
      <c r="F338" s="28" t="str">
        <f>'INCEXC A'!D338</f>
        <v>Marilyn</v>
      </c>
      <c r="G338" s="28" t="str">
        <f>'INCEXC B'!D338</f>
        <v>Ceren</v>
      </c>
      <c r="H338" s="28" t="str">
        <f>'INCEXC A'!E338</f>
        <v>Exclude</v>
      </c>
      <c r="I338" s="28" t="str">
        <f>'INCEXC B'!E338</f>
        <v>Exclude</v>
      </c>
      <c r="J338" s="28" t="b">
        <f t="shared" si="2"/>
        <v>1</v>
      </c>
      <c r="K338" s="28" t="b">
        <f t="shared" si="3"/>
        <v>0</v>
      </c>
      <c r="L338" s="28" t="str">
        <f>'INCEXC A'!L338</f>
        <v/>
      </c>
      <c r="M338" s="28" t="str">
        <f>'INCEXC B'!L338</f>
        <v/>
      </c>
      <c r="O338" s="28" t="str">
        <f>'INCEXC A'!M338</f>
        <v/>
      </c>
      <c r="P338" s="28" t="str">
        <f>'INCEXC A'!N338</f>
        <v/>
      </c>
      <c r="Q338" s="28" t="str">
        <f>'INCEXC A'!O338</f>
        <v/>
      </c>
      <c r="R338" s="28" t="str">
        <f>'INCEXC B'!O338</f>
        <v/>
      </c>
      <c r="S338" s="28" t="str">
        <f>'INCEXC A'!P338</f>
        <v/>
      </c>
      <c r="T338" s="28" t="str">
        <f>'INCEXC B'!P338</f>
        <v/>
      </c>
      <c r="U338" s="28" t="b">
        <f t="shared" si="4"/>
        <v>1</v>
      </c>
      <c r="V338" s="28" t="b">
        <f t="shared" si="5"/>
        <v>0</v>
      </c>
    </row>
    <row r="339" hidden="1">
      <c r="A339" s="35" t="str">
        <f>'INCEXC A'!A339</f>
        <v>https://doi.org/10.1145/3772363.3798512</v>
      </c>
      <c r="B339" s="35" t="str">
        <f>'INCEXC B'!A339</f>
        <v>https://doi.org/10.1145/3772363.3798512</v>
      </c>
      <c r="C339" s="28" t="b">
        <f t="shared" si="1"/>
        <v>1</v>
      </c>
      <c r="D339" s="28" t="str">
        <f>'INCEXC A'!B339</f>
        <v>10.1145/3772363.3798512</v>
      </c>
      <c r="E339" s="28" t="str">
        <f>'INCEXC A'!C339</f>
        <v>“Just Listening Was Enough—Until It Wasn't”: Relationship-Stage-Aware Cognitive Scaffolding in AI Companions</v>
      </c>
      <c r="F339" s="28" t="str">
        <f>'INCEXC A'!D339</f>
        <v>Marilyn</v>
      </c>
      <c r="G339" s="28" t="str">
        <f>'INCEXC B'!D339</f>
        <v>Danni</v>
      </c>
      <c r="H339" s="28" t="str">
        <f>'INCEXC A'!E339</f>
        <v>Exclude</v>
      </c>
      <c r="I339" s="28" t="str">
        <f>'INCEXC B'!E339</f>
        <v>Exclude</v>
      </c>
      <c r="J339" s="28" t="b">
        <f t="shared" si="2"/>
        <v>1</v>
      </c>
      <c r="K339" s="28" t="b">
        <f t="shared" si="3"/>
        <v>0</v>
      </c>
      <c r="L339" s="28" t="str">
        <f>'INCEXC A'!L339</f>
        <v/>
      </c>
      <c r="M339" s="28" t="str">
        <f>'INCEXC B'!L339</f>
        <v/>
      </c>
      <c r="O339" s="28" t="str">
        <f>'INCEXC A'!M339</f>
        <v/>
      </c>
      <c r="P339" s="28" t="str">
        <f>'INCEXC A'!N339</f>
        <v/>
      </c>
      <c r="Q339" s="28" t="str">
        <f>'INCEXC A'!O339</f>
        <v/>
      </c>
      <c r="R339" s="28" t="str">
        <f>'INCEXC B'!O339</f>
        <v/>
      </c>
      <c r="S339" s="28" t="str">
        <f>'INCEXC A'!P339</f>
        <v/>
      </c>
      <c r="T339" s="28" t="str">
        <f>'INCEXC B'!P339</f>
        <v/>
      </c>
      <c r="U339" s="28" t="b">
        <f t="shared" si="4"/>
        <v>1</v>
      </c>
      <c r="V339" s="28" t="b">
        <f t="shared" si="5"/>
        <v>0</v>
      </c>
    </row>
    <row r="340" hidden="1">
      <c r="A340" s="35" t="str">
        <f>'INCEXC A'!A340</f>
        <v>https://doi.org/10.1145/3772363.3798562</v>
      </c>
      <c r="B340" s="35" t="str">
        <f>'INCEXC B'!A340</f>
        <v>https://doi.org/10.1145/3772363.3798562</v>
      </c>
      <c r="C340" s="28" t="b">
        <f t="shared" si="1"/>
        <v>1</v>
      </c>
      <c r="D340" s="28" t="str">
        <f>'INCEXC A'!B340</f>
        <v>10.1145/3772363.3798562</v>
      </c>
      <c r="E340" s="28" t="str">
        <f>'INCEXC A'!C340</f>
        <v>The Multilingual Safety Divide: Cross-Lingual Disparities in LLM Climate Misinformation Detection</v>
      </c>
      <c r="F340" s="28" t="str">
        <f>'INCEXC A'!D340</f>
        <v>Jonathan</v>
      </c>
      <c r="G340" s="28" t="str">
        <f>'INCEXC B'!D340</f>
        <v>Taylor</v>
      </c>
      <c r="H340" s="28" t="str">
        <f>'INCEXC A'!E340</f>
        <v>Exclude</v>
      </c>
      <c r="I340" s="28" t="str">
        <f>'INCEXC B'!E340</f>
        <v>Exclude</v>
      </c>
      <c r="J340" s="28" t="b">
        <f t="shared" si="2"/>
        <v>1</v>
      </c>
      <c r="K340" s="28" t="b">
        <f t="shared" si="3"/>
        <v>0</v>
      </c>
      <c r="L340" s="28" t="str">
        <f>'INCEXC A'!L340</f>
        <v/>
      </c>
      <c r="M340" s="28" t="str">
        <f>'INCEXC B'!L340</f>
        <v/>
      </c>
      <c r="O340" s="28" t="str">
        <f>'INCEXC A'!M340</f>
        <v/>
      </c>
      <c r="P340" s="28" t="str">
        <f>'INCEXC A'!N340</f>
        <v/>
      </c>
      <c r="Q340" s="28" t="str">
        <f>'INCEXC A'!O340</f>
        <v/>
      </c>
      <c r="R340" s="28" t="str">
        <f>'INCEXC B'!O340</f>
        <v/>
      </c>
      <c r="S340" s="28" t="str">
        <f>'INCEXC A'!P340</f>
        <v/>
      </c>
      <c r="T340" s="28" t="str">
        <f>'INCEXC B'!P340</f>
        <v/>
      </c>
      <c r="U340" s="28" t="b">
        <f t="shared" si="4"/>
        <v>1</v>
      </c>
      <c r="V340" s="28" t="b">
        <f t="shared" si="5"/>
        <v>0</v>
      </c>
    </row>
    <row r="341" hidden="1">
      <c r="A341" s="35" t="str">
        <f>'INCEXC A'!A341</f>
        <v>https://doi.org/10.1145/3772363.3798575</v>
      </c>
      <c r="B341" s="35" t="str">
        <f>'INCEXC B'!A341</f>
        <v>https://doi.org/10.1145/3772363.3798575</v>
      </c>
      <c r="C341" s="28" t="b">
        <f t="shared" si="1"/>
        <v>1</v>
      </c>
      <c r="D341" s="28" t="str">
        <f>'INCEXC A'!B341</f>
        <v>10.1145/3772363.3798575</v>
      </c>
      <c r="E341" s="28" t="str">
        <f>'INCEXC A'!C341</f>
        <v>When Flattery Backfires: How Sycophancy and Interaction Context Shape Perceived Authenticity and Trust in Large Language AI Models</v>
      </c>
      <c r="F341" s="28" t="str">
        <f>'INCEXC A'!D341</f>
        <v>Jonathan</v>
      </c>
      <c r="G341" s="28" t="str">
        <f>'INCEXC B'!D341</f>
        <v>Ceren</v>
      </c>
      <c r="H341" s="28" t="str">
        <f>'INCEXC A'!E341</f>
        <v>Exclude</v>
      </c>
      <c r="I341" s="28" t="str">
        <f>'INCEXC B'!E341</f>
        <v>Exclude</v>
      </c>
      <c r="J341" s="28" t="b">
        <f t="shared" si="2"/>
        <v>1</v>
      </c>
      <c r="K341" s="28" t="b">
        <f t="shared" si="3"/>
        <v>0</v>
      </c>
      <c r="L341" s="28" t="str">
        <f>'INCEXC A'!L341</f>
        <v/>
      </c>
      <c r="M341" s="28" t="str">
        <f>'INCEXC B'!L341</f>
        <v/>
      </c>
      <c r="O341" s="28" t="str">
        <f>'INCEXC A'!M341</f>
        <v/>
      </c>
      <c r="P341" s="28" t="str">
        <f>'INCEXC A'!N341</f>
        <v/>
      </c>
      <c r="Q341" s="28" t="str">
        <f>'INCEXC A'!O341</f>
        <v/>
      </c>
      <c r="R341" s="28" t="str">
        <f>'INCEXC B'!O341</f>
        <v/>
      </c>
      <c r="S341" s="28" t="str">
        <f>'INCEXC A'!P341</f>
        <v/>
      </c>
      <c r="T341" s="28" t="str">
        <f>'INCEXC B'!P341</f>
        <v/>
      </c>
      <c r="U341" s="28" t="b">
        <f t="shared" si="4"/>
        <v>1</v>
      </c>
      <c r="V341" s="28" t="b">
        <f t="shared" si="5"/>
        <v>0</v>
      </c>
    </row>
    <row r="342" hidden="1">
      <c r="A342" s="35" t="str">
        <f>'INCEXC A'!A342</f>
        <v>https://doi.org/10.1145/3772363.3798611</v>
      </c>
      <c r="B342" s="35" t="str">
        <f>'INCEXC B'!A342</f>
        <v>https://doi.org/10.1145/3772363.3798611</v>
      </c>
      <c r="C342" s="28" t="b">
        <f t="shared" si="1"/>
        <v>1</v>
      </c>
      <c r="D342" s="28" t="str">
        <f>'INCEXC A'!B342</f>
        <v>10.1145/3772363.3798611</v>
      </c>
      <c r="E342" s="28" t="str">
        <f>'INCEXC A'!C342</f>
        <v>Verbalizing LLMs' Assumptions About the User to Calibrate Expectations and Reduce Sycophancy</v>
      </c>
      <c r="F342" s="28" t="str">
        <f>'INCEXC A'!D342</f>
        <v>Jonathan</v>
      </c>
      <c r="G342" s="28" t="str">
        <f>'INCEXC B'!D342</f>
        <v>Taylor</v>
      </c>
      <c r="H342" s="28" t="str">
        <f>'INCEXC A'!E342</f>
        <v>Exclude</v>
      </c>
      <c r="I342" s="28" t="str">
        <f>'INCEXC B'!E342</f>
        <v>Exclude</v>
      </c>
      <c r="J342" s="28" t="b">
        <f t="shared" si="2"/>
        <v>1</v>
      </c>
      <c r="K342" s="28" t="b">
        <f t="shared" si="3"/>
        <v>0</v>
      </c>
      <c r="L342" s="28" t="str">
        <f>'INCEXC A'!L342</f>
        <v/>
      </c>
      <c r="M342" s="28" t="str">
        <f>'INCEXC B'!L342</f>
        <v/>
      </c>
      <c r="O342" s="28" t="str">
        <f>'INCEXC A'!M342</f>
        <v/>
      </c>
      <c r="P342" s="28" t="str">
        <f>'INCEXC A'!N342</f>
        <v/>
      </c>
      <c r="Q342" s="28" t="str">
        <f>'INCEXC A'!O342</f>
        <v/>
      </c>
      <c r="R342" s="28" t="str">
        <f>'INCEXC B'!O342</f>
        <v/>
      </c>
      <c r="S342" s="28" t="str">
        <f>'INCEXC A'!P342</f>
        <v/>
      </c>
      <c r="T342" s="28" t="str">
        <f>'INCEXC B'!P342</f>
        <v/>
      </c>
      <c r="U342" s="28" t="b">
        <f t="shared" si="4"/>
        <v>1</v>
      </c>
      <c r="V342" s="28" t="b">
        <f t="shared" si="5"/>
        <v>0</v>
      </c>
    </row>
    <row r="343" hidden="1">
      <c r="A343" s="35" t="str">
        <f>'INCEXC A'!A343</f>
        <v>https://doi.org/10.1145/3772363.3798685</v>
      </c>
      <c r="B343" s="35" t="str">
        <f>'INCEXC B'!A343</f>
        <v>https://doi.org/10.1145/3772363.3798685</v>
      </c>
      <c r="C343" s="28" t="b">
        <f t="shared" si="1"/>
        <v>1</v>
      </c>
      <c r="D343" s="28" t="str">
        <f>'INCEXC A'!B343</f>
        <v>10.1145/3772363.3798685</v>
      </c>
      <c r="E343" s="28" t="str">
        <f>'INCEXC A'!C343</f>
        <v>Who wants to be nagged by AI?: Investigating the Effects of Agreeableness on Older Adults' Perception of LLM-Based Voice Assistants' Explanations</v>
      </c>
      <c r="F343" s="28" t="str">
        <f>'INCEXC A'!D343</f>
        <v>Jonathan</v>
      </c>
      <c r="G343" s="28" t="str">
        <f>'INCEXC B'!D343</f>
        <v>Danni</v>
      </c>
      <c r="H343" s="28" t="str">
        <f>'INCEXC A'!E343</f>
        <v>Exclude</v>
      </c>
      <c r="I343" s="28" t="str">
        <f>'INCEXC B'!E343</f>
        <v>Exclude</v>
      </c>
      <c r="J343" s="28" t="b">
        <f t="shared" si="2"/>
        <v>1</v>
      </c>
      <c r="K343" s="28" t="b">
        <f t="shared" si="3"/>
        <v>0</v>
      </c>
      <c r="L343" s="28" t="str">
        <f>'INCEXC A'!L343</f>
        <v/>
      </c>
      <c r="M343" s="28" t="str">
        <f>'INCEXC B'!L343</f>
        <v/>
      </c>
      <c r="O343" s="28" t="str">
        <f>'INCEXC A'!M343</f>
        <v/>
      </c>
      <c r="P343" s="28" t="str">
        <f>'INCEXC A'!N343</f>
        <v/>
      </c>
      <c r="Q343" s="28" t="str">
        <f>'INCEXC A'!O343</f>
        <v/>
      </c>
      <c r="R343" s="28" t="str">
        <f>'INCEXC B'!O343</f>
        <v/>
      </c>
      <c r="S343" s="28" t="str">
        <f>'INCEXC A'!P343</f>
        <v/>
      </c>
      <c r="T343" s="28" t="str">
        <f>'INCEXC B'!P343</f>
        <v/>
      </c>
      <c r="U343" s="28" t="b">
        <f t="shared" si="4"/>
        <v>1</v>
      </c>
      <c r="V343" s="28" t="b">
        <f t="shared" si="5"/>
        <v>0</v>
      </c>
    </row>
    <row r="344">
      <c r="A344" s="35" t="str">
        <f>'INCEXC A'!A344</f>
        <v>https://doi.org/10.1145/3772363.3798705</v>
      </c>
      <c r="B344" s="35" t="str">
        <f>'INCEXC B'!A344</f>
        <v>https://doi.org/10.1145/3772363.3798705</v>
      </c>
      <c r="C344" s="28" t="b">
        <f t="shared" si="1"/>
        <v>1</v>
      </c>
      <c r="D344" s="28" t="str">
        <f>'INCEXC A'!B344</f>
        <v>10.1145/3772363.3798705</v>
      </c>
      <c r="E344" s="28" t="str">
        <f>'INCEXC A'!C344</f>
        <v>When AI Agrees</v>
      </c>
      <c r="F344" s="28" t="str">
        <f>'INCEXC A'!D344</f>
        <v>Kaiser</v>
      </c>
      <c r="G344" s="28" t="str">
        <f>'INCEXC B'!D344</f>
        <v>Taylor</v>
      </c>
      <c r="H344" s="28" t="str">
        <f>'INCEXC A'!E344</f>
        <v>Include</v>
      </c>
      <c r="I344" s="28" t="str">
        <f>'INCEXC B'!E344</f>
        <v>Include</v>
      </c>
      <c r="J344" s="28" t="b">
        <f t="shared" si="2"/>
        <v>1</v>
      </c>
      <c r="K344" s="28" t="b">
        <f t="shared" si="3"/>
        <v>1</v>
      </c>
      <c r="L344" s="28" t="str">
        <f>'INCEXC A'!L344</f>
        <v/>
      </c>
      <c r="M344" s="28" t="str">
        <f>'INCEXC B'!L344</f>
        <v/>
      </c>
      <c r="O344" s="28" t="str">
        <f>'INCEXC A'!M344</f>
        <v/>
      </c>
      <c r="P344" s="28" t="str">
        <f>'INCEXC A'!N344</f>
        <v/>
      </c>
      <c r="Q344" s="28" t="str">
        <f>'INCEXC A'!O344</f>
        <v/>
      </c>
      <c r="R344" s="28" t="str">
        <f>'INCEXC B'!O344</f>
        <v/>
      </c>
      <c r="S344" s="28" t="str">
        <f>'INCEXC A'!P344</f>
        <v/>
      </c>
      <c r="T344" s="28" t="str">
        <f>'INCEXC B'!P344</f>
        <v/>
      </c>
      <c r="U344" s="28" t="b">
        <f t="shared" si="4"/>
        <v>1</v>
      </c>
      <c r="V344" s="28" t="b">
        <f t="shared" si="5"/>
        <v>0</v>
      </c>
    </row>
    <row r="345" hidden="1">
      <c r="A345" s="35" t="str">
        <f>'INCEXC A'!A345</f>
        <v>https://doi.org/10.1145/3772363.3798812</v>
      </c>
      <c r="B345" s="35" t="str">
        <f>'INCEXC B'!A345</f>
        <v>https://doi.org/10.1145/3772363.3798812</v>
      </c>
      <c r="C345" s="28" t="b">
        <f t="shared" si="1"/>
        <v>1</v>
      </c>
      <c r="D345" s="28" t="str">
        <f>'INCEXC A'!B345</f>
        <v>10.1145/3772363.3798812</v>
      </c>
      <c r="E345" s="28" t="str">
        <f>'INCEXC A'!C345</f>
        <v>I'm Thinking of Ending Things: Use of LLMs for Support During Break-ups</v>
      </c>
      <c r="F345" s="28" t="str">
        <f>'INCEXC A'!D345</f>
        <v>Marilyn</v>
      </c>
      <c r="G345" s="28" t="str">
        <f>'INCEXC B'!D345</f>
        <v>Ceren</v>
      </c>
      <c r="H345" s="28" t="str">
        <f>'INCEXC A'!E345</f>
        <v>Exclude</v>
      </c>
      <c r="I345" s="28" t="str">
        <f>'INCEXC B'!E345</f>
        <v>Exclude</v>
      </c>
      <c r="J345" s="28" t="b">
        <f t="shared" si="2"/>
        <v>1</v>
      </c>
      <c r="K345" s="28" t="b">
        <f t="shared" si="3"/>
        <v>0</v>
      </c>
      <c r="L345" s="28" t="str">
        <f>'INCEXC A'!L345</f>
        <v/>
      </c>
      <c r="M345" s="28" t="str">
        <f>'INCEXC B'!L345</f>
        <v/>
      </c>
      <c r="O345" s="28" t="str">
        <f>'INCEXC A'!M345</f>
        <v/>
      </c>
      <c r="P345" s="28" t="str">
        <f>'INCEXC A'!N345</f>
        <v/>
      </c>
      <c r="Q345" s="28" t="str">
        <f>'INCEXC A'!O345</f>
        <v/>
      </c>
      <c r="R345" s="28" t="str">
        <f>'INCEXC B'!O345</f>
        <v/>
      </c>
      <c r="S345" s="28" t="str">
        <f>'INCEXC A'!P345</f>
        <v/>
      </c>
      <c r="T345" s="28" t="str">
        <f>'INCEXC B'!P345</f>
        <v/>
      </c>
      <c r="U345" s="28" t="b">
        <f t="shared" si="4"/>
        <v>1</v>
      </c>
      <c r="V345" s="28" t="b">
        <f t="shared" si="5"/>
        <v>0</v>
      </c>
    </row>
    <row r="346" hidden="1">
      <c r="A346" s="35" t="str">
        <f>'INCEXC A'!A346</f>
        <v>https://doi.org/10.1145/3772363.3798919</v>
      </c>
      <c r="B346" s="35" t="str">
        <f>'INCEXC B'!A346</f>
        <v>https://doi.org/10.1145/3772363.3798919</v>
      </c>
      <c r="C346" s="28" t="b">
        <f t="shared" si="1"/>
        <v>1</v>
      </c>
      <c r="D346" s="28" t="str">
        <f>'INCEXC A'!B346</f>
        <v>10.1145/3772363.3798919</v>
      </c>
      <c r="E346" s="28" t="str">
        <f>'INCEXC A'!C346</f>
        <v>When Objects Gossip: Exploring Object-to-Object Conversation with GAI</v>
      </c>
      <c r="F346" s="28" t="str">
        <f>'INCEXC A'!D346</f>
        <v>Kaiser</v>
      </c>
      <c r="G346" s="28" t="str">
        <f>'INCEXC B'!D346</f>
        <v>Taylor</v>
      </c>
      <c r="H346" s="28" t="str">
        <f>'INCEXC A'!E346</f>
        <v>Exclude</v>
      </c>
      <c r="I346" s="28" t="str">
        <f>'INCEXC B'!E346</f>
        <v>Exclude</v>
      </c>
      <c r="J346" s="28" t="b">
        <f t="shared" si="2"/>
        <v>1</v>
      </c>
      <c r="K346" s="28" t="b">
        <f t="shared" si="3"/>
        <v>0</v>
      </c>
      <c r="L346" s="28" t="str">
        <f>'INCEXC A'!L346</f>
        <v/>
      </c>
      <c r="M346" s="28" t="str">
        <f>'INCEXC B'!L346</f>
        <v/>
      </c>
      <c r="O346" s="28" t="str">
        <f>'INCEXC A'!M346</f>
        <v/>
      </c>
      <c r="P346" s="28" t="str">
        <f>'INCEXC A'!N346</f>
        <v/>
      </c>
      <c r="Q346" s="28" t="str">
        <f>'INCEXC A'!O346</f>
        <v/>
      </c>
      <c r="R346" s="28" t="str">
        <f>'INCEXC B'!O346</f>
        <v/>
      </c>
      <c r="S346" s="28" t="str">
        <f>'INCEXC A'!P346</f>
        <v/>
      </c>
      <c r="T346" s="28" t="str">
        <f>'INCEXC B'!P346</f>
        <v/>
      </c>
      <c r="U346" s="28" t="b">
        <f t="shared" si="4"/>
        <v>1</v>
      </c>
      <c r="V346" s="28" t="b">
        <f t="shared" si="5"/>
        <v>0</v>
      </c>
    </row>
    <row r="347" hidden="1">
      <c r="A347" s="35" t="str">
        <f>'INCEXC A'!A347</f>
        <v>https://doi.org/10.1145/3772363.3798923</v>
      </c>
      <c r="B347" s="35" t="str">
        <f>'INCEXC B'!A347</f>
        <v>https://doi.org/10.1145/3772363.3798923</v>
      </c>
      <c r="C347" s="28" t="b">
        <f t="shared" si="1"/>
        <v>1</v>
      </c>
      <c r="D347" s="28" t="str">
        <f>'INCEXC A'!B347</f>
        <v>10.1145/3772363.3798923</v>
      </c>
      <c r="E347" s="28" t="str">
        <f>'INCEXC A'!C347</f>
        <v>ChatGPT Is a People Pleaser</v>
      </c>
      <c r="F347" s="28" t="str">
        <f>'INCEXC A'!D347</f>
        <v>Marilyn</v>
      </c>
      <c r="G347" s="28" t="str">
        <f>'INCEXC B'!D347</f>
        <v>Taylor</v>
      </c>
      <c r="H347" s="28" t="str">
        <f>'INCEXC A'!E347</f>
        <v>Exclude</v>
      </c>
      <c r="I347" s="28" t="str">
        <f>'INCEXC B'!E347</f>
        <v>Exclude</v>
      </c>
      <c r="J347" s="28" t="b">
        <f t="shared" si="2"/>
        <v>1</v>
      </c>
      <c r="K347" s="28" t="b">
        <f t="shared" si="3"/>
        <v>0</v>
      </c>
      <c r="L347" s="28" t="str">
        <f>'INCEXC A'!L347</f>
        <v/>
      </c>
      <c r="M347" s="28" t="str">
        <f>'INCEXC B'!L347</f>
        <v/>
      </c>
      <c r="O347" s="28" t="str">
        <f>'INCEXC A'!M347</f>
        <v/>
      </c>
      <c r="P347" s="28" t="str">
        <f>'INCEXC A'!N347</f>
        <v/>
      </c>
      <c r="Q347" s="28" t="str">
        <f>'INCEXC A'!O347</f>
        <v/>
      </c>
      <c r="R347" s="28" t="str">
        <f>'INCEXC B'!O347</f>
        <v/>
      </c>
      <c r="S347" s="28" t="str">
        <f>'INCEXC A'!P347</f>
        <v/>
      </c>
      <c r="T347" s="28" t="str">
        <f>'INCEXC B'!P347</f>
        <v/>
      </c>
      <c r="U347" s="28" t="b">
        <f t="shared" si="4"/>
        <v>1</v>
      </c>
      <c r="V347" s="28" t="b">
        <f t="shared" si="5"/>
        <v>0</v>
      </c>
    </row>
    <row r="348" hidden="1">
      <c r="A348" s="35" t="str">
        <f>'INCEXC A'!A348</f>
        <v>https://doi.org/10.1145/3772363.3798995</v>
      </c>
      <c r="B348" s="35" t="str">
        <f>'INCEXC B'!A348</f>
        <v>https://doi.org/10.1145/3772363.3798995</v>
      </c>
      <c r="C348" s="28" t="b">
        <f t="shared" si="1"/>
        <v>1</v>
      </c>
      <c r="D348" s="28" t="str">
        <f>'INCEXC A'!B348</f>
        <v>10.1145/3772363.3798995</v>
      </c>
      <c r="E348" s="28" t="str">
        <f>'INCEXC A'!C348</f>
        <v>Codex Relatio: A Descriptive Framework for Analyzing Relational Dynamics in Human–AI Interaction</v>
      </c>
      <c r="F348" s="28" t="str">
        <f>'INCEXC A'!D348</f>
        <v>Marilyn</v>
      </c>
      <c r="G348" s="28" t="str">
        <f>'INCEXC B'!D348</f>
        <v>Danni</v>
      </c>
      <c r="H348" s="28" t="str">
        <f>'INCEXC A'!E348</f>
        <v>Exclude</v>
      </c>
      <c r="I348" s="28" t="str">
        <f>'INCEXC B'!E348</f>
        <v>Exclude</v>
      </c>
      <c r="J348" s="28" t="b">
        <f t="shared" si="2"/>
        <v>1</v>
      </c>
      <c r="K348" s="28" t="b">
        <f t="shared" si="3"/>
        <v>0</v>
      </c>
      <c r="L348" s="28" t="str">
        <f>'INCEXC A'!L348</f>
        <v/>
      </c>
      <c r="M348" s="28" t="str">
        <f>'INCEXC B'!L348</f>
        <v/>
      </c>
      <c r="O348" s="28" t="str">
        <f>'INCEXC A'!M348</f>
        <v/>
      </c>
      <c r="P348" s="28" t="str">
        <f>'INCEXC A'!N348</f>
        <v/>
      </c>
      <c r="Q348" s="28" t="str">
        <f>'INCEXC A'!O348</f>
        <v/>
      </c>
      <c r="R348" s="28" t="str">
        <f>'INCEXC B'!O348</f>
        <v/>
      </c>
      <c r="S348" s="28" t="str">
        <f>'INCEXC A'!P348</f>
        <v/>
      </c>
      <c r="T348" s="28" t="str">
        <f>'INCEXC B'!P348</f>
        <v/>
      </c>
      <c r="U348" s="28" t="b">
        <f t="shared" si="4"/>
        <v>1</v>
      </c>
      <c r="V348" s="28" t="b">
        <f t="shared" si="5"/>
        <v>0</v>
      </c>
    </row>
    <row r="349" hidden="1">
      <c r="A349" s="35" t="str">
        <f>'INCEXC A'!A349</f>
        <v>https://doi.org/10.1145/3772363.3799156</v>
      </c>
      <c r="B349" s="35" t="str">
        <f>'INCEXC B'!A349</f>
        <v>https://doi.org/10.1145/3772363.3799156</v>
      </c>
      <c r="C349" s="28" t="b">
        <f t="shared" si="1"/>
        <v>1</v>
      </c>
      <c r="D349" s="28" t="str">
        <f>'INCEXC A'!B349</f>
        <v>10.1145/3772363.3799156</v>
      </c>
      <c r="E349" s="28" t="str">
        <f>'INCEXC A'!C349</f>
        <v>Demoing Stochastic Parrot: A Candid AI Cohabitant</v>
      </c>
      <c r="F349" s="28" t="str">
        <f>'INCEXC A'!D349</f>
        <v>Marilyn</v>
      </c>
      <c r="G349" s="28" t="str">
        <f>'INCEXC B'!D349</f>
        <v>Danni</v>
      </c>
      <c r="H349" s="28" t="str">
        <f>'INCEXC A'!E349</f>
        <v>Exclude</v>
      </c>
      <c r="I349" s="28" t="str">
        <f>'INCEXC B'!E349</f>
        <v>Exclude</v>
      </c>
      <c r="J349" s="28" t="b">
        <f t="shared" si="2"/>
        <v>1</v>
      </c>
      <c r="K349" s="28" t="b">
        <f t="shared" si="3"/>
        <v>0</v>
      </c>
      <c r="L349" s="28" t="str">
        <f>'INCEXC A'!L349</f>
        <v/>
      </c>
      <c r="M349" s="28" t="str">
        <f>'INCEXC B'!L349</f>
        <v/>
      </c>
      <c r="O349" s="28" t="str">
        <f>'INCEXC A'!M349</f>
        <v/>
      </c>
      <c r="P349" s="28" t="str">
        <f>'INCEXC A'!N349</f>
        <v/>
      </c>
      <c r="Q349" s="28" t="str">
        <f>'INCEXC A'!O349</f>
        <v/>
      </c>
      <c r="R349" s="28" t="str">
        <f>'INCEXC B'!O349</f>
        <v/>
      </c>
      <c r="S349" s="28" t="str">
        <f>'INCEXC A'!P349</f>
        <v/>
      </c>
      <c r="T349" s="28" t="str">
        <f>'INCEXC B'!P349</f>
        <v/>
      </c>
      <c r="U349" s="28" t="b">
        <f t="shared" si="4"/>
        <v>1</v>
      </c>
      <c r="V349" s="28" t="b">
        <f t="shared" si="5"/>
        <v>0</v>
      </c>
    </row>
    <row r="350">
      <c r="A350" s="35" t="str">
        <f>'INCEXC A'!A350</f>
        <v>https://doi.org/10.1145/3772363.3799334</v>
      </c>
      <c r="B350" s="35" t="str">
        <f>'INCEXC B'!A350</f>
        <v>https://doi.org/10.1145/3772363.3799334</v>
      </c>
      <c r="C350" s="28" t="b">
        <f t="shared" si="1"/>
        <v>1</v>
      </c>
      <c r="D350" s="28" t="str">
        <f>'INCEXC A'!B350</f>
        <v>10.1145/3772363.3799334</v>
      </c>
      <c r="E350" s="28" t="str">
        <f>'INCEXC A'!C350</f>
        <v>Maintaining Stable Personas? Examining Temporal Stability in LLM-Based Human Simulation</v>
      </c>
      <c r="F350" s="28" t="str">
        <f>'INCEXC A'!D350</f>
        <v>Kaiser</v>
      </c>
      <c r="G350" s="28" t="str">
        <f>'INCEXC B'!D350</f>
        <v>Taylor</v>
      </c>
      <c r="H350" s="28" t="str">
        <f>'INCEXC A'!E350</f>
        <v>Include</v>
      </c>
      <c r="I350" s="28" t="str">
        <f>'INCEXC B'!E350</f>
        <v>Include</v>
      </c>
      <c r="J350" s="28" t="b">
        <f t="shared" si="2"/>
        <v>1</v>
      </c>
      <c r="K350" s="28" t="b">
        <f t="shared" si="3"/>
        <v>1</v>
      </c>
      <c r="L350" s="28" t="str">
        <f>'INCEXC A'!L350</f>
        <v/>
      </c>
      <c r="M350" s="28" t="str">
        <f>'INCEXC B'!L350</f>
        <v/>
      </c>
      <c r="O350" s="28" t="str">
        <f>'INCEXC A'!M350</f>
        <v/>
      </c>
      <c r="P350" s="28" t="str">
        <f>'INCEXC A'!N350</f>
        <v/>
      </c>
      <c r="Q350" s="28" t="str">
        <f>'INCEXC A'!O350</f>
        <v/>
      </c>
      <c r="R350" s="28" t="str">
        <f>'INCEXC B'!O350</f>
        <v/>
      </c>
      <c r="S350" s="28" t="str">
        <f>'INCEXC A'!P350</f>
        <v/>
      </c>
      <c r="T350" s="28" t="str">
        <f>'INCEXC B'!P350</f>
        <v/>
      </c>
      <c r="U350" s="28" t="b">
        <f t="shared" si="4"/>
        <v>1</v>
      </c>
      <c r="V350" s="28" t="b">
        <f t="shared" si="5"/>
        <v>0</v>
      </c>
    </row>
    <row r="351">
      <c r="A351" s="35" t="str">
        <f>'INCEXC A'!A351</f>
        <v>https://doi.org/10.1145/3774904.3792506</v>
      </c>
      <c r="B351" s="35" t="str">
        <f>'INCEXC B'!A351</f>
        <v>https://doi.org/10.1145/3774904.3792506</v>
      </c>
      <c r="C351" s="28" t="b">
        <f t="shared" si="1"/>
        <v>1</v>
      </c>
      <c r="D351" s="28" t="str">
        <f>'INCEXC A'!B351</f>
        <v>10.1145/3774904.3792506</v>
      </c>
      <c r="E351" s="28" t="str">
        <f>'INCEXC A'!C351</f>
        <v>Acting Flatterers via LLMs Sycophancy: Combating Clickbait with LLMs Opposing-Stance Reasoning</v>
      </c>
      <c r="F351" s="28" t="str">
        <f>'INCEXC A'!D351</f>
        <v>Kaiser</v>
      </c>
      <c r="G351" s="28" t="str">
        <f>'INCEXC B'!D351</f>
        <v>Danni</v>
      </c>
      <c r="H351" s="28" t="str">
        <f>'INCEXC A'!E351</f>
        <v>Exclude</v>
      </c>
      <c r="I351" s="28" t="str">
        <f>'INCEXC B'!E351</f>
        <v>Exclude</v>
      </c>
      <c r="J351" s="28" t="b">
        <f t="shared" si="2"/>
        <v>1</v>
      </c>
      <c r="K351" s="28" t="b">
        <f t="shared" si="3"/>
        <v>0</v>
      </c>
      <c r="L351" s="28" t="str">
        <f>'INCEXC A'!L351</f>
        <v/>
      </c>
      <c r="M351" s="28" t="str">
        <f>'INCEXC B'!L351</f>
        <v/>
      </c>
      <c r="O351" s="28" t="str">
        <f>'INCEXC A'!M351</f>
        <v/>
      </c>
      <c r="P351" s="28" t="str">
        <f>'INCEXC A'!N351</f>
        <v/>
      </c>
      <c r="Q351" s="28" t="str">
        <f>'INCEXC A'!O351</f>
        <v/>
      </c>
      <c r="R351" s="28" t="str">
        <f>'INCEXC B'!O351</f>
        <v/>
      </c>
      <c r="S351" s="28" t="str">
        <f>'INCEXC A'!P351</f>
        <v/>
      </c>
      <c r="T351" s="28" t="str">
        <f>'INCEXC B'!P351</f>
        <v/>
      </c>
      <c r="U351" s="28" t="b">
        <f t="shared" si="4"/>
        <v>1</v>
      </c>
      <c r="V351" s="28" t="b">
        <f t="shared" si="5"/>
        <v>0</v>
      </c>
    </row>
    <row r="352" hidden="1">
      <c r="A352" s="35" t="str">
        <f>'INCEXC A'!A352</f>
        <v>https://doi.org/10.1145/3774904.3792671</v>
      </c>
      <c r="B352" s="35" t="str">
        <f>'INCEXC B'!A352</f>
        <v>https://doi.org/10.1145/3774904.3792671</v>
      </c>
      <c r="C352" s="28" t="b">
        <f t="shared" si="1"/>
        <v>1</v>
      </c>
      <c r="D352" s="28" t="str">
        <f>'INCEXC A'!B352</f>
        <v>10.1145/3774904.3792671</v>
      </c>
      <c r="E352" s="28" t="str">
        <f>'INCEXC A'!C352</f>
        <v>The Algorithmic Self-Portrait:Deconstructing Memory in ChatGPT</v>
      </c>
      <c r="F352" s="28" t="str">
        <f>'INCEXC A'!D352</f>
        <v>Kaiser</v>
      </c>
      <c r="G352" s="28" t="str">
        <f>'INCEXC B'!D352</f>
        <v>Taylor</v>
      </c>
      <c r="H352" s="28" t="str">
        <f>'INCEXC A'!E352</f>
        <v>Exclude</v>
      </c>
      <c r="I352" s="28" t="str">
        <f>'INCEXC B'!E352</f>
        <v>Exclude</v>
      </c>
      <c r="J352" s="28" t="b">
        <f t="shared" si="2"/>
        <v>1</v>
      </c>
      <c r="K352" s="28" t="b">
        <f t="shared" si="3"/>
        <v>0</v>
      </c>
      <c r="L352" s="28" t="str">
        <f>'INCEXC A'!L352</f>
        <v/>
      </c>
      <c r="M352" s="28" t="str">
        <f>'INCEXC B'!L352</f>
        <v/>
      </c>
      <c r="O352" s="28" t="str">
        <f>'INCEXC A'!M352</f>
        <v/>
      </c>
      <c r="P352" s="28" t="str">
        <f>'INCEXC A'!N352</f>
        <v/>
      </c>
      <c r="Q352" s="28" t="str">
        <f>'INCEXC A'!O352</f>
        <v/>
      </c>
      <c r="R352" s="28" t="str">
        <f>'INCEXC B'!O352</f>
        <v/>
      </c>
      <c r="S352" s="28" t="str">
        <f>'INCEXC A'!P352</f>
        <v/>
      </c>
      <c r="T352" s="28" t="str">
        <f>'INCEXC B'!P352</f>
        <v/>
      </c>
      <c r="U352" s="28" t="b">
        <f t="shared" si="4"/>
        <v>1</v>
      </c>
      <c r="V352" s="28" t="b">
        <f t="shared" si="5"/>
        <v>0</v>
      </c>
    </row>
    <row r="353" hidden="1">
      <c r="A353" s="35" t="str">
        <f>'INCEXC A'!A353</f>
        <v>https://doi.org/10.1145/3774904.3792976</v>
      </c>
      <c r="B353" s="35" t="str">
        <f>'INCEXC B'!A353</f>
        <v>https://doi.org/10.1145/3774904.3792976</v>
      </c>
      <c r="C353" s="28" t="b">
        <f t="shared" si="1"/>
        <v>1</v>
      </c>
      <c r="D353" s="28" t="str">
        <f>'INCEXC A'!B353</f>
        <v>10.1145/3774904.3792976</v>
      </c>
      <c r="E353" s="28" t="str">
        <f>'INCEXC A'!C353</f>
        <v>Belief-Driven Multi-Agent Collaboration via Approximate Perfect Bayesian Equilibrium for Social Simulation</v>
      </c>
      <c r="F353" s="28" t="str">
        <f>'INCEXC A'!D353</f>
        <v>Jonathan</v>
      </c>
      <c r="G353" s="28" t="str">
        <f>'INCEXC B'!D353</f>
        <v>Danni</v>
      </c>
      <c r="H353" s="28" t="str">
        <f>'INCEXC A'!E353</f>
        <v>Exclude</v>
      </c>
      <c r="I353" s="28" t="str">
        <f>'INCEXC B'!E353</f>
        <v>Exclude</v>
      </c>
      <c r="J353" s="28" t="b">
        <f t="shared" si="2"/>
        <v>1</v>
      </c>
      <c r="K353" s="28" t="b">
        <f t="shared" si="3"/>
        <v>0</v>
      </c>
      <c r="L353" s="28" t="str">
        <f>'INCEXC A'!L353</f>
        <v/>
      </c>
      <c r="M353" s="28" t="str">
        <f>'INCEXC B'!L353</f>
        <v/>
      </c>
      <c r="O353" s="28" t="str">
        <f>'INCEXC A'!M353</f>
        <v/>
      </c>
      <c r="P353" s="28" t="str">
        <f>'INCEXC A'!N353</f>
        <v/>
      </c>
      <c r="Q353" s="28" t="str">
        <f>'INCEXC A'!O353</f>
        <v/>
      </c>
      <c r="R353" s="28" t="str">
        <f>'INCEXC B'!O353</f>
        <v/>
      </c>
      <c r="S353" s="28" t="str">
        <f>'INCEXC A'!P353</f>
        <v/>
      </c>
      <c r="T353" s="28" t="str">
        <f>'INCEXC B'!P353</f>
        <v/>
      </c>
      <c r="U353" s="28" t="b">
        <f t="shared" si="4"/>
        <v>1</v>
      </c>
      <c r="V353" s="28" t="b">
        <f t="shared" si="5"/>
        <v>0</v>
      </c>
    </row>
    <row r="354">
      <c r="A354" s="35" t="str">
        <f>'INCEXC A'!A354</f>
        <v>https://doi.org/10.1145/3776734.3794532</v>
      </c>
      <c r="B354" s="35" t="str">
        <f>'INCEXC B'!A354</f>
        <v>https://doi.org/10.1145/3776734.3794532</v>
      </c>
      <c r="C354" s="28" t="b">
        <f t="shared" si="1"/>
        <v>1</v>
      </c>
      <c r="D354" s="28" t="str">
        <f>'INCEXC A'!B354</f>
        <v>10.1145/3776734.3794532</v>
      </c>
      <c r="E354" s="28" t="str">
        <f>'INCEXC A'!C354</f>
        <v>Robotic Sycophancy: A Scoping Review</v>
      </c>
      <c r="F354" s="28" t="str">
        <f>'INCEXC A'!D354</f>
        <v>Kaiser</v>
      </c>
      <c r="G354" s="28" t="str">
        <f>'INCEXC B'!D354</f>
        <v>Danni</v>
      </c>
      <c r="H354" s="28" t="str">
        <f>'INCEXC A'!E354</f>
        <v>Include</v>
      </c>
      <c r="I354" s="28" t="str">
        <f>'INCEXC B'!E354</f>
        <v>Include</v>
      </c>
      <c r="J354" s="28" t="b">
        <f t="shared" si="2"/>
        <v>1</v>
      </c>
      <c r="K354" s="28" t="b">
        <f t="shared" si="3"/>
        <v>1</v>
      </c>
      <c r="L354" s="28" t="str">
        <f>'INCEXC A'!L354</f>
        <v/>
      </c>
      <c r="M354" s="28" t="str">
        <f>'INCEXC B'!L354</f>
        <v/>
      </c>
      <c r="O354" s="28" t="str">
        <f>'INCEXC A'!M354</f>
        <v/>
      </c>
      <c r="P354" s="28" t="str">
        <f>'INCEXC A'!N354</f>
        <v/>
      </c>
      <c r="Q354" s="28" t="str">
        <f>'INCEXC A'!O354</f>
        <v/>
      </c>
      <c r="R354" s="28" t="str">
        <f>'INCEXC B'!O354</f>
        <v/>
      </c>
      <c r="S354" s="28" t="str">
        <f>'INCEXC A'!P354</f>
        <v/>
      </c>
      <c r="T354" s="28" t="str">
        <f>'INCEXC B'!P354</f>
        <v/>
      </c>
      <c r="U354" s="28" t="b">
        <f t="shared" si="4"/>
        <v>1</v>
      </c>
      <c r="V354" s="28" t="b">
        <f t="shared" si="5"/>
        <v>0</v>
      </c>
    </row>
    <row r="355" hidden="1">
      <c r="A355" s="35" t="str">
        <f>'INCEXC A'!A355</f>
        <v>https://doi.org/10.1145/3778354</v>
      </c>
      <c r="B355" s="35" t="str">
        <f>'INCEXC B'!A355</f>
        <v>https://doi.org/10.1145/3778354</v>
      </c>
      <c r="C355" s="28" t="b">
        <f t="shared" si="1"/>
        <v>1</v>
      </c>
      <c r="D355" s="28" t="str">
        <f>'INCEXC A'!B355</f>
        <v>10.1145/3778354</v>
      </c>
      <c r="E355" s="28" t="str">
        <f>'INCEXC A'!C355</f>
        <v>Exploring the Human-LLM Synergy in Advancing Theory-driven Qualitative Analysis</v>
      </c>
      <c r="F355" s="28" t="str">
        <f>'INCEXC A'!D355</f>
        <v>Kaiser</v>
      </c>
      <c r="G355" s="28" t="str">
        <f>'INCEXC B'!D355</f>
        <v>Danni</v>
      </c>
      <c r="H355" s="28" t="str">
        <f>'INCEXC A'!E355</f>
        <v>Exclude</v>
      </c>
      <c r="I355" s="28" t="str">
        <f>'INCEXC B'!E355</f>
        <v>Exclude</v>
      </c>
      <c r="J355" s="28" t="b">
        <f t="shared" si="2"/>
        <v>1</v>
      </c>
      <c r="K355" s="28" t="b">
        <f t="shared" si="3"/>
        <v>0</v>
      </c>
      <c r="L355" s="28" t="str">
        <f>'INCEXC A'!L355</f>
        <v/>
      </c>
      <c r="M355" s="28" t="str">
        <f>'INCEXC B'!L355</f>
        <v/>
      </c>
      <c r="O355" s="28" t="str">
        <f>'INCEXC A'!M355</f>
        <v/>
      </c>
      <c r="P355" s="28" t="str">
        <f>'INCEXC A'!N355</f>
        <v/>
      </c>
      <c r="Q355" s="28" t="str">
        <f>'INCEXC A'!O355</f>
        <v/>
      </c>
      <c r="R355" s="28" t="str">
        <f>'INCEXC B'!O355</f>
        <v/>
      </c>
      <c r="S355" s="28" t="str">
        <f>'INCEXC A'!P355</f>
        <v/>
      </c>
      <c r="T355" s="28" t="str">
        <f>'INCEXC B'!P355</f>
        <v/>
      </c>
      <c r="U355" s="28" t="b">
        <f t="shared" si="4"/>
        <v>1</v>
      </c>
      <c r="V355" s="28" t="b">
        <f t="shared" si="5"/>
        <v>0</v>
      </c>
    </row>
    <row r="356" hidden="1">
      <c r="A356" s="35" t="str">
        <f>'INCEXC A'!A356</f>
        <v>https://doi.org/10.1145/3779295</v>
      </c>
      <c r="B356" s="35" t="str">
        <f>'INCEXC B'!A356</f>
        <v>https://doi.org/10.1145/3779295</v>
      </c>
      <c r="C356" s="28" t="b">
        <f t="shared" si="1"/>
        <v>1</v>
      </c>
      <c r="D356" s="28" t="str">
        <f>'INCEXC A'!B356</f>
        <v>10.1145/3779295</v>
      </c>
      <c r="E356" s="28" t="str">
        <f>'INCEXC A'!C356</f>
        <v>“Robot Emotions Are Not Real!”: Future Factory Workers’ Perceptions</v>
      </c>
      <c r="F356" s="28" t="str">
        <f>'INCEXC A'!D356</f>
        <v>Jonathan</v>
      </c>
      <c r="G356" s="28" t="str">
        <f>'INCEXC B'!D356</f>
        <v>Danni</v>
      </c>
      <c r="H356" s="28" t="str">
        <f>'INCEXC A'!E356</f>
        <v>Exclude</v>
      </c>
      <c r="I356" s="28" t="str">
        <f>'INCEXC B'!E356</f>
        <v>Exclude</v>
      </c>
      <c r="J356" s="28" t="b">
        <f t="shared" si="2"/>
        <v>1</v>
      </c>
      <c r="K356" s="28" t="b">
        <f t="shared" si="3"/>
        <v>0</v>
      </c>
      <c r="L356" s="28" t="str">
        <f>'INCEXC A'!L356</f>
        <v/>
      </c>
      <c r="M356" s="28" t="str">
        <f>'INCEXC B'!L356</f>
        <v/>
      </c>
      <c r="O356" s="28" t="str">
        <f>'INCEXC A'!M356</f>
        <v/>
      </c>
      <c r="P356" s="28" t="str">
        <f>'INCEXC A'!N356</f>
        <v/>
      </c>
      <c r="Q356" s="28" t="str">
        <f>'INCEXC A'!O356</f>
        <v/>
      </c>
      <c r="R356" s="28" t="str">
        <f>'INCEXC B'!O356</f>
        <v/>
      </c>
      <c r="S356" s="28" t="str">
        <f>'INCEXC A'!P356</f>
        <v/>
      </c>
      <c r="T356" s="28" t="str">
        <f>'INCEXC B'!P356</f>
        <v/>
      </c>
      <c r="U356" s="28" t="b">
        <f t="shared" si="4"/>
        <v>1</v>
      </c>
      <c r="V356" s="28" t="b">
        <f t="shared" si="5"/>
        <v>0</v>
      </c>
    </row>
    <row r="357" hidden="1">
      <c r="A357" s="35" t="str">
        <f>'INCEXC A'!A357</f>
        <v>https://doi.org/10.1145/3786167.3788413</v>
      </c>
      <c r="B357" s="35" t="str">
        <f>'INCEXC B'!A357</f>
        <v>https://doi.org/10.1145/3786167.3788413</v>
      </c>
      <c r="C357" s="28" t="b">
        <f t="shared" si="1"/>
        <v>1</v>
      </c>
      <c r="D357" s="28" t="str">
        <f>'INCEXC A'!B357</f>
        <v>10.1145/3786167.3788413</v>
      </c>
      <c r="E357" s="28" t="str">
        <f>'INCEXC A'!C357</f>
        <v>Not All Problems Are Nails</v>
      </c>
      <c r="F357" s="28" t="str">
        <f>'INCEXC A'!D357</f>
        <v>Jonathan</v>
      </c>
      <c r="G357" s="28" t="str">
        <f>'INCEXC B'!D357</f>
        <v>Ceren</v>
      </c>
      <c r="H357" s="28" t="str">
        <f>'INCEXC A'!E357</f>
        <v>Exclude</v>
      </c>
      <c r="I357" s="28" t="str">
        <f>'INCEXC B'!E357</f>
        <v>Exclude</v>
      </c>
      <c r="J357" s="28" t="b">
        <f t="shared" si="2"/>
        <v>1</v>
      </c>
      <c r="K357" s="28" t="b">
        <f t="shared" si="3"/>
        <v>0</v>
      </c>
      <c r="L357" s="28" t="str">
        <f>'INCEXC A'!L357</f>
        <v/>
      </c>
      <c r="M357" s="28" t="str">
        <f>'INCEXC B'!L357</f>
        <v/>
      </c>
      <c r="O357" s="28" t="str">
        <f>'INCEXC A'!M357</f>
        <v/>
      </c>
      <c r="P357" s="28" t="str">
        <f>'INCEXC A'!N357</f>
        <v/>
      </c>
      <c r="Q357" s="28" t="str">
        <f>'INCEXC A'!O357</f>
        <v/>
      </c>
      <c r="R357" s="28" t="str">
        <f>'INCEXC B'!O357</f>
        <v/>
      </c>
      <c r="S357" s="28" t="str">
        <f>'INCEXC A'!P357</f>
        <v/>
      </c>
      <c r="T357" s="28" t="str">
        <f>'INCEXC B'!P357</f>
        <v/>
      </c>
      <c r="U357" s="28" t="b">
        <f t="shared" si="4"/>
        <v>1</v>
      </c>
      <c r="V357" s="28" t="b">
        <f t="shared" si="5"/>
        <v>0</v>
      </c>
    </row>
    <row r="358" hidden="1">
      <c r="A358" s="35" t="str">
        <f>'INCEXC A'!A358</f>
        <v>https://doi.org/10.1145/3786304.3787865</v>
      </c>
      <c r="B358" s="35" t="str">
        <f>'INCEXC B'!A358</f>
        <v>https://doi.org/10.1145/3786304.3787865</v>
      </c>
      <c r="C358" s="28" t="b">
        <f t="shared" si="1"/>
        <v>1</v>
      </c>
      <c r="D358" s="28" t="str">
        <f>'INCEXC A'!B358</f>
        <v>10.1145/3786304.3787865</v>
      </c>
      <c r="E358" s="28" t="str">
        <f>'INCEXC A'!C358</f>
        <v>Although Powerful	it's not Infallible: Investigating Academic Researchers' Verification Challenges with LLMs</v>
      </c>
      <c r="F358" s="28" t="str">
        <f>'INCEXC A'!D358</f>
        <v>Kaiser</v>
      </c>
      <c r="G358" s="28" t="str">
        <f>'INCEXC B'!D358</f>
        <v>Taylor</v>
      </c>
      <c r="H358" s="28" t="str">
        <f>'INCEXC A'!E358</f>
        <v>Exclude</v>
      </c>
      <c r="I358" s="28" t="str">
        <f>'INCEXC B'!E358</f>
        <v>Exclude</v>
      </c>
      <c r="J358" s="28" t="b">
        <f t="shared" si="2"/>
        <v>1</v>
      </c>
      <c r="K358" s="28" t="b">
        <f t="shared" si="3"/>
        <v>0</v>
      </c>
      <c r="L358" s="28" t="str">
        <f>'INCEXC A'!L358</f>
        <v/>
      </c>
      <c r="M358" s="28" t="str">
        <f>'INCEXC B'!L358</f>
        <v/>
      </c>
      <c r="O358" s="28" t="str">
        <f>'INCEXC A'!M358</f>
        <v/>
      </c>
      <c r="P358" s="28" t="str">
        <f>'INCEXC A'!N358</f>
        <v/>
      </c>
      <c r="Q358" s="28" t="str">
        <f>'INCEXC A'!O358</f>
        <v/>
      </c>
      <c r="R358" s="28" t="str">
        <f>'INCEXC B'!O358</f>
        <v/>
      </c>
      <c r="S358" s="28" t="str">
        <f>'INCEXC A'!P358</f>
        <v/>
      </c>
      <c r="T358" s="28" t="str">
        <f>'INCEXC B'!P358</f>
        <v/>
      </c>
      <c r="U358" s="28" t="b">
        <f t="shared" si="4"/>
        <v>1</v>
      </c>
      <c r="V358" s="28" t="b">
        <f t="shared" si="5"/>
        <v>0</v>
      </c>
    </row>
    <row r="359">
      <c r="A359" s="35" t="str">
        <f>'INCEXC A'!A359</f>
        <v>https://doi.org/10.1145/3786304.3787879</v>
      </c>
      <c r="B359" s="35" t="str">
        <f>'INCEXC B'!A359</f>
        <v>https://doi.org/10.1145/3786304.3787879</v>
      </c>
      <c r="C359" s="28" t="b">
        <f t="shared" si="1"/>
        <v>1</v>
      </c>
      <c r="D359" s="28" t="str">
        <f>'INCEXC A'!B359</f>
        <v>10.1145/3786304.3787879</v>
      </c>
      <c r="E359" s="28" t="str">
        <f>'INCEXC A'!C359</f>
        <v>Confirmation</v>
      </c>
      <c r="F359" s="28" t="str">
        <f>'INCEXC A'!D359</f>
        <v>Jonathan</v>
      </c>
      <c r="G359" s="28" t="str">
        <f>'INCEXC B'!D359</f>
        <v>Taylor</v>
      </c>
      <c r="H359" s="28" t="str">
        <f>'INCEXC A'!E359</f>
        <v>Include</v>
      </c>
      <c r="I359" s="28" t="str">
        <f>'INCEXC B'!E359</f>
        <v>Include</v>
      </c>
      <c r="J359" s="28" t="b">
        <f t="shared" si="2"/>
        <v>1</v>
      </c>
      <c r="K359" s="28" t="b">
        <f t="shared" si="3"/>
        <v>1</v>
      </c>
      <c r="L359" s="28" t="str">
        <f>'INCEXC A'!L359</f>
        <v/>
      </c>
      <c r="M359" s="28" t="str">
        <f>'INCEXC B'!L359</f>
        <v/>
      </c>
      <c r="O359" s="28" t="str">
        <f>'INCEXC A'!M359</f>
        <v/>
      </c>
      <c r="P359" s="28" t="str">
        <f>'INCEXC A'!N359</f>
        <v/>
      </c>
      <c r="Q359" s="28" t="str">
        <f>'INCEXC A'!O359</f>
        <v/>
      </c>
      <c r="R359" s="28" t="str">
        <f>'INCEXC B'!O359</f>
        <v/>
      </c>
      <c r="S359" s="28" t="str">
        <f>'INCEXC A'!P359</f>
        <v/>
      </c>
      <c r="T359" s="28" t="str">
        <f>'INCEXC B'!P359</f>
        <v/>
      </c>
      <c r="U359" s="28" t="b">
        <f t="shared" si="4"/>
        <v>1</v>
      </c>
      <c r="V359" s="28" t="b">
        <f t="shared" si="5"/>
        <v>0</v>
      </c>
    </row>
    <row r="360" hidden="1">
      <c r="A360" s="35" t="str">
        <f>'INCEXC A'!A360</f>
        <v>https://doi.org/10.1145/3786304.3787891</v>
      </c>
      <c r="B360" s="35" t="str">
        <f>'INCEXC B'!A360</f>
        <v>https://doi.org/10.1145/3786304.3787891</v>
      </c>
      <c r="C360" s="28" t="b">
        <f t="shared" si="1"/>
        <v>1</v>
      </c>
      <c r="D360" s="28" t="str">
        <f>'INCEXC A'!B360</f>
        <v>10.1145/3786304.3787891</v>
      </c>
      <c r="E360" s="28" t="str">
        <f>'INCEXC A'!C360</f>
        <v>Offscript: Agentic Auditing of Instruction Adherence in LLMs</v>
      </c>
      <c r="F360" s="28" t="str">
        <f>'INCEXC A'!D360</f>
        <v>Jonathan</v>
      </c>
      <c r="G360" s="28" t="str">
        <f>'INCEXC B'!D360</f>
        <v>Ceren</v>
      </c>
      <c r="H360" s="28" t="str">
        <f>'INCEXC A'!E360</f>
        <v>Exclude</v>
      </c>
      <c r="I360" s="28" t="str">
        <f>'INCEXC B'!E360</f>
        <v>Exclude</v>
      </c>
      <c r="J360" s="28" t="b">
        <f t="shared" si="2"/>
        <v>1</v>
      </c>
      <c r="K360" s="28" t="b">
        <f t="shared" si="3"/>
        <v>0</v>
      </c>
      <c r="L360" s="28" t="str">
        <f>'INCEXC A'!L360</f>
        <v/>
      </c>
      <c r="M360" s="28" t="str">
        <f>'INCEXC B'!L360</f>
        <v/>
      </c>
      <c r="O360" s="28" t="str">
        <f>'INCEXC A'!M360</f>
        <v/>
      </c>
      <c r="P360" s="28" t="str">
        <f>'INCEXC A'!N360</f>
        <v/>
      </c>
      <c r="Q360" s="28" t="str">
        <f>'INCEXC A'!O360</f>
        <v/>
      </c>
      <c r="R360" s="28" t="str">
        <f>'INCEXC B'!O360</f>
        <v/>
      </c>
      <c r="S360" s="28" t="str">
        <f>'INCEXC A'!P360</f>
        <v/>
      </c>
      <c r="T360" s="28" t="str">
        <f>'INCEXC B'!P360</f>
        <v/>
      </c>
      <c r="U360" s="28" t="b">
        <f t="shared" si="4"/>
        <v>1</v>
      </c>
      <c r="V360" s="28" t="b">
        <f t="shared" si="5"/>
        <v>0</v>
      </c>
    </row>
    <row r="361">
      <c r="A361" s="35" t="str">
        <f>'INCEXC A'!A361</f>
        <v>https://doi.org/10.1145/3786335.3813137</v>
      </c>
      <c r="B361" s="35" t="str">
        <f>'INCEXC B'!A361</f>
        <v>https://doi.org/10.1145/3786335.3813137</v>
      </c>
      <c r="C361" s="28" t="b">
        <f t="shared" si="1"/>
        <v>1</v>
      </c>
      <c r="D361" s="28" t="str">
        <f>'INCEXC A'!B361</f>
        <v>10.1145/3786335.3813137</v>
      </c>
      <c r="E361" s="28" t="str">
        <f>'INCEXC A'!C361</f>
        <v>The Cost of Consensus: Isolated Self-Correction Prevails Over Unguided Homogeneous Multi-Agent Debate</v>
      </c>
      <c r="F361" s="28" t="str">
        <f>'INCEXC A'!D361</f>
        <v>Jonathan</v>
      </c>
      <c r="G361" s="28" t="str">
        <f>'INCEXC B'!D361</f>
        <v>Danni</v>
      </c>
      <c r="H361" s="28" t="str">
        <f>'INCEXC A'!E361</f>
        <v>Include</v>
      </c>
      <c r="I361" s="28" t="str">
        <f>'INCEXC B'!E361</f>
        <v>Include</v>
      </c>
      <c r="J361" s="28" t="b">
        <f t="shared" si="2"/>
        <v>1</v>
      </c>
      <c r="K361" s="28" t="b">
        <f t="shared" si="3"/>
        <v>1</v>
      </c>
      <c r="L361" s="28" t="str">
        <f>'INCEXC A'!L361</f>
        <v/>
      </c>
      <c r="M361" s="28" t="str">
        <f>'INCEXC B'!L361</f>
        <v/>
      </c>
      <c r="O361" s="28" t="str">
        <f>'INCEXC A'!M361</f>
        <v/>
      </c>
      <c r="P361" s="28" t="str">
        <f>'INCEXC A'!N361</f>
        <v/>
      </c>
      <c r="Q361" s="28" t="str">
        <f>'INCEXC A'!O361</f>
        <v/>
      </c>
      <c r="R361" s="28" t="str">
        <f>'INCEXC B'!O361</f>
        <v/>
      </c>
      <c r="S361" s="28" t="str">
        <f>'INCEXC A'!P361</f>
        <v/>
      </c>
      <c r="T361" s="28" t="str">
        <f>'INCEXC B'!P361</f>
        <v/>
      </c>
      <c r="U361" s="28" t="b">
        <f t="shared" si="4"/>
        <v>1</v>
      </c>
      <c r="V361" s="28" t="b">
        <f t="shared" si="5"/>
        <v>0</v>
      </c>
    </row>
    <row r="362">
      <c r="A362" s="35" t="str">
        <f>'INCEXC A'!A362</f>
        <v>https://doi.org/10.1145/3788646.3789536</v>
      </c>
      <c r="B362" s="35" t="str">
        <f>'INCEXC B'!A362</f>
        <v>https://doi.org/10.1145/3788646.3789536</v>
      </c>
      <c r="C362" s="28" t="b">
        <f t="shared" si="1"/>
        <v>1</v>
      </c>
      <c r="D362" s="28" t="str">
        <f>'INCEXC A'!B362</f>
        <v>10.1145/3788646.3789536</v>
      </c>
      <c r="E362" s="28" t="str">
        <f>'INCEXC A'!C362</f>
        <v>AI-Assisted Moot Courts: Simulating Justice-Specific Questioning in Oral Arguments</v>
      </c>
      <c r="F362" s="28" t="str">
        <f>'INCEXC A'!D362</f>
        <v>Marilyn</v>
      </c>
      <c r="G362" s="28" t="str">
        <f>'INCEXC B'!D362</f>
        <v>Taylor</v>
      </c>
      <c r="H362" s="28" t="str">
        <f>'INCEXC A'!E362</f>
        <v>Include</v>
      </c>
      <c r="I362" s="28" t="str">
        <f>'INCEXC B'!E362</f>
        <v>Include</v>
      </c>
      <c r="J362" s="28" t="b">
        <f t="shared" si="2"/>
        <v>1</v>
      </c>
      <c r="K362" s="28" t="b">
        <f t="shared" si="3"/>
        <v>1</v>
      </c>
      <c r="L362" s="28" t="str">
        <f>'INCEXC A'!L362</f>
        <v/>
      </c>
      <c r="M362" s="28" t="str">
        <f>'INCEXC B'!L362</f>
        <v/>
      </c>
      <c r="O362" s="28" t="str">
        <f>'INCEXC A'!M362</f>
        <v/>
      </c>
      <c r="P362" s="28" t="str">
        <f>'INCEXC A'!N362</f>
        <v/>
      </c>
      <c r="Q362" s="28" t="str">
        <f>'INCEXC A'!O362</f>
        <v/>
      </c>
      <c r="R362" s="28" t="str">
        <f>'INCEXC B'!O362</f>
        <v/>
      </c>
      <c r="S362" s="28" t="str">
        <f>'INCEXC A'!P362</f>
        <v/>
      </c>
      <c r="T362" s="28" t="str">
        <f>'INCEXC B'!P362</f>
        <v/>
      </c>
      <c r="U362" s="28" t="b">
        <f t="shared" si="4"/>
        <v>1</v>
      </c>
      <c r="V362" s="28" t="b">
        <f t="shared" si="5"/>
        <v>0</v>
      </c>
    </row>
    <row r="363" hidden="1">
      <c r="A363" s="35" t="str">
        <f>'INCEXC A'!A363</f>
        <v>https://doi.org/10.1145/3793638.3793643</v>
      </c>
      <c r="B363" s="35" t="str">
        <f>'INCEXC B'!A363</f>
        <v>https://doi.org/10.1145/3793638.3793643</v>
      </c>
      <c r="C363" s="28" t="b">
        <f t="shared" si="1"/>
        <v>1</v>
      </c>
      <c r="D363" s="28" t="str">
        <f>'INCEXC A'!B363</f>
        <v>10.1145/3793638.3793643</v>
      </c>
      <c r="E363" s="28" t="str">
        <f>'INCEXC A'!C363</f>
        <v>How Linguistic Variation Shapes Hallucination Risk in Large Language Models: A Psychometric Perspective</v>
      </c>
      <c r="F363" s="28" t="str">
        <f>'INCEXC A'!D363</f>
        <v>Jonathan</v>
      </c>
      <c r="G363" s="28" t="str">
        <f>'INCEXC B'!D363</f>
        <v>Ceren</v>
      </c>
      <c r="H363" s="28" t="str">
        <f>'INCEXC A'!E363</f>
        <v>Exclude</v>
      </c>
      <c r="I363" s="28" t="str">
        <f>'INCEXC B'!E363</f>
        <v>Exclude</v>
      </c>
      <c r="J363" s="28" t="b">
        <f t="shared" si="2"/>
        <v>1</v>
      </c>
      <c r="K363" s="28" t="b">
        <f t="shared" si="3"/>
        <v>0</v>
      </c>
      <c r="L363" s="28" t="str">
        <f>'INCEXC A'!L363</f>
        <v/>
      </c>
      <c r="M363" s="28" t="str">
        <f>'INCEXC B'!L363</f>
        <v/>
      </c>
      <c r="O363" s="28" t="str">
        <f>'INCEXC A'!M363</f>
        <v/>
      </c>
      <c r="P363" s="28" t="str">
        <f>'INCEXC A'!N363</f>
        <v/>
      </c>
      <c r="Q363" s="28" t="str">
        <f>'INCEXC A'!O363</f>
        <v/>
      </c>
      <c r="R363" s="28" t="str">
        <f>'INCEXC B'!O363</f>
        <v/>
      </c>
      <c r="S363" s="28" t="str">
        <f>'INCEXC A'!P363</f>
        <v/>
      </c>
      <c r="T363" s="28" t="str">
        <f>'INCEXC B'!P363</f>
        <v/>
      </c>
      <c r="U363" s="28" t="b">
        <f t="shared" si="4"/>
        <v>1</v>
      </c>
      <c r="V363" s="28" t="b">
        <f t="shared" si="5"/>
        <v>0</v>
      </c>
    </row>
    <row r="364" hidden="1">
      <c r="A364" s="35" t="str">
        <f>'INCEXC A'!A364</f>
        <v>https://doi.org/10.1145/3793679</v>
      </c>
      <c r="B364" s="35" t="str">
        <f>'INCEXC B'!A364</f>
        <v>https://doi.org/10.1145/3793679</v>
      </c>
      <c r="C364" s="28" t="b">
        <f t="shared" si="1"/>
        <v>1</v>
      </c>
      <c r="D364" s="28" t="str">
        <f>'INCEXC A'!B364</f>
        <v>10.1145/3793679</v>
      </c>
      <c r="E364" s="28" t="str">
        <f>'INCEXC A'!C364</f>
        <v>Who’s Sorry Now: User Preferences Among Rote</v>
      </c>
      <c r="F364" s="28" t="str">
        <f>'INCEXC A'!D364</f>
        <v>Jonathan</v>
      </c>
      <c r="G364" s="28" t="str">
        <f>'INCEXC B'!D364</f>
        <v>Ceren</v>
      </c>
      <c r="H364" s="28" t="str">
        <f>'INCEXC A'!E364</f>
        <v>Exclude</v>
      </c>
      <c r="I364" s="28" t="str">
        <f>'INCEXC B'!E364</f>
        <v>Exclude</v>
      </c>
      <c r="J364" s="28" t="b">
        <f t="shared" si="2"/>
        <v>1</v>
      </c>
      <c r="K364" s="28" t="b">
        <f t="shared" si="3"/>
        <v>0</v>
      </c>
      <c r="L364" s="28" t="str">
        <f>'INCEXC A'!L364</f>
        <v/>
      </c>
      <c r="M364" s="28" t="str">
        <f>'INCEXC B'!L364</f>
        <v/>
      </c>
      <c r="O364" s="28" t="str">
        <f>'INCEXC A'!M364</f>
        <v/>
      </c>
      <c r="P364" s="28" t="str">
        <f>'INCEXC A'!N364</f>
        <v/>
      </c>
      <c r="Q364" s="28" t="str">
        <f>'INCEXC A'!O364</f>
        <v/>
      </c>
      <c r="R364" s="28" t="str">
        <f>'INCEXC B'!O364</f>
        <v/>
      </c>
      <c r="S364" s="28" t="str">
        <f>'INCEXC A'!P364</f>
        <v/>
      </c>
      <c r="T364" s="28" t="str">
        <f>'INCEXC B'!P364</f>
        <v/>
      </c>
      <c r="U364" s="28" t="b">
        <f t="shared" si="4"/>
        <v>1</v>
      </c>
      <c r="V364" s="28" t="b">
        <f t="shared" si="5"/>
        <v>0</v>
      </c>
    </row>
    <row r="365" hidden="1">
      <c r="A365" s="35" t="str">
        <f>'INCEXC A'!A365</f>
        <v>https://doi.org/10.1145/3799914.3799919</v>
      </c>
      <c r="B365" s="35" t="str">
        <f>'INCEXC B'!A365</f>
        <v>https://doi.org/10.1145/3799914.3799919</v>
      </c>
      <c r="C365" s="28" t="b">
        <f t="shared" si="1"/>
        <v>1</v>
      </c>
      <c r="D365" s="28" t="str">
        <f>'INCEXC A'!B365</f>
        <v>10.1145/3799914.3799919</v>
      </c>
      <c r="E365" s="28" t="str">
        <f>'INCEXC A'!C365</f>
        <v>About Authenticity in Information Retrieval: A Keynote at ICTIR 2025</v>
      </c>
      <c r="F365" s="28" t="str">
        <f>'INCEXC A'!D365</f>
        <v>Marilyn</v>
      </c>
      <c r="G365" s="28" t="str">
        <f>'INCEXC B'!D365</f>
        <v>Danni</v>
      </c>
      <c r="H365" s="28" t="str">
        <f>'INCEXC A'!E365</f>
        <v>Exclude</v>
      </c>
      <c r="I365" s="28" t="str">
        <f>'INCEXC B'!E365</f>
        <v>Exclude</v>
      </c>
      <c r="J365" s="28" t="b">
        <f t="shared" si="2"/>
        <v>1</v>
      </c>
      <c r="K365" s="28" t="b">
        <f t="shared" si="3"/>
        <v>0</v>
      </c>
      <c r="L365" s="28" t="str">
        <f>'INCEXC A'!L365</f>
        <v/>
      </c>
      <c r="M365" s="28" t="str">
        <f>'INCEXC B'!L365</f>
        <v/>
      </c>
      <c r="O365" s="28" t="str">
        <f>'INCEXC A'!M365</f>
        <v/>
      </c>
      <c r="P365" s="28" t="str">
        <f>'INCEXC A'!N365</f>
        <v/>
      </c>
      <c r="Q365" s="28" t="str">
        <f>'INCEXC A'!O365</f>
        <v/>
      </c>
      <c r="R365" s="28" t="str">
        <f>'INCEXC B'!O365</f>
        <v/>
      </c>
      <c r="S365" s="28" t="str">
        <f>'INCEXC A'!P365</f>
        <v/>
      </c>
      <c r="T365" s="28" t="str">
        <f>'INCEXC B'!P365</f>
        <v/>
      </c>
      <c r="U365" s="28" t="b">
        <f t="shared" si="4"/>
        <v>1</v>
      </c>
      <c r="V365" s="28" t="b">
        <f t="shared" si="5"/>
        <v>0</v>
      </c>
    </row>
    <row r="366" hidden="1">
      <c r="A366" s="35" t="str">
        <f>'INCEXC A'!A366</f>
        <v>https://doi.org/10.1145/3800580</v>
      </c>
      <c r="B366" s="35" t="str">
        <f>'INCEXC B'!A366</f>
        <v>https://doi.org/10.1145/3800580</v>
      </c>
      <c r="C366" s="28" t="b">
        <f t="shared" si="1"/>
        <v>1</v>
      </c>
      <c r="D366" s="28" t="str">
        <f>'INCEXC A'!B366</f>
        <v>10.1145/3800580</v>
      </c>
      <c r="E366" s="28" t="str">
        <f>'INCEXC A'!C366</f>
        <v>Novice Developers’ Perspectives on Adopting LLMs for Software Development: A Systematic Literature Review</v>
      </c>
      <c r="F366" s="28" t="str">
        <f>'INCEXC A'!D366</f>
        <v>Marilyn</v>
      </c>
      <c r="G366" s="28" t="str">
        <f>'INCEXC B'!D366</f>
        <v>Ceren</v>
      </c>
      <c r="H366" s="28" t="str">
        <f>'INCEXC A'!E366</f>
        <v>Exclude</v>
      </c>
      <c r="I366" s="28" t="str">
        <f>'INCEXC B'!E366</f>
        <v>Exclude</v>
      </c>
      <c r="J366" s="28" t="b">
        <f t="shared" si="2"/>
        <v>1</v>
      </c>
      <c r="K366" s="28" t="b">
        <f t="shared" si="3"/>
        <v>0</v>
      </c>
      <c r="L366" s="28" t="str">
        <f>'INCEXC A'!L366</f>
        <v/>
      </c>
      <c r="M366" s="28" t="str">
        <f>'INCEXC B'!L366</f>
        <v/>
      </c>
      <c r="O366" s="28" t="str">
        <f>'INCEXC A'!M366</f>
        <v/>
      </c>
      <c r="P366" s="28" t="str">
        <f>'INCEXC A'!N366</f>
        <v/>
      </c>
      <c r="Q366" s="28" t="str">
        <f>'INCEXC A'!O366</f>
        <v/>
      </c>
      <c r="R366" s="28" t="str">
        <f>'INCEXC B'!O366</f>
        <v/>
      </c>
      <c r="S366" s="28" t="str">
        <f>'INCEXC A'!P366</f>
        <v/>
      </c>
      <c r="T366" s="28" t="str">
        <f>'INCEXC B'!P366</f>
        <v/>
      </c>
      <c r="U366" s="28" t="b">
        <f t="shared" si="4"/>
        <v>1</v>
      </c>
      <c r="V366" s="28" t="b">
        <f t="shared" si="5"/>
        <v>0</v>
      </c>
    </row>
    <row r="367" hidden="1">
      <c r="A367" s="35" t="str">
        <f>'INCEXC A'!A367</f>
        <v>https://doi.org/10.1145/3800683</v>
      </c>
      <c r="B367" s="35" t="str">
        <f>'INCEXC B'!A367</f>
        <v>https://doi.org/10.1145/3800683</v>
      </c>
      <c r="C367" s="28" t="b">
        <f t="shared" si="1"/>
        <v>1</v>
      </c>
      <c r="D367" s="28" t="str">
        <f>'INCEXC A'!B367</f>
        <v>10.1145/3800683</v>
      </c>
      <c r="E367" s="28" t="str">
        <f>'INCEXC A'!C367</f>
        <v>From Individual to Society: A Survey on Social Simulation Driven by Large Language Model-based Agents</v>
      </c>
      <c r="F367" s="28" t="str">
        <f>'INCEXC A'!D367</f>
        <v>Marilyn</v>
      </c>
      <c r="G367" s="28" t="str">
        <f>'INCEXC B'!D367</f>
        <v>Taylor</v>
      </c>
      <c r="H367" s="28" t="str">
        <f>'INCEXC A'!E367</f>
        <v>Exclude</v>
      </c>
      <c r="I367" s="28" t="str">
        <f>'INCEXC B'!E367</f>
        <v>Exclude</v>
      </c>
      <c r="J367" s="28" t="b">
        <f t="shared" si="2"/>
        <v>1</v>
      </c>
      <c r="K367" s="28" t="b">
        <f t="shared" si="3"/>
        <v>0</v>
      </c>
      <c r="L367" s="28" t="str">
        <f>'INCEXC A'!L367</f>
        <v/>
      </c>
      <c r="M367" s="28" t="str">
        <f>'INCEXC B'!L367</f>
        <v/>
      </c>
      <c r="O367" s="28" t="str">
        <f>'INCEXC A'!M367</f>
        <v/>
      </c>
      <c r="P367" s="28" t="str">
        <f>'INCEXC A'!N367</f>
        <v/>
      </c>
      <c r="Q367" s="28" t="str">
        <f>'INCEXC A'!O367</f>
        <v/>
      </c>
      <c r="R367" s="28" t="str">
        <f>'INCEXC B'!O367</f>
        <v/>
      </c>
      <c r="S367" s="28" t="str">
        <f>'INCEXC A'!P367</f>
        <v/>
      </c>
      <c r="T367" s="28" t="str">
        <f>'INCEXC B'!P367</f>
        <v/>
      </c>
      <c r="U367" s="28" t="b">
        <f t="shared" si="4"/>
        <v>1</v>
      </c>
      <c r="V367" s="28" t="b">
        <f t="shared" si="5"/>
        <v>0</v>
      </c>
    </row>
    <row r="368" hidden="1">
      <c r="A368" s="35" t="str">
        <f>'INCEXC A'!A368</f>
        <v>https://doi.org/10.1145/3800687</v>
      </c>
      <c r="B368" s="35" t="str">
        <f>'INCEXC B'!A368</f>
        <v>https://doi.org/10.1145/3800687</v>
      </c>
      <c r="C368" s="28" t="b">
        <f t="shared" si="1"/>
        <v>1</v>
      </c>
      <c r="D368" s="28" t="str">
        <f>'INCEXC A'!B368</f>
        <v>10.1145/3800687</v>
      </c>
      <c r="E368" s="28" t="str">
        <f>'INCEXC A'!C368</f>
        <v>Must Read: A Comprehensive Survey of Computational Persuasion</v>
      </c>
      <c r="F368" s="28" t="str">
        <f>'INCEXC A'!D368</f>
        <v>Kaiser</v>
      </c>
      <c r="G368" s="28" t="str">
        <f>'INCEXC B'!D368</f>
        <v>Ceren</v>
      </c>
      <c r="H368" s="28" t="str">
        <f>'INCEXC A'!E368</f>
        <v>Exclude</v>
      </c>
      <c r="I368" s="28" t="str">
        <f>'INCEXC B'!E368</f>
        <v>Exclude</v>
      </c>
      <c r="J368" s="28" t="b">
        <f t="shared" si="2"/>
        <v>1</v>
      </c>
      <c r="K368" s="28" t="b">
        <f t="shared" si="3"/>
        <v>0</v>
      </c>
      <c r="L368" s="28" t="str">
        <f>'INCEXC A'!L368</f>
        <v/>
      </c>
      <c r="M368" s="28" t="str">
        <f>'INCEXC B'!L368</f>
        <v/>
      </c>
      <c r="O368" s="28" t="str">
        <f>'INCEXC A'!M368</f>
        <v/>
      </c>
      <c r="P368" s="28" t="str">
        <f>'INCEXC A'!N368</f>
        <v/>
      </c>
      <c r="Q368" s="28" t="str">
        <f>'INCEXC A'!O368</f>
        <v/>
      </c>
      <c r="R368" s="28" t="str">
        <f>'INCEXC B'!O368</f>
        <v/>
      </c>
      <c r="S368" s="28" t="str">
        <f>'INCEXC A'!P368</f>
        <v/>
      </c>
      <c r="T368" s="28" t="str">
        <f>'INCEXC B'!P368</f>
        <v/>
      </c>
      <c r="U368" s="28" t="b">
        <f t="shared" si="4"/>
        <v>1</v>
      </c>
      <c r="V368" s="28" t="b">
        <f t="shared" si="5"/>
        <v>0</v>
      </c>
    </row>
    <row r="369" hidden="1">
      <c r="A369" s="35" t="str">
        <f>'INCEXC A'!A369</f>
        <v>https://doi.org/10.1145/3802598</v>
      </c>
      <c r="B369" s="35" t="str">
        <f>'INCEXC B'!A369</f>
        <v>https://doi.org/10.1145/3802598</v>
      </c>
      <c r="C369" s="28" t="b">
        <f t="shared" si="1"/>
        <v>1</v>
      </c>
      <c r="D369" s="28" t="str">
        <f>'INCEXC A'!B369</f>
        <v>10.1145/3802598</v>
      </c>
      <c r="E369" s="28" t="str">
        <f>'INCEXC A'!C369</f>
        <v>Chatbots’ Downward Spiral</v>
      </c>
      <c r="F369" s="28" t="str">
        <f>'INCEXC A'!D369</f>
        <v>Jonathan</v>
      </c>
      <c r="G369" s="28" t="str">
        <f>'INCEXC B'!D369</f>
        <v>Danni</v>
      </c>
      <c r="H369" s="28" t="str">
        <f>'INCEXC A'!E369</f>
        <v>Exclude</v>
      </c>
      <c r="I369" s="28" t="str">
        <f>'INCEXC B'!E369</f>
        <v>Exclude</v>
      </c>
      <c r="J369" s="28" t="b">
        <f t="shared" si="2"/>
        <v>1</v>
      </c>
      <c r="K369" s="28" t="b">
        <f t="shared" si="3"/>
        <v>0</v>
      </c>
      <c r="L369" s="28" t="str">
        <f>'INCEXC A'!L369</f>
        <v/>
      </c>
      <c r="M369" s="28" t="str">
        <f>'INCEXC B'!L369</f>
        <v/>
      </c>
      <c r="O369" s="28" t="str">
        <f>'INCEXC A'!M369</f>
        <v/>
      </c>
      <c r="P369" s="28" t="str">
        <f>'INCEXC A'!N369</f>
        <v/>
      </c>
      <c r="Q369" s="28" t="str">
        <f>'INCEXC A'!O369</f>
        <v/>
      </c>
      <c r="R369" s="28" t="str">
        <f>'INCEXC B'!O369</f>
        <v/>
      </c>
      <c r="S369" s="28" t="str">
        <f>'INCEXC A'!P369</f>
        <v/>
      </c>
      <c r="T369" s="28" t="str">
        <f>'INCEXC B'!P369</f>
        <v/>
      </c>
      <c r="U369" s="28" t="b">
        <f t="shared" si="4"/>
        <v>1</v>
      </c>
      <c r="V369" s="28" t="b">
        <f t="shared" si="5"/>
        <v>0</v>
      </c>
    </row>
    <row r="370" hidden="1">
      <c r="A370" s="35" t="str">
        <f>'INCEXC A'!A370</f>
        <v>https://doi.org/10.1145/3810945</v>
      </c>
      <c r="B370" s="35" t="str">
        <f>'INCEXC B'!A370</f>
        <v>https://doi.org/10.1145/3810945</v>
      </c>
      <c r="C370" s="28" t="b">
        <f t="shared" si="1"/>
        <v>1</v>
      </c>
      <c r="D370" s="28" t="str">
        <f>'INCEXC A'!B370</f>
        <v>10.1145/3810945</v>
      </c>
      <c r="E370" s="28" t="str">
        <f>'INCEXC A'!C370</f>
        <v>Participatory Research with Youth for Responsible AI in the Netherlands: the perspective and design requirements of youth from diverse backgrounds for an AI-based digital mental health app</v>
      </c>
      <c r="F370" s="28" t="str">
        <f>'INCEXC A'!D370</f>
        <v>Jonathan</v>
      </c>
      <c r="G370" s="28" t="str">
        <f>'INCEXC B'!D370</f>
        <v>Ceren</v>
      </c>
      <c r="H370" s="28" t="str">
        <f>'INCEXC A'!E370</f>
        <v>Exclude</v>
      </c>
      <c r="I370" s="28" t="str">
        <f>'INCEXC B'!E370</f>
        <v>Exclude</v>
      </c>
      <c r="J370" s="28" t="b">
        <f t="shared" si="2"/>
        <v>1</v>
      </c>
      <c r="K370" s="28" t="b">
        <f t="shared" si="3"/>
        <v>0</v>
      </c>
      <c r="L370" s="28" t="str">
        <f>'INCEXC A'!L370</f>
        <v/>
      </c>
      <c r="M370" s="28" t="str">
        <f>'INCEXC B'!L370</f>
        <v/>
      </c>
      <c r="O370" s="28" t="str">
        <f>'INCEXC A'!M370</f>
        <v/>
      </c>
      <c r="P370" s="28" t="str">
        <f>'INCEXC A'!N370</f>
        <v/>
      </c>
      <c r="Q370" s="28" t="str">
        <f>'INCEXC A'!O370</f>
        <v/>
      </c>
      <c r="R370" s="28" t="str">
        <f>'INCEXC B'!O370</f>
        <v/>
      </c>
      <c r="S370" s="28" t="str">
        <f>'INCEXC A'!P370</f>
        <v/>
      </c>
      <c r="T370" s="28" t="str">
        <f>'INCEXC B'!P370</f>
        <v/>
      </c>
      <c r="U370" s="28" t="b">
        <f t="shared" si="4"/>
        <v>1</v>
      </c>
      <c r="V370" s="28" t="b">
        <f t="shared" si="5"/>
        <v>0</v>
      </c>
    </row>
    <row r="371" hidden="1">
      <c r="A371" s="35" t="str">
        <f>'INCEXC A'!A371</f>
        <v>https://doi.org/10.1145/3815195</v>
      </c>
      <c r="B371" s="35" t="str">
        <f>'INCEXC B'!A371</f>
        <v>https://doi.org/10.1145/3815195</v>
      </c>
      <c r="C371" s="28" t="b">
        <f t="shared" si="1"/>
        <v>1</v>
      </c>
      <c r="D371" s="28" t="str">
        <f>'INCEXC A'!B371</f>
        <v>10.1145/3815195</v>
      </c>
      <c r="E371" s="28" t="str">
        <f>'INCEXC A'!C371</f>
        <v>Imperfect AI</v>
      </c>
      <c r="F371" s="28" t="str">
        <f>'INCEXC A'!D371</f>
        <v>Marilyn</v>
      </c>
      <c r="G371" s="28" t="str">
        <f>'INCEXC B'!D371</f>
        <v>Taylor</v>
      </c>
      <c r="H371" s="28" t="str">
        <f>'INCEXC A'!E371</f>
        <v>Exclude</v>
      </c>
      <c r="I371" s="28" t="str">
        <f>'INCEXC B'!E371</f>
        <v>Exclude</v>
      </c>
      <c r="J371" s="28" t="b">
        <f t="shared" si="2"/>
        <v>1</v>
      </c>
      <c r="K371" s="28" t="b">
        <f t="shared" si="3"/>
        <v>0</v>
      </c>
      <c r="L371" s="28" t="str">
        <f>'INCEXC A'!L371</f>
        <v/>
      </c>
      <c r="M371" s="28" t="str">
        <f>'INCEXC B'!L371</f>
        <v/>
      </c>
      <c r="O371" s="28" t="str">
        <f>'INCEXC A'!M371</f>
        <v/>
      </c>
      <c r="P371" s="28" t="str">
        <f>'INCEXC A'!N371</f>
        <v/>
      </c>
      <c r="Q371" s="28" t="str">
        <f>'INCEXC A'!O371</f>
        <v/>
      </c>
      <c r="R371" s="28" t="str">
        <f>'INCEXC B'!O371</f>
        <v/>
      </c>
      <c r="S371" s="28" t="str">
        <f>'INCEXC A'!P371</f>
        <v/>
      </c>
      <c r="T371" s="28" t="str">
        <f>'INCEXC B'!P371</f>
        <v/>
      </c>
      <c r="U371" s="28" t="b">
        <f t="shared" si="4"/>
        <v>1</v>
      </c>
      <c r="V371" s="28" t="b">
        <f t="shared" si="5"/>
        <v>0</v>
      </c>
    </row>
    <row r="372" hidden="1">
      <c r="A372" s="35" t="str">
        <f>'INCEXC A'!A372</f>
        <v>https://doi.org/10.1145/381807.381810</v>
      </c>
      <c r="B372" s="35" t="str">
        <f>'INCEXC B'!A372</f>
        <v>https://doi.org/10.1145/381807.381810</v>
      </c>
      <c r="C372" s="28" t="b">
        <f t="shared" si="1"/>
        <v>1</v>
      </c>
      <c r="D372" s="28" t="str">
        <f>'INCEXC A'!B372</f>
        <v>10.1145/381807.381810</v>
      </c>
      <c r="E372" s="28" t="str">
        <f>'INCEXC A'!C372</f>
        <v>ACM SIGOIS worldwide membership directory</v>
      </c>
      <c r="F372" s="28" t="str">
        <f>'INCEXC A'!D372</f>
        <v>Jonathan</v>
      </c>
      <c r="G372" s="28" t="str">
        <f>'INCEXC B'!D372</f>
        <v>Ceren</v>
      </c>
      <c r="H372" s="28" t="str">
        <f>'INCEXC A'!E372</f>
        <v>Exclude</v>
      </c>
      <c r="I372" s="28" t="str">
        <f>'INCEXC B'!E372</f>
        <v>Exclude</v>
      </c>
      <c r="J372" s="28" t="b">
        <f t="shared" si="2"/>
        <v>1</v>
      </c>
      <c r="K372" s="28" t="b">
        <f t="shared" si="3"/>
        <v>0</v>
      </c>
      <c r="L372" s="28" t="str">
        <f>'INCEXC A'!L372</f>
        <v/>
      </c>
      <c r="M372" s="28" t="str">
        <f>'INCEXC B'!L372</f>
        <v/>
      </c>
      <c r="O372" s="28" t="str">
        <f>'INCEXC A'!M372</f>
        <v/>
      </c>
      <c r="P372" s="28" t="str">
        <f>'INCEXC A'!N372</f>
        <v/>
      </c>
      <c r="Q372" s="28" t="str">
        <f>'INCEXC A'!O372</f>
        <v/>
      </c>
      <c r="R372" s="28" t="str">
        <f>'INCEXC B'!O372</f>
        <v/>
      </c>
      <c r="S372" s="28" t="str">
        <f>'INCEXC A'!P372</f>
        <v/>
      </c>
      <c r="T372" s="28" t="str">
        <f>'INCEXC B'!P372</f>
        <v/>
      </c>
      <c r="U372" s="28" t="b">
        <f t="shared" si="4"/>
        <v>1</v>
      </c>
      <c r="V372" s="28" t="b">
        <f t="shared" si="5"/>
        <v>0</v>
      </c>
    </row>
    <row r="373" hidden="1">
      <c r="A373" s="35" t="str">
        <f>'INCEXC A'!A373</f>
        <v>https://doi.org/10.1145/514236.514248</v>
      </c>
      <c r="B373" s="35" t="str">
        <f>'INCEXC B'!A373</f>
        <v>https://doi.org/10.1145/514236.514248</v>
      </c>
      <c r="C373" s="28" t="b">
        <f t="shared" si="1"/>
        <v>1</v>
      </c>
      <c r="D373" s="28" t="str">
        <f>'INCEXC A'!B373</f>
        <v>10.1145/514236.514248</v>
      </c>
      <c r="E373" s="28" t="str">
        <f>'INCEXC A'!C373</f>
        <v>Forum</v>
      </c>
      <c r="F373" s="28" t="str">
        <f>'INCEXC A'!D373</f>
        <v>Jonathan</v>
      </c>
      <c r="G373" s="28" t="str">
        <f>'INCEXC B'!D373</f>
        <v>Danni</v>
      </c>
      <c r="H373" s="28" t="str">
        <f>'INCEXC A'!E373</f>
        <v>Exclude</v>
      </c>
      <c r="I373" s="28" t="str">
        <f>'INCEXC B'!E373</f>
        <v>Exclude</v>
      </c>
      <c r="J373" s="28" t="b">
        <f t="shared" si="2"/>
        <v>1</v>
      </c>
      <c r="K373" s="28" t="b">
        <f t="shared" si="3"/>
        <v>0</v>
      </c>
      <c r="L373" s="28" t="str">
        <f>'INCEXC A'!L373</f>
        <v/>
      </c>
      <c r="M373" s="28" t="str">
        <f>'INCEXC B'!L373</f>
        <v/>
      </c>
      <c r="O373" s="28" t="str">
        <f>'INCEXC A'!M373</f>
        <v/>
      </c>
      <c r="P373" s="28" t="str">
        <f>'INCEXC A'!N373</f>
        <v/>
      </c>
      <c r="Q373" s="28" t="str">
        <f>'INCEXC A'!O373</f>
        <v/>
      </c>
      <c r="R373" s="28" t="str">
        <f>'INCEXC B'!O373</f>
        <v/>
      </c>
      <c r="S373" s="28" t="str">
        <f>'INCEXC A'!P373</f>
        <v/>
      </c>
      <c r="T373" s="28" t="str">
        <f>'INCEXC B'!P373</f>
        <v/>
      </c>
      <c r="U373" s="28" t="b">
        <f t="shared" si="4"/>
        <v>1</v>
      </c>
      <c r="V373" s="28" t="b">
        <f t="shared" si="5"/>
        <v>0</v>
      </c>
    </row>
    <row r="374" hidden="1">
      <c r="A374" s="35" t="str">
        <f>'INCEXC A'!A374</f>
        <v>https://doi.org/10.1145/581710.581733</v>
      </c>
      <c r="B374" s="35" t="str">
        <f>'INCEXC B'!A374</f>
        <v>https://doi.org/10.1145/581710.581733</v>
      </c>
      <c r="C374" s="28" t="b">
        <f t="shared" si="1"/>
        <v>1</v>
      </c>
      <c r="D374" s="28" t="str">
        <f>'INCEXC A'!B374</f>
        <v>10.1145/581710.581733</v>
      </c>
      <c r="E374" s="28" t="str">
        <f>'INCEXC A'!C374</f>
        <v>Scripting the interactor: an approach to VR drama</v>
      </c>
      <c r="F374" s="28" t="str">
        <f>'INCEXC A'!D374</f>
        <v>Jonathan</v>
      </c>
      <c r="G374" s="28" t="str">
        <f>'INCEXC B'!D374</f>
        <v>Danni</v>
      </c>
      <c r="H374" s="28" t="str">
        <f>'INCEXC A'!E374</f>
        <v>Exclude</v>
      </c>
      <c r="I374" s="28" t="str">
        <f>'INCEXC B'!E374</f>
        <v>Exclude</v>
      </c>
      <c r="J374" s="28" t="b">
        <f t="shared" si="2"/>
        <v>1</v>
      </c>
      <c r="K374" s="28" t="b">
        <f t="shared" si="3"/>
        <v>0</v>
      </c>
      <c r="L374" s="28" t="str">
        <f>'INCEXC A'!L374</f>
        <v/>
      </c>
      <c r="M374" s="28" t="str">
        <f>'INCEXC B'!L374</f>
        <v/>
      </c>
      <c r="O374" s="28" t="str">
        <f>'INCEXC A'!M374</f>
        <v/>
      </c>
      <c r="P374" s="28" t="str">
        <f>'INCEXC A'!N374</f>
        <v/>
      </c>
      <c r="Q374" s="28" t="str">
        <f>'INCEXC A'!O374</f>
        <v/>
      </c>
      <c r="R374" s="28" t="str">
        <f>'INCEXC B'!O374</f>
        <v/>
      </c>
      <c r="S374" s="28" t="str">
        <f>'INCEXC A'!P374</f>
        <v/>
      </c>
      <c r="T374" s="28" t="str">
        <f>'INCEXC B'!P374</f>
        <v/>
      </c>
      <c r="U374" s="28" t="b">
        <f t="shared" si="4"/>
        <v>1</v>
      </c>
      <c r="V374" s="28" t="b">
        <f t="shared" si="5"/>
        <v>0</v>
      </c>
    </row>
    <row r="375" hidden="1">
      <c r="A375" s="35" t="str">
        <f>'INCEXC A'!A375</f>
        <v>https://doi.org/10.1145/63047.63088</v>
      </c>
      <c r="B375" s="35" t="str">
        <f>'INCEXC B'!A375</f>
        <v>https://doi.org/10.1145/63047.63088</v>
      </c>
      <c r="C375" s="28" t="b">
        <f t="shared" si="1"/>
        <v>1</v>
      </c>
      <c r="D375" s="28" t="str">
        <f>'INCEXC A'!B375</f>
        <v>10.1145/63047.63088</v>
      </c>
      <c r="E375" s="28" t="str">
        <f>'INCEXC A'!C375</f>
        <v>Chess on a hypercube</v>
      </c>
      <c r="F375" s="28" t="str">
        <f>'INCEXC A'!D375</f>
        <v>Marilyn</v>
      </c>
      <c r="G375" s="28" t="str">
        <f>'INCEXC B'!D375</f>
        <v>Ceren</v>
      </c>
      <c r="H375" s="28" t="str">
        <f>'INCEXC A'!E375</f>
        <v>Exclude</v>
      </c>
      <c r="I375" s="28" t="str">
        <f>'INCEXC B'!E375</f>
        <v>Exclude</v>
      </c>
      <c r="J375" s="28" t="b">
        <f t="shared" si="2"/>
        <v>1</v>
      </c>
      <c r="K375" s="28" t="b">
        <f t="shared" si="3"/>
        <v>0</v>
      </c>
      <c r="L375" s="28" t="str">
        <f>'INCEXC A'!L375</f>
        <v/>
      </c>
      <c r="M375" s="28" t="str">
        <f>'INCEXC B'!L375</f>
        <v/>
      </c>
      <c r="O375" s="28" t="str">
        <f>'INCEXC A'!M375</f>
        <v/>
      </c>
      <c r="P375" s="28" t="str">
        <f>'INCEXC A'!N375</f>
        <v/>
      </c>
      <c r="Q375" s="28" t="str">
        <f>'INCEXC A'!O375</f>
        <v/>
      </c>
      <c r="R375" s="28" t="str">
        <f>'INCEXC B'!O375</f>
        <v/>
      </c>
      <c r="S375" s="28" t="str">
        <f>'INCEXC A'!P375</f>
        <v/>
      </c>
      <c r="T375" s="28" t="str">
        <f>'INCEXC B'!P375</f>
        <v/>
      </c>
      <c r="U375" s="28" t="b">
        <f t="shared" si="4"/>
        <v>1</v>
      </c>
      <c r="V375" s="28" t="b">
        <f t="shared" si="5"/>
        <v>0</v>
      </c>
    </row>
    <row r="376" hidden="1">
      <c r="A376" s="35" t="str">
        <f>'INCEXC A'!A376</f>
        <v>https://doi.org/10.1145/6617.6618</v>
      </c>
      <c r="B376" s="35" t="str">
        <f>'INCEXC B'!A376</f>
        <v>https://doi.org/10.1145/6617.6618</v>
      </c>
      <c r="C376" s="28" t="b">
        <f t="shared" si="1"/>
        <v>1</v>
      </c>
      <c r="D376" s="28" t="str">
        <f>'INCEXC A'!B376</f>
        <v>10.1145/6617.6618</v>
      </c>
      <c r="E376" s="28" t="str">
        <f>'INCEXC A'!C376</f>
        <v>Notable computer networks</v>
      </c>
      <c r="F376" s="28" t="str">
        <f>'INCEXC A'!D376</f>
        <v>Marilyn</v>
      </c>
      <c r="G376" s="28" t="str">
        <f>'INCEXC B'!D376</f>
        <v>Danni</v>
      </c>
      <c r="H376" s="28" t="str">
        <f>'INCEXC A'!E376</f>
        <v>Exclude</v>
      </c>
      <c r="I376" s="28" t="str">
        <f>'INCEXC B'!E376</f>
        <v>Exclude</v>
      </c>
      <c r="J376" s="28" t="b">
        <f t="shared" si="2"/>
        <v>1</v>
      </c>
      <c r="K376" s="28" t="b">
        <f t="shared" si="3"/>
        <v>0</v>
      </c>
      <c r="L376" s="28" t="str">
        <f>'INCEXC A'!L376</f>
        <v/>
      </c>
      <c r="M376" s="28" t="str">
        <f>'INCEXC B'!L376</f>
        <v/>
      </c>
      <c r="O376" s="28" t="str">
        <f>'INCEXC A'!M376</f>
        <v/>
      </c>
      <c r="P376" s="28" t="str">
        <f>'INCEXC A'!N376</f>
        <v/>
      </c>
      <c r="Q376" s="28" t="str">
        <f>'INCEXC A'!O376</f>
        <v/>
      </c>
      <c r="R376" s="28" t="str">
        <f>'INCEXC B'!O376</f>
        <v/>
      </c>
      <c r="S376" s="28" t="str">
        <f>'INCEXC A'!P376</f>
        <v/>
      </c>
      <c r="T376" s="28" t="str">
        <f>'INCEXC B'!P376</f>
        <v/>
      </c>
      <c r="U376" s="28" t="b">
        <f t="shared" si="4"/>
        <v>1</v>
      </c>
      <c r="V376" s="28" t="b">
        <f t="shared" si="5"/>
        <v>0</v>
      </c>
    </row>
    <row r="377" hidden="1">
      <c r="A377" s="35" t="str">
        <f>'INCEXC A'!A377</f>
        <v>https://doi.org/10.1145/67544.66934</v>
      </c>
      <c r="B377" s="35" t="str">
        <f>'INCEXC B'!A377</f>
        <v>https://doi.org/10.1145/67544.66934</v>
      </c>
      <c r="C377" s="28" t="b">
        <f t="shared" si="1"/>
        <v>1</v>
      </c>
      <c r="D377" s="28" t="str">
        <f>'INCEXC A'!B377</f>
        <v>10.1145/67544.66934</v>
      </c>
      <c r="E377" s="28" t="str">
        <f>'INCEXC A'!C377</f>
        <v>Incorporating hierarchy in a relational model of data</v>
      </c>
      <c r="F377" s="28" t="str">
        <f>'INCEXC A'!D377</f>
        <v>Marilyn</v>
      </c>
      <c r="G377" s="28" t="str">
        <f>'INCEXC B'!D377</f>
        <v>Ceren</v>
      </c>
      <c r="H377" s="28" t="str">
        <f>'INCEXC A'!E377</f>
        <v>Exclude</v>
      </c>
      <c r="I377" s="28" t="str">
        <f>'INCEXC B'!E377</f>
        <v>Exclude</v>
      </c>
      <c r="J377" s="28" t="b">
        <f t="shared" si="2"/>
        <v>1</v>
      </c>
      <c r="K377" s="28" t="b">
        <f t="shared" si="3"/>
        <v>0</v>
      </c>
      <c r="L377" s="28" t="str">
        <f>'INCEXC A'!L377</f>
        <v/>
      </c>
      <c r="M377" s="28" t="str">
        <f>'INCEXC B'!L377</f>
        <v/>
      </c>
      <c r="O377" s="28" t="str">
        <f>'INCEXC A'!M377</f>
        <v/>
      </c>
      <c r="P377" s="28" t="str">
        <f>'INCEXC A'!N377</f>
        <v/>
      </c>
      <c r="Q377" s="28" t="str">
        <f>'INCEXC A'!O377</f>
        <v/>
      </c>
      <c r="R377" s="28" t="str">
        <f>'INCEXC B'!O377</f>
        <v/>
      </c>
      <c r="S377" s="28" t="str">
        <f>'INCEXC A'!P377</f>
        <v/>
      </c>
      <c r="T377" s="28" t="str">
        <f>'INCEXC B'!P377</f>
        <v/>
      </c>
      <c r="U377" s="28" t="b">
        <f t="shared" si="4"/>
        <v>1</v>
      </c>
      <c r="V377" s="28" t="b">
        <f t="shared" si="5"/>
        <v>0</v>
      </c>
    </row>
    <row r="378" hidden="1">
      <c r="A378" s="35" t="str">
        <f>'INCEXC A'!A378</f>
        <v>https://doi.org/10.1145/764008.763957</v>
      </c>
      <c r="B378" s="35" t="str">
        <f>'INCEXC B'!A378</f>
        <v>https://doi.org/10.1145/764008.763957</v>
      </c>
      <c r="C378" s="28" t="b">
        <f t="shared" si="1"/>
        <v>1</v>
      </c>
      <c r="D378" s="28" t="str">
        <f>'INCEXC A'!B378</f>
        <v>10.1145/764008.763957</v>
      </c>
      <c r="E378" s="28" t="str">
        <f>'INCEXC A'!C378</f>
        <v>Persuasive technology: using computers to change what we think and do</v>
      </c>
      <c r="F378" s="28" t="str">
        <f>'INCEXC A'!D378</f>
        <v>Marilyn</v>
      </c>
      <c r="G378" s="28" t="str">
        <f>'INCEXC B'!D378</f>
        <v>Danni</v>
      </c>
      <c r="H378" s="28" t="str">
        <f>'INCEXC A'!E378</f>
        <v>Exclude</v>
      </c>
      <c r="I378" s="28" t="str">
        <f>'INCEXC B'!E378</f>
        <v>Exclude</v>
      </c>
      <c r="J378" s="28" t="b">
        <f t="shared" si="2"/>
        <v>1</v>
      </c>
      <c r="K378" s="28" t="b">
        <f t="shared" si="3"/>
        <v>0</v>
      </c>
      <c r="L378" s="28" t="str">
        <f>'INCEXC A'!L378</f>
        <v/>
      </c>
      <c r="M378" s="28" t="str">
        <f>'INCEXC B'!L378</f>
        <v/>
      </c>
      <c r="O378" s="28" t="str">
        <f>'INCEXC A'!M378</f>
        <v/>
      </c>
      <c r="P378" s="28" t="str">
        <f>'INCEXC A'!N378</f>
        <v/>
      </c>
      <c r="Q378" s="28" t="str">
        <f>'INCEXC A'!O378</f>
        <v/>
      </c>
      <c r="R378" s="28" t="str">
        <f>'INCEXC B'!O378</f>
        <v/>
      </c>
      <c r="S378" s="28" t="str">
        <f>'INCEXC A'!P378</f>
        <v/>
      </c>
      <c r="T378" s="28" t="str">
        <f>'INCEXC B'!P378</f>
        <v/>
      </c>
      <c r="U378" s="28" t="b">
        <f t="shared" si="4"/>
        <v>1</v>
      </c>
      <c r="V378" s="28" t="b">
        <f t="shared" si="5"/>
        <v>0</v>
      </c>
    </row>
    <row r="379" hidden="1">
      <c r="A379" s="35" t="str">
        <f>'INCEXC A'!A379</f>
        <v>https://doi.org/10.14236/ewic/BCSHCI2025.10</v>
      </c>
      <c r="B379" s="35" t="str">
        <f>'INCEXC B'!A379</f>
        <v>https://doi.org/10.14236/ewic/BCSHCI2025.10</v>
      </c>
      <c r="C379" s="28" t="b">
        <f t="shared" si="1"/>
        <v>1</v>
      </c>
      <c r="D379" s="28" t="str">
        <f>'INCEXC A'!B379</f>
        <v>10.14236/ewic/BCSHCI2025.10</v>
      </c>
      <c r="E379" s="28" t="str">
        <f>'INCEXC A'!C379</f>
        <v>‘Chattable’ Avatars: Using LLMs to Power Visitor Engagement with Historical Persons</v>
      </c>
      <c r="F379" s="28" t="str">
        <f>'INCEXC A'!D379</f>
        <v>Marilyn</v>
      </c>
      <c r="G379" s="28" t="str">
        <f>'INCEXC B'!D379</f>
        <v>Taylor</v>
      </c>
      <c r="H379" s="28" t="str">
        <f>'INCEXC A'!E379</f>
        <v>Exclude</v>
      </c>
      <c r="I379" s="28" t="str">
        <f>'INCEXC B'!E379</f>
        <v>Exclude</v>
      </c>
      <c r="J379" s="28" t="b">
        <f t="shared" si="2"/>
        <v>1</v>
      </c>
      <c r="K379" s="28" t="b">
        <f t="shared" si="3"/>
        <v>0</v>
      </c>
      <c r="L379" s="28" t="str">
        <f>'INCEXC A'!L379</f>
        <v/>
      </c>
      <c r="M379" s="28" t="str">
        <f>'INCEXC B'!L379</f>
        <v/>
      </c>
      <c r="O379" s="28" t="str">
        <f>'INCEXC A'!M379</f>
        <v/>
      </c>
      <c r="P379" s="28" t="str">
        <f>'INCEXC A'!N379</f>
        <v/>
      </c>
      <c r="Q379" s="28" t="str">
        <f>'INCEXC A'!O379</f>
        <v/>
      </c>
      <c r="R379" s="28" t="str">
        <f>'INCEXC B'!O379</f>
        <v/>
      </c>
      <c r="S379" s="28" t="str">
        <f>'INCEXC A'!P379</f>
        <v/>
      </c>
      <c r="T379" s="28" t="str">
        <f>'INCEXC B'!P379</f>
        <v/>
      </c>
      <c r="U379" s="28" t="b">
        <f t="shared" si="4"/>
        <v>1</v>
      </c>
      <c r="V379" s="28" t="b">
        <f t="shared" si="5"/>
        <v>0</v>
      </c>
    </row>
    <row r="380" hidden="1">
      <c r="A380" s="35" t="str">
        <f>'INCEXC A'!A380</f>
        <v>https://doi.org/10.14778/1920841.1921015</v>
      </c>
      <c r="B380" s="35" t="str">
        <f>'INCEXC B'!A380</f>
        <v>https://doi.org/10.14778/1920841.1921015</v>
      </c>
      <c r="C380" s="28" t="b">
        <f t="shared" si="1"/>
        <v>1</v>
      </c>
      <c r="D380" s="28" t="str">
        <f>'INCEXC A'!B380</f>
        <v>10.14778/1920841.1921015</v>
      </c>
      <c r="E380" s="28" t="str">
        <f>'INCEXC A'!C380</f>
        <v>FlashStore: high throughput persistent key-value store</v>
      </c>
      <c r="F380" s="28" t="str">
        <f>'INCEXC A'!D380</f>
        <v>Jonathan</v>
      </c>
      <c r="G380" s="28" t="str">
        <f>'INCEXC B'!D380</f>
        <v>Danni</v>
      </c>
      <c r="H380" s="28" t="str">
        <f>'INCEXC A'!E380</f>
        <v>Exclude</v>
      </c>
      <c r="I380" s="28" t="str">
        <f>'INCEXC B'!E380</f>
        <v>Exclude</v>
      </c>
      <c r="J380" s="28" t="b">
        <f t="shared" si="2"/>
        <v>1</v>
      </c>
      <c r="K380" s="28" t="b">
        <f t="shared" si="3"/>
        <v>0</v>
      </c>
      <c r="L380" s="28" t="str">
        <f>'INCEXC A'!L380</f>
        <v/>
      </c>
      <c r="M380" s="28" t="str">
        <f>'INCEXC B'!L380</f>
        <v/>
      </c>
      <c r="O380" s="28" t="str">
        <f>'INCEXC A'!M380</f>
        <v/>
      </c>
      <c r="P380" s="28" t="str">
        <f>'INCEXC A'!N380</f>
        <v/>
      </c>
      <c r="Q380" s="28" t="str">
        <f>'INCEXC A'!O380</f>
        <v/>
      </c>
      <c r="R380" s="28" t="str">
        <f>'INCEXC B'!O380</f>
        <v/>
      </c>
      <c r="S380" s="28" t="str">
        <f>'INCEXC A'!P380</f>
        <v/>
      </c>
      <c r="T380" s="28" t="str">
        <f>'INCEXC B'!P380</f>
        <v/>
      </c>
      <c r="U380" s="28" t="b">
        <f t="shared" si="4"/>
        <v>1</v>
      </c>
      <c r="V380" s="28" t="b">
        <f t="shared" si="5"/>
        <v>0</v>
      </c>
    </row>
    <row r="381" hidden="1">
      <c r="A381" s="35" t="str">
        <f>'INCEXC A'!A381</f>
        <v>https://doi.org/10.14778/1938545.1938549</v>
      </c>
      <c r="B381" s="35" t="str">
        <f>'INCEXC B'!A381</f>
        <v>https://doi.org/10.14778/1938545.1938549</v>
      </c>
      <c r="C381" s="28" t="b">
        <f t="shared" si="1"/>
        <v>1</v>
      </c>
      <c r="D381" s="28" t="str">
        <f>'INCEXC A'!B381</f>
        <v>10.14778/1938545.1938549</v>
      </c>
      <c r="E381" s="28" t="str">
        <f>'INCEXC A'!C381</f>
        <v>Using Paxos to build a scalable</v>
      </c>
      <c r="F381" s="28" t="str">
        <f>'INCEXC A'!D381</f>
        <v>Jonathan</v>
      </c>
      <c r="G381" s="28" t="str">
        <f>'INCEXC B'!D381</f>
        <v>Taylor</v>
      </c>
      <c r="H381" s="28" t="str">
        <f>'INCEXC A'!E381</f>
        <v>Exclude</v>
      </c>
      <c r="I381" s="28" t="str">
        <f>'INCEXC B'!E381</f>
        <v>Exclude</v>
      </c>
      <c r="J381" s="28" t="b">
        <f t="shared" si="2"/>
        <v>1</v>
      </c>
      <c r="K381" s="28" t="b">
        <f t="shared" si="3"/>
        <v>0</v>
      </c>
      <c r="L381" s="28" t="str">
        <f>'INCEXC A'!L381</f>
        <v/>
      </c>
      <c r="M381" s="28" t="str">
        <f>'INCEXC B'!L381</f>
        <v/>
      </c>
      <c r="O381" s="28" t="str">
        <f>'INCEXC A'!M381</f>
        <v/>
      </c>
      <c r="P381" s="28" t="str">
        <f>'INCEXC A'!N381</f>
        <v/>
      </c>
      <c r="Q381" s="28" t="str">
        <f>'INCEXC A'!O381</f>
        <v/>
      </c>
      <c r="R381" s="28" t="str">
        <f>'INCEXC B'!O381</f>
        <v/>
      </c>
      <c r="S381" s="28" t="str">
        <f>'INCEXC A'!P381</f>
        <v/>
      </c>
      <c r="T381" s="28" t="str">
        <f>'INCEXC B'!P381</f>
        <v/>
      </c>
      <c r="U381" s="28" t="b">
        <f t="shared" si="4"/>
        <v>1</v>
      </c>
      <c r="V381" s="28" t="b">
        <f t="shared" si="5"/>
        <v>0</v>
      </c>
    </row>
    <row r="382" hidden="1">
      <c r="A382" s="35" t="str">
        <f>'INCEXC A'!A382</f>
        <v>https://doi.org/10.14778/2947618.2947625</v>
      </c>
      <c r="B382" s="35" t="str">
        <f>'INCEXC B'!A382</f>
        <v>https://doi.org/10.14778/2947618.2947625</v>
      </c>
      <c r="C382" s="28" t="b">
        <f t="shared" si="1"/>
        <v>1</v>
      </c>
      <c r="D382" s="28" t="str">
        <f>'INCEXC A'!B382</f>
        <v>10.14778/2947618.2947625</v>
      </c>
      <c r="E382" s="28" t="str">
        <f>'INCEXC A'!C382</f>
        <v>An experimental evaluation of datacenter workloads on low-power embedded micro servers</v>
      </c>
      <c r="F382" s="28" t="str">
        <f>'INCEXC A'!D382</f>
        <v>Marilyn</v>
      </c>
      <c r="G382" s="28" t="str">
        <f>'INCEXC B'!D382</f>
        <v>Ceren</v>
      </c>
      <c r="H382" s="28" t="str">
        <f>'INCEXC A'!E382</f>
        <v>Exclude</v>
      </c>
      <c r="I382" s="28" t="str">
        <f>'INCEXC B'!E382</f>
        <v>Exclude</v>
      </c>
      <c r="J382" s="28" t="b">
        <f t="shared" si="2"/>
        <v>1</v>
      </c>
      <c r="K382" s="28" t="b">
        <f t="shared" si="3"/>
        <v>0</v>
      </c>
      <c r="L382" s="28" t="str">
        <f>'INCEXC A'!L382</f>
        <v/>
      </c>
      <c r="M382" s="28" t="str">
        <f>'INCEXC B'!L382</f>
        <v/>
      </c>
      <c r="O382" s="28" t="str">
        <f>'INCEXC A'!M382</f>
        <v/>
      </c>
      <c r="P382" s="28" t="str">
        <f>'INCEXC A'!N382</f>
        <v/>
      </c>
      <c r="Q382" s="28" t="str">
        <f>'INCEXC A'!O382</f>
        <v/>
      </c>
      <c r="R382" s="28" t="str">
        <f>'INCEXC B'!O382</f>
        <v/>
      </c>
      <c r="S382" s="28" t="str">
        <f>'INCEXC A'!P382</f>
        <v/>
      </c>
      <c r="T382" s="28" t="str">
        <f>'INCEXC B'!P382</f>
        <v/>
      </c>
      <c r="U382" s="28" t="b">
        <f t="shared" si="4"/>
        <v>1</v>
      </c>
      <c r="V382" s="28" t="b">
        <f t="shared" si="5"/>
        <v>0</v>
      </c>
    </row>
    <row r="383" hidden="1">
      <c r="A383" s="35" t="str">
        <f>'INCEXC A'!A383</f>
        <v>https://doi.org/10.14778/3025111.3025113</v>
      </c>
      <c r="B383" s="35" t="str">
        <f>'INCEXC B'!A383</f>
        <v>https://doi.org/10.14778/3025111.3025113</v>
      </c>
      <c r="C383" s="28" t="b">
        <f t="shared" si="1"/>
        <v>1</v>
      </c>
      <c r="D383" s="28" t="str">
        <f>'INCEXC A'!B383</f>
        <v>10.14778/3025111.3025113</v>
      </c>
      <c r="E383" s="28" t="str">
        <f>'INCEXC A'!C383</f>
        <v>Bluecache: a scalable distributed flash-based key-value store</v>
      </c>
      <c r="F383" s="28" t="str">
        <f>'INCEXC A'!D383</f>
        <v>Marilyn</v>
      </c>
      <c r="G383" s="28" t="str">
        <f>'INCEXC B'!D383</f>
        <v>Taylor</v>
      </c>
      <c r="H383" s="28" t="str">
        <f>'INCEXC A'!E383</f>
        <v>Exclude</v>
      </c>
      <c r="I383" s="28" t="str">
        <f>'INCEXC B'!E383</f>
        <v>Exclude</v>
      </c>
      <c r="J383" s="28" t="b">
        <f t="shared" si="2"/>
        <v>1</v>
      </c>
      <c r="K383" s="28" t="b">
        <f t="shared" si="3"/>
        <v>0</v>
      </c>
      <c r="L383" s="28" t="str">
        <f>'INCEXC A'!L383</f>
        <v/>
      </c>
      <c r="M383" s="28" t="str">
        <f>'INCEXC B'!L383</f>
        <v/>
      </c>
      <c r="O383" s="28" t="str">
        <f>'INCEXC A'!M383</f>
        <v/>
      </c>
      <c r="P383" s="28" t="str">
        <f>'INCEXC A'!N383</f>
        <v/>
      </c>
      <c r="Q383" s="28" t="str">
        <f>'INCEXC A'!O383</f>
        <v/>
      </c>
      <c r="R383" s="28" t="str">
        <f>'INCEXC B'!O383</f>
        <v/>
      </c>
      <c r="S383" s="28" t="str">
        <f>'INCEXC A'!P383</f>
        <v/>
      </c>
      <c r="T383" s="28" t="str">
        <f>'INCEXC B'!P383</f>
        <v/>
      </c>
      <c r="U383" s="28" t="b">
        <f t="shared" si="4"/>
        <v>1</v>
      </c>
      <c r="V383" s="28" t="b">
        <f t="shared" si="5"/>
        <v>0</v>
      </c>
    </row>
    <row r="384" hidden="1">
      <c r="A384" s="35" t="str">
        <f>'INCEXC A'!A384</f>
        <v>https://doi.org/10.14778/3476311.3476373</v>
      </c>
      <c r="B384" s="35" t="str">
        <f>'INCEXC B'!A384</f>
        <v>https://doi.org/10.14778/3476311.3476373</v>
      </c>
      <c r="C384" s="28" t="b">
        <f t="shared" si="1"/>
        <v>1</v>
      </c>
      <c r="D384" s="28" t="str">
        <f>'INCEXC A'!B384</f>
        <v>10.14778/3476311.3476373</v>
      </c>
      <c r="E384" s="28" t="str">
        <f>'INCEXC A'!C384</f>
        <v>The end of Moore's law and the rise of the data processor</v>
      </c>
      <c r="F384" s="28" t="str">
        <f>'INCEXC A'!D384</f>
        <v>Jonathan</v>
      </c>
      <c r="G384" s="28" t="str">
        <f>'INCEXC B'!D384</f>
        <v>Danni</v>
      </c>
      <c r="H384" s="28" t="str">
        <f>'INCEXC A'!E384</f>
        <v>Exclude</v>
      </c>
      <c r="I384" s="28" t="str">
        <f>'INCEXC B'!E384</f>
        <v>Exclude</v>
      </c>
      <c r="J384" s="28" t="b">
        <f t="shared" si="2"/>
        <v>1</v>
      </c>
      <c r="K384" s="28" t="b">
        <f t="shared" si="3"/>
        <v>0</v>
      </c>
      <c r="L384" s="28" t="str">
        <f>'INCEXC A'!L384</f>
        <v/>
      </c>
      <c r="M384" s="28" t="str">
        <f>'INCEXC B'!L384</f>
        <v/>
      </c>
      <c r="O384" s="28" t="str">
        <f>'INCEXC A'!M384</f>
        <v/>
      </c>
      <c r="P384" s="28" t="str">
        <f>'INCEXC A'!N384</f>
        <v/>
      </c>
      <c r="Q384" s="28" t="str">
        <f>'INCEXC A'!O384</f>
        <v/>
      </c>
      <c r="R384" s="28" t="str">
        <f>'INCEXC B'!O384</f>
        <v/>
      </c>
      <c r="S384" s="28" t="str">
        <f>'INCEXC A'!P384</f>
        <v/>
      </c>
      <c r="T384" s="28" t="str">
        <f>'INCEXC B'!P384</f>
        <v/>
      </c>
      <c r="U384" s="28" t="b">
        <f t="shared" si="4"/>
        <v>1</v>
      </c>
      <c r="V384" s="28" t="b">
        <f t="shared" si="5"/>
        <v>0</v>
      </c>
    </row>
    <row r="385" hidden="1">
      <c r="A385" s="35" t="str">
        <f>'INCEXC A'!A385</f>
        <v>https://doi.org/10.1613/jair.1.17654</v>
      </c>
      <c r="B385" s="35" t="str">
        <f>'INCEXC B'!A385</f>
        <v>https://doi.org/10.1613/jair.1.17654</v>
      </c>
      <c r="C385" s="28" t="b">
        <f t="shared" si="1"/>
        <v>1</v>
      </c>
      <c r="D385" s="28" t="str">
        <f>'INCEXC A'!B385</f>
        <v>10.1613/jair.1.17654</v>
      </c>
      <c r="E385" s="28" t="str">
        <f>'INCEXC A'!C385</f>
        <v>Against The Achilles' Heel: A Survey on Red Teaming for Generative Models</v>
      </c>
      <c r="F385" s="28" t="str">
        <f>'INCEXC A'!D385</f>
        <v>Jonathan</v>
      </c>
      <c r="G385" s="28" t="str">
        <f>'INCEXC B'!D385</f>
        <v>Ceren</v>
      </c>
      <c r="H385" s="28" t="str">
        <f>'INCEXC A'!E385</f>
        <v>Exclude</v>
      </c>
      <c r="I385" s="28" t="str">
        <f>'INCEXC B'!E385</f>
        <v>Exclude</v>
      </c>
      <c r="J385" s="28" t="b">
        <f t="shared" si="2"/>
        <v>1</v>
      </c>
      <c r="K385" s="28" t="b">
        <f t="shared" si="3"/>
        <v>0</v>
      </c>
      <c r="L385" s="28" t="str">
        <f>'INCEXC A'!L385</f>
        <v/>
      </c>
      <c r="M385" s="28" t="str">
        <f>'INCEXC B'!L385</f>
        <v/>
      </c>
      <c r="O385" s="28" t="str">
        <f>'INCEXC A'!M385</f>
        <v/>
      </c>
      <c r="P385" s="28" t="str">
        <f>'INCEXC A'!N385</f>
        <v/>
      </c>
      <c r="Q385" s="28" t="str">
        <f>'INCEXC A'!O385</f>
        <v/>
      </c>
      <c r="R385" s="28" t="str">
        <f>'INCEXC B'!O385</f>
        <v/>
      </c>
      <c r="S385" s="28" t="str">
        <f>'INCEXC A'!P385</f>
        <v/>
      </c>
      <c r="T385" s="28" t="str">
        <f>'INCEXC B'!P385</f>
        <v/>
      </c>
      <c r="U385" s="28" t="b">
        <f t="shared" si="4"/>
        <v>1</v>
      </c>
      <c r="V385" s="28" t="b">
        <f t="shared" si="5"/>
        <v>0</v>
      </c>
    </row>
    <row r="386" hidden="1">
      <c r="A386" s="35" t="str">
        <f>'INCEXC A'!A386</f>
        <v>https://doi.org/10.3115/1117554.1117558</v>
      </c>
      <c r="B386" s="35" t="str">
        <f>'INCEXC B'!A386</f>
        <v>https://doi.org/10.3115/1117554.1117558</v>
      </c>
      <c r="C386" s="28" t="b">
        <f t="shared" si="1"/>
        <v>1</v>
      </c>
      <c r="D386" s="28" t="str">
        <f>'INCEXC A'!B386</f>
        <v>10.3115/1117554.1117558</v>
      </c>
      <c r="E386" s="28" t="str">
        <f>'INCEXC A'!C386</f>
        <v>An interlingua aiming at communication on the web: how language-independent can it be?</v>
      </c>
      <c r="F386" s="28" t="str">
        <f>'INCEXC A'!D386</f>
        <v>Marilyn</v>
      </c>
      <c r="G386" s="28" t="str">
        <f>'INCEXC B'!D386</f>
        <v>Taylor</v>
      </c>
      <c r="H386" s="28" t="str">
        <f>'INCEXC A'!E386</f>
        <v>Exclude</v>
      </c>
      <c r="I386" s="28" t="str">
        <f>'INCEXC B'!E386</f>
        <v>Exclude</v>
      </c>
      <c r="J386" s="28" t="b">
        <f t="shared" si="2"/>
        <v>1</v>
      </c>
      <c r="K386" s="28" t="b">
        <f t="shared" si="3"/>
        <v>0</v>
      </c>
      <c r="L386" s="28" t="str">
        <f>'INCEXC A'!L386</f>
        <v/>
      </c>
      <c r="M386" s="28" t="str">
        <f>'INCEXC B'!L386</f>
        <v/>
      </c>
      <c r="O386" s="28" t="str">
        <f>'INCEXC A'!M386</f>
        <v/>
      </c>
      <c r="P386" s="28" t="str">
        <f>'INCEXC A'!N386</f>
        <v/>
      </c>
      <c r="Q386" s="28" t="str">
        <f>'INCEXC A'!O386</f>
        <v/>
      </c>
      <c r="R386" s="28" t="str">
        <f>'INCEXC B'!O386</f>
        <v/>
      </c>
      <c r="S386" s="28" t="str">
        <f>'INCEXC A'!P386</f>
        <v/>
      </c>
      <c r="T386" s="28" t="str">
        <f>'INCEXC B'!P386</f>
        <v/>
      </c>
      <c r="U386" s="28" t="b">
        <f t="shared" si="4"/>
        <v>1</v>
      </c>
      <c r="V386" s="28" t="b">
        <f t="shared" si="5"/>
        <v>0</v>
      </c>
    </row>
    <row r="387" hidden="1">
      <c r="A387" s="35" t="str">
        <f>'INCEXC A'!A387</f>
        <v>https://doi.org/10.3115/1220175.1220289</v>
      </c>
      <c r="B387" s="35" t="str">
        <f>'INCEXC B'!A387</f>
        <v>https://doi.org/10.3115/1220175.1220289</v>
      </c>
      <c r="C387" s="28" t="b">
        <f t="shared" si="1"/>
        <v>1</v>
      </c>
      <c r="D387" s="28" t="str">
        <f>'INCEXC A'!B387</f>
        <v>10.3115/1220175.1220289</v>
      </c>
      <c r="E387" s="28" t="str">
        <f>'INCEXC A'!C387</f>
        <v>Methods for using textual entailment in open-domain question answering</v>
      </c>
      <c r="F387" s="28" t="str">
        <f>'INCEXC A'!D387</f>
        <v>Kaiser</v>
      </c>
      <c r="G387" s="28" t="str">
        <f>'INCEXC B'!D387</f>
        <v>Ceren</v>
      </c>
      <c r="H387" s="28" t="str">
        <f>'INCEXC A'!E387</f>
        <v>Exclude</v>
      </c>
      <c r="I387" s="28" t="str">
        <f>'INCEXC B'!E387</f>
        <v>Exclude</v>
      </c>
      <c r="J387" s="28" t="b">
        <f t="shared" si="2"/>
        <v>1</v>
      </c>
      <c r="K387" s="28" t="b">
        <f t="shared" si="3"/>
        <v>0</v>
      </c>
      <c r="L387" s="28" t="str">
        <f>'INCEXC A'!L387</f>
        <v/>
      </c>
      <c r="M387" s="28" t="str">
        <f>'INCEXC B'!L387</f>
        <v/>
      </c>
      <c r="O387" s="28" t="str">
        <f>'INCEXC A'!M387</f>
        <v/>
      </c>
      <c r="P387" s="28" t="str">
        <f>'INCEXC A'!N387</f>
        <v/>
      </c>
      <c r="Q387" s="28" t="str">
        <f>'INCEXC A'!O387</f>
        <v/>
      </c>
      <c r="R387" s="28" t="str">
        <f>'INCEXC B'!O387</f>
        <v/>
      </c>
      <c r="S387" s="28" t="str">
        <f>'INCEXC A'!P387</f>
        <v/>
      </c>
      <c r="T387" s="28" t="str">
        <f>'INCEXC B'!P387</f>
        <v/>
      </c>
      <c r="U387" s="28" t="b">
        <f t="shared" si="4"/>
        <v>1</v>
      </c>
      <c r="V387" s="28" t="b">
        <f t="shared" si="5"/>
        <v>0</v>
      </c>
    </row>
    <row r="388" hidden="1">
      <c r="A388" s="35" t="str">
        <f>'INCEXC A'!A388</f>
        <v>https://doi.org/10.3115/980262.980281</v>
      </c>
      <c r="B388" s="35" t="str">
        <f>'INCEXC B'!A388</f>
        <v>https://doi.org/10.3115/980262.980281</v>
      </c>
      <c r="C388" s="28" t="b">
        <f t="shared" si="1"/>
        <v>1</v>
      </c>
      <c r="D388" s="28" t="str">
        <f>'INCEXC A'!B388</f>
        <v>10.3115/980262.980281</v>
      </c>
      <c r="E388" s="28" t="str">
        <f>'INCEXC A'!C388</f>
        <v>Assent and compliance in children's language comprehension</v>
      </c>
      <c r="F388" s="28" t="str">
        <f>'INCEXC A'!D388</f>
        <v>Marilyn</v>
      </c>
      <c r="G388" s="28" t="str">
        <f>'INCEXC B'!D388</f>
        <v>Ceren</v>
      </c>
      <c r="H388" s="28" t="str">
        <f>'INCEXC A'!E388</f>
        <v>Exclude</v>
      </c>
      <c r="I388" s="28" t="str">
        <f>'INCEXC B'!E388</f>
        <v>Exclude</v>
      </c>
      <c r="J388" s="28" t="b">
        <f t="shared" si="2"/>
        <v>1</v>
      </c>
      <c r="K388" s="28" t="b">
        <f t="shared" si="3"/>
        <v>0</v>
      </c>
      <c r="L388" s="28" t="str">
        <f>'INCEXC A'!L388</f>
        <v/>
      </c>
      <c r="M388" s="28" t="str">
        <f>'INCEXC B'!L388</f>
        <v/>
      </c>
      <c r="O388" s="28" t="str">
        <f>'INCEXC A'!M388</f>
        <v/>
      </c>
      <c r="P388" s="28" t="str">
        <f>'INCEXC A'!N388</f>
        <v/>
      </c>
      <c r="Q388" s="28" t="str">
        <f>'INCEXC A'!O388</f>
        <v/>
      </c>
      <c r="R388" s="28" t="str">
        <f>'INCEXC B'!O388</f>
        <v/>
      </c>
      <c r="S388" s="28" t="str">
        <f>'INCEXC A'!P388</f>
        <v/>
      </c>
      <c r="T388" s="28" t="str">
        <f>'INCEXC B'!P388</f>
        <v/>
      </c>
      <c r="U388" s="28" t="b">
        <f t="shared" si="4"/>
        <v>1</v>
      </c>
      <c r="V388" s="28" t="b">
        <f t="shared" si="5"/>
        <v>0</v>
      </c>
    </row>
    <row r="389" hidden="1">
      <c r="A389" s="35" t="str">
        <f>'INCEXC A'!A389</f>
        <v>https://doi.org/10.3115/981175.981177</v>
      </c>
      <c r="B389" s="35" t="str">
        <f>'INCEXC B'!A389</f>
        <v>https://doi.org/10.3115/981175.981177</v>
      </c>
      <c r="C389" s="28" t="b">
        <f t="shared" si="1"/>
        <v>1</v>
      </c>
      <c r="D389" s="28" t="str">
        <f>'INCEXC A'!B389</f>
        <v>10.3115/981175.981177</v>
      </c>
      <c r="E389" s="28" t="str">
        <f>'INCEXC A'!C389</f>
        <v>A compositional semantics of temporal expressions in English</v>
      </c>
      <c r="F389" s="28" t="str">
        <f>'INCEXC A'!D389</f>
        <v>Marilyn</v>
      </c>
      <c r="G389" s="28" t="str">
        <f>'INCEXC B'!D389</f>
        <v>Ceren</v>
      </c>
      <c r="H389" s="28" t="str">
        <f>'INCEXC A'!E389</f>
        <v>Exclude</v>
      </c>
      <c r="I389" s="28" t="str">
        <f>'INCEXC B'!E389</f>
        <v>Exclude</v>
      </c>
      <c r="J389" s="28" t="b">
        <f t="shared" si="2"/>
        <v>1</v>
      </c>
      <c r="K389" s="28" t="b">
        <f t="shared" si="3"/>
        <v>0</v>
      </c>
      <c r="L389" s="28" t="str">
        <f>'INCEXC A'!L389</f>
        <v/>
      </c>
      <c r="M389" s="28" t="str">
        <f>'INCEXC B'!L389</f>
        <v/>
      </c>
      <c r="O389" s="28" t="str">
        <f>'INCEXC A'!M389</f>
        <v/>
      </c>
      <c r="P389" s="28" t="str">
        <f>'INCEXC A'!N389</f>
        <v/>
      </c>
      <c r="Q389" s="28" t="str">
        <f>'INCEXC A'!O389</f>
        <v/>
      </c>
      <c r="R389" s="28" t="str">
        <f>'INCEXC B'!O389</f>
        <v/>
      </c>
      <c r="S389" s="28" t="str">
        <f>'INCEXC A'!P389</f>
        <v/>
      </c>
      <c r="T389" s="28" t="str">
        <f>'INCEXC B'!P389</f>
        <v/>
      </c>
      <c r="U389" s="28" t="b">
        <f t="shared" si="4"/>
        <v>1</v>
      </c>
      <c r="V389" s="28" t="b">
        <f t="shared" si="5"/>
        <v>0</v>
      </c>
    </row>
    <row r="390" hidden="1">
      <c r="A390" s="35" t="str">
        <f>'INCEXC A'!A390</f>
        <v>https://doi.org/10.3115/981436.981467</v>
      </c>
      <c r="B390" s="35" t="str">
        <f>'INCEXC B'!A390</f>
        <v>https://doi.org/10.3115/981436.981467</v>
      </c>
      <c r="C390" s="28" t="b">
        <f t="shared" si="1"/>
        <v>1</v>
      </c>
      <c r="D390" s="28" t="str">
        <f>'INCEXC A'!B390</f>
        <v>10.3115/981436.981467</v>
      </c>
      <c r="E390" s="28" t="str">
        <f>'INCEXC A'!C390</f>
        <v>Flexible parsing</v>
      </c>
      <c r="F390" s="28" t="str">
        <f>'INCEXC A'!D390</f>
        <v>Jonathan</v>
      </c>
      <c r="G390" s="28" t="str">
        <f>'INCEXC B'!D390</f>
        <v>Danni</v>
      </c>
      <c r="H390" s="28" t="str">
        <f>'INCEXC A'!E390</f>
        <v>Exclude</v>
      </c>
      <c r="I390" s="28" t="str">
        <f>'INCEXC B'!E390</f>
        <v>Exclude</v>
      </c>
      <c r="J390" s="28" t="b">
        <f t="shared" si="2"/>
        <v>1</v>
      </c>
      <c r="K390" s="28" t="b">
        <f t="shared" si="3"/>
        <v>0</v>
      </c>
      <c r="L390" s="28" t="str">
        <f>'INCEXC A'!L390</f>
        <v/>
      </c>
      <c r="M390" s="28" t="str">
        <f>'INCEXC B'!L390</f>
        <v/>
      </c>
      <c r="O390" s="28" t="str">
        <f>'INCEXC A'!M390</f>
        <v/>
      </c>
      <c r="P390" s="28" t="str">
        <f>'INCEXC A'!N390</f>
        <v/>
      </c>
      <c r="Q390" s="28" t="str">
        <f>'INCEXC A'!O390</f>
        <v/>
      </c>
      <c r="R390" s="28" t="str">
        <f>'INCEXC B'!O390</f>
        <v/>
      </c>
      <c r="S390" s="28" t="str">
        <f>'INCEXC A'!P390</f>
        <v/>
      </c>
      <c r="T390" s="28" t="str">
        <f>'INCEXC B'!P390</f>
        <v/>
      </c>
      <c r="U390" s="28" t="b">
        <f t="shared" si="4"/>
        <v>1</v>
      </c>
      <c r="V390" s="28" t="b">
        <f t="shared" si="5"/>
        <v>0</v>
      </c>
    </row>
    <row r="391" hidden="1">
      <c r="A391" s="35" t="str">
        <f>'INCEXC A'!A391</f>
        <v>https://doi.org/10.3115/990820.990864</v>
      </c>
      <c r="B391" s="35" t="str">
        <f>'INCEXC B'!A391</f>
        <v>https://doi.org/10.3115/990820.990864</v>
      </c>
      <c r="C391" s="28" t="b">
        <f t="shared" si="1"/>
        <v>1</v>
      </c>
      <c r="D391" s="28" t="str">
        <f>'INCEXC A'!B391</f>
        <v>10.3115/990820.990864</v>
      </c>
      <c r="E391" s="28" t="str">
        <f>'INCEXC A'!C391</f>
        <v>Effects of adjective orientation and gradability on sentence subjectivity</v>
      </c>
      <c r="F391" s="28" t="str">
        <f>'INCEXC A'!D391</f>
        <v>Jonathan</v>
      </c>
      <c r="G391" s="28" t="str">
        <f>'INCEXC B'!D391</f>
        <v>Danni</v>
      </c>
      <c r="H391" s="28" t="str">
        <f>'INCEXC A'!E391</f>
        <v>Exclude</v>
      </c>
      <c r="I391" s="28" t="str">
        <f>'INCEXC B'!E391</f>
        <v>Exclude</v>
      </c>
      <c r="J391" s="28" t="b">
        <f t="shared" si="2"/>
        <v>1</v>
      </c>
      <c r="K391" s="28" t="b">
        <f t="shared" si="3"/>
        <v>0</v>
      </c>
      <c r="L391" s="28" t="str">
        <f>'INCEXC A'!L391</f>
        <v/>
      </c>
      <c r="M391" s="28" t="str">
        <f>'INCEXC B'!L391</f>
        <v/>
      </c>
      <c r="O391" s="28" t="str">
        <f>'INCEXC A'!M391</f>
        <v/>
      </c>
      <c r="P391" s="28" t="str">
        <f>'INCEXC A'!N391</f>
        <v/>
      </c>
      <c r="Q391" s="28" t="str">
        <f>'INCEXC A'!O391</f>
        <v/>
      </c>
      <c r="R391" s="28" t="str">
        <f>'INCEXC B'!O391</f>
        <v/>
      </c>
      <c r="S391" s="28" t="str">
        <f>'INCEXC A'!P391</f>
        <v/>
      </c>
      <c r="T391" s="28" t="str">
        <f>'INCEXC B'!P391</f>
        <v/>
      </c>
      <c r="U391" s="28" t="b">
        <f t="shared" si="4"/>
        <v>1</v>
      </c>
      <c r="V391" s="28" t="b">
        <f t="shared" si="5"/>
        <v>0</v>
      </c>
    </row>
    <row r="392" hidden="1">
      <c r="A392" s="35" t="str">
        <f>'INCEXC A'!A392</f>
        <v>https://doi.org/10.3115/991886.991938</v>
      </c>
      <c r="B392" s="35" t="str">
        <f>'INCEXC B'!A392</f>
        <v>https://doi.org/10.3115/991886.991938</v>
      </c>
      <c r="C392" s="28" t="b">
        <f t="shared" si="1"/>
        <v>1</v>
      </c>
      <c r="D392" s="28" t="str">
        <f>'INCEXC A'!B392</f>
        <v>10.3115/991886.991938</v>
      </c>
      <c r="E392" s="28" t="str">
        <f>'INCEXC A'!C392</f>
        <v>Co-occurrence vectors from corpora vs. distance vectors from dictionaries</v>
      </c>
      <c r="F392" s="28" t="str">
        <f>'INCEXC A'!D392</f>
        <v>Marilyn</v>
      </c>
      <c r="G392" s="28" t="str">
        <f>'INCEXC B'!D392</f>
        <v>Ceren</v>
      </c>
      <c r="H392" s="28" t="str">
        <f>'INCEXC A'!E392</f>
        <v>Exclude</v>
      </c>
      <c r="I392" s="28" t="str">
        <f>'INCEXC B'!E392</f>
        <v>Exclude</v>
      </c>
      <c r="J392" s="28" t="b">
        <f t="shared" si="2"/>
        <v>1</v>
      </c>
      <c r="K392" s="28" t="b">
        <f t="shared" si="3"/>
        <v>0</v>
      </c>
      <c r="L392" s="28" t="str">
        <f>'INCEXC A'!L392</f>
        <v/>
      </c>
      <c r="M392" s="28" t="str">
        <f>'INCEXC B'!L392</f>
        <v/>
      </c>
      <c r="O392" s="28" t="str">
        <f>'INCEXC A'!M392</f>
        <v/>
      </c>
      <c r="P392" s="28" t="str">
        <f>'INCEXC A'!N392</f>
        <v/>
      </c>
      <c r="Q392" s="28" t="str">
        <f>'INCEXC A'!O392</f>
        <v/>
      </c>
      <c r="R392" s="28" t="str">
        <f>'INCEXC B'!O392</f>
        <v/>
      </c>
      <c r="S392" s="28" t="str">
        <f>'INCEXC A'!P392</f>
        <v/>
      </c>
      <c r="T392" s="28" t="str">
        <f>'INCEXC B'!P392</f>
        <v/>
      </c>
      <c r="U392" s="28" t="b">
        <f t="shared" si="4"/>
        <v>1</v>
      </c>
      <c r="V392" s="28" t="b">
        <f t="shared" si="5"/>
        <v>0</v>
      </c>
    </row>
    <row r="393" hidden="1">
      <c r="A393" s="35" t="str">
        <f>'INCEXC A'!A393</f>
        <v>https://doi.org/10.3115/991886.991970</v>
      </c>
      <c r="B393" s="35" t="str">
        <f>'INCEXC B'!A393</f>
        <v>https://doi.org/10.3115/991886.991970</v>
      </c>
      <c r="C393" s="28" t="b">
        <f t="shared" si="1"/>
        <v>1</v>
      </c>
      <c r="D393" s="28" t="str">
        <f>'INCEXC A'!B393</f>
        <v>10.3115/991886.991970</v>
      </c>
      <c r="E393" s="28" t="str">
        <f>'INCEXC A'!C393</f>
        <v>PRINCIPAR: an efficient</v>
      </c>
      <c r="F393" s="28" t="str">
        <f>'INCEXC A'!D393</f>
        <v>Marilyn</v>
      </c>
      <c r="G393" s="28" t="str">
        <f>'INCEXC B'!D393</f>
        <v>Danni</v>
      </c>
      <c r="H393" s="28" t="str">
        <f>'INCEXC A'!E393</f>
        <v>Exclude</v>
      </c>
      <c r="I393" s="28" t="str">
        <f>'INCEXC B'!E393</f>
        <v>Exclude</v>
      </c>
      <c r="J393" s="28" t="b">
        <f t="shared" si="2"/>
        <v>1</v>
      </c>
      <c r="K393" s="28" t="b">
        <f t="shared" si="3"/>
        <v>0</v>
      </c>
      <c r="L393" s="28" t="str">
        <f>'INCEXC A'!L393</f>
        <v/>
      </c>
      <c r="M393" s="28" t="str">
        <f>'INCEXC B'!L393</f>
        <v/>
      </c>
      <c r="O393" s="28" t="str">
        <f>'INCEXC A'!M393</f>
        <v/>
      </c>
      <c r="P393" s="28" t="str">
        <f>'INCEXC A'!N393</f>
        <v/>
      </c>
      <c r="Q393" s="28" t="str">
        <f>'INCEXC A'!O393</f>
        <v/>
      </c>
      <c r="R393" s="28" t="str">
        <f>'INCEXC B'!O393</f>
        <v/>
      </c>
      <c r="S393" s="28" t="str">
        <f>'INCEXC A'!P393</f>
        <v/>
      </c>
      <c r="T393" s="28" t="str">
        <f>'INCEXC B'!P393</f>
        <v/>
      </c>
      <c r="U393" s="28" t="b">
        <f t="shared" si="4"/>
        <v>1</v>
      </c>
      <c r="V393" s="28" t="b">
        <f t="shared" si="5"/>
        <v>0</v>
      </c>
    </row>
    <row r="394" hidden="1">
      <c r="A394" s="35" t="str">
        <f>'INCEXC A'!A394</f>
        <v>https://ieeexplore.ieee.org/stamp/stamp.jsp?arnumber=11270034</v>
      </c>
      <c r="B394" s="35" t="str">
        <f>'INCEXC B'!A394</f>
        <v>https://ieeexplore.ieee.org/stamp/stamp.jsp?arnumber=11270034</v>
      </c>
      <c r="C394" s="28" t="b">
        <f t="shared" si="1"/>
        <v>1</v>
      </c>
      <c r="D394" s="28" t="str">
        <f>'INCEXC A'!B394</f>
        <v>X</v>
      </c>
      <c r="E394" s="28" t="str">
        <f>'INCEXC A'!C394</f>
        <v>IEEE Approved Draft Recommended Practice for Ethical Considerations of Emulated Empathy in Partner-based General-Purpose Artificial Intelligence Systems</v>
      </c>
      <c r="F394" s="28" t="str">
        <f>'INCEXC A'!D394</f>
        <v>Jonathan</v>
      </c>
      <c r="G394" s="28" t="str">
        <f>'INCEXC B'!D394</f>
        <v>Danni</v>
      </c>
      <c r="H394" s="28" t="str">
        <f>'INCEXC A'!E394</f>
        <v>Exclude</v>
      </c>
      <c r="I394" s="28" t="str">
        <f>'INCEXC B'!E394</f>
        <v>Exclude</v>
      </c>
      <c r="J394" s="28" t="b">
        <f t="shared" si="2"/>
        <v>1</v>
      </c>
      <c r="K394" s="28" t="b">
        <f t="shared" si="3"/>
        <v>0</v>
      </c>
      <c r="L394" s="28" t="str">
        <f>'INCEXC A'!L394</f>
        <v/>
      </c>
      <c r="M394" s="28" t="str">
        <f>'INCEXC B'!L394</f>
        <v/>
      </c>
      <c r="O394" s="28" t="str">
        <f>'INCEXC A'!M394</f>
        <v/>
      </c>
      <c r="P394" s="28" t="str">
        <f>'INCEXC A'!N394</f>
        <v/>
      </c>
      <c r="Q394" s="28" t="str">
        <f>'INCEXC A'!O394</f>
        <v/>
      </c>
      <c r="R394" s="28" t="str">
        <f>'INCEXC B'!O394</f>
        <v/>
      </c>
      <c r="S394" s="28" t="str">
        <f>'INCEXC A'!P394</f>
        <v/>
      </c>
      <c r="T394" s="28" t="str">
        <f>'INCEXC B'!P394</f>
        <v/>
      </c>
      <c r="U394" s="28" t="b">
        <f t="shared" si="4"/>
        <v>1</v>
      </c>
      <c r="V394" s="28" t="b">
        <f t="shared" si="5"/>
        <v>0</v>
      </c>
    </row>
    <row r="395" hidden="1">
      <c r="A395" s="35" t="str">
        <f>'INCEXC A'!A395</f>
        <v>https://ieeexplore.ieee.org/xpl/ebooks/bookPdfWithBanner.jsp?fileName=8646901.pdf&amp;bkn=8646803&amp;pdfType=chapter</v>
      </c>
      <c r="B395" s="35" t="str">
        <f>'INCEXC B'!A395</f>
        <v>https://ieeexplore.ieee.org/stamp/stamp.jsp?arnumber=6921105</v>
      </c>
      <c r="C395" s="28" t="b">
        <f t="shared" si="1"/>
        <v>0</v>
      </c>
      <c r="D395" s="28" t="str">
        <f>'INCEXC A'!B395</f>
        <v>X</v>
      </c>
      <c r="E395" s="28" t="str">
        <f>'INCEXC A'!C395</f>
        <v>7 Empowered by Games: Games as a Means of Self-Expression and Activism</v>
      </c>
      <c r="F395" s="28" t="str">
        <f>'INCEXC A'!D395</f>
        <v>Kaiser</v>
      </c>
      <c r="G395" s="28" t="str">
        <f>'INCEXC B'!D395</f>
        <v>Ceren</v>
      </c>
      <c r="H395" s="28" t="str">
        <f>'INCEXC A'!E395</f>
        <v>Exclude</v>
      </c>
      <c r="I395" s="28" t="str">
        <f>'INCEXC B'!E395</f>
        <v>Exclude</v>
      </c>
      <c r="J395" s="28" t="b">
        <f t="shared" si="2"/>
        <v>1</v>
      </c>
      <c r="K395" s="28" t="b">
        <f t="shared" si="3"/>
        <v>0</v>
      </c>
      <c r="L395" s="28" t="str">
        <f>'INCEXC A'!L395</f>
        <v/>
      </c>
      <c r="M395" s="28" t="str">
        <f>'INCEXC B'!L395</f>
        <v/>
      </c>
      <c r="O395" s="28" t="str">
        <f>'INCEXC A'!M395</f>
        <v/>
      </c>
      <c r="P395" s="28" t="str">
        <f>'INCEXC A'!N395</f>
        <v/>
      </c>
      <c r="Q395" s="28" t="str">
        <f>'INCEXC A'!O395</f>
        <v/>
      </c>
      <c r="R395" s="28" t="str">
        <f>'INCEXC B'!O395</f>
        <v/>
      </c>
      <c r="S395" s="28" t="str">
        <f>'INCEXC A'!P395</f>
        <v/>
      </c>
      <c r="T395" s="28" t="str">
        <f>'INCEXC B'!P395</f>
        <v/>
      </c>
      <c r="U395" s="28" t="b">
        <f t="shared" si="4"/>
        <v>1</v>
      </c>
      <c r="V395" s="28" t="b">
        <f t="shared" si="5"/>
        <v>0</v>
      </c>
    </row>
    <row r="396" hidden="1">
      <c r="A396" s="35" t="str">
        <f>'INCEXC A'!A396</f>
        <v>https://ieeexplore.ieee.org/stamp/stamp.jsp?arnumber=6921105</v>
      </c>
      <c r="B396" s="35" t="str">
        <f>'INCEXC B'!A396</f>
        <v>https://ieeexplore.ieee.org/xpl/ebooks/bookPdfWithBanner.jsp?fileName=8646901.pdf&amp;bkn=8646803&amp;pdfType=chapter</v>
      </c>
      <c r="C396" s="28" t="b">
        <f t="shared" si="1"/>
        <v>0</v>
      </c>
      <c r="D396" s="28" t="str">
        <f>'INCEXC A'!B396</f>
        <v>X</v>
      </c>
      <c r="E396" s="28" t="str">
        <f>'INCEXC A'!C396</f>
        <v>Exploring the national role and position of international technology diffusion: A technological embeddedness perspective</v>
      </c>
      <c r="F396" s="28" t="str">
        <f>'INCEXC A'!D396</f>
        <v>Kaiser</v>
      </c>
      <c r="G396" s="28" t="str">
        <f>'INCEXC B'!D396</f>
        <v>Taylor</v>
      </c>
      <c r="H396" s="28" t="str">
        <f>'INCEXC A'!E396</f>
        <v>Exclude</v>
      </c>
      <c r="I396" s="28" t="str">
        <f>'INCEXC B'!E396</f>
        <v>Exclude</v>
      </c>
      <c r="J396" s="28" t="b">
        <f t="shared" si="2"/>
        <v>1</v>
      </c>
      <c r="K396" s="28" t="b">
        <f t="shared" si="3"/>
        <v>0</v>
      </c>
      <c r="L396" s="28" t="str">
        <f>'INCEXC A'!L396</f>
        <v/>
      </c>
      <c r="M396" s="28" t="str">
        <f>'INCEXC B'!L396</f>
        <v/>
      </c>
      <c r="O396" s="28" t="str">
        <f>'INCEXC A'!M396</f>
        <v/>
      </c>
      <c r="P396" s="28" t="str">
        <f>'INCEXC A'!N396</f>
        <v/>
      </c>
      <c r="Q396" s="28" t="str">
        <f>'INCEXC A'!O396</f>
        <v/>
      </c>
      <c r="R396" s="28" t="str">
        <f>'INCEXC B'!O396</f>
        <v/>
      </c>
      <c r="S396" s="28" t="str">
        <f>'INCEXC A'!P396</f>
        <v/>
      </c>
      <c r="T396" s="28" t="str">
        <f>'INCEXC B'!P396</f>
        <v/>
      </c>
      <c r="U396" s="28" t="b">
        <f t="shared" si="4"/>
        <v>1</v>
      </c>
      <c r="V396" s="28" t="b">
        <f t="shared" si="5"/>
        <v>0</v>
      </c>
    </row>
  </sheetData>
  <autoFilter ref="$K$1:$K$1000">
    <filterColumn colId="0">
      <filters blank="1">
        <filter val="TRUE"/>
      </filters>
    </filterColumn>
  </autoFilter>
  <conditionalFormatting sqref="J2:J396">
    <cfRule type="cellIs" dxfId="3" priority="1" operator="equal">
      <formula>"TRUE"</formula>
    </cfRule>
  </conditionalFormatting>
  <conditionalFormatting sqref="J2:J396">
    <cfRule type="cellIs" dxfId="2" priority="2" operator="equal">
      <formula>"FALSE"</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9.38"/>
    <col customWidth="1" min="2" max="2" width="5.63"/>
    <col customWidth="1" min="3" max="5" width="12.25"/>
    <col customWidth="1" min="6" max="10" width="12.5"/>
    <col customWidth="1" min="11" max="15" width="15.38"/>
    <col customWidth="1" min="16" max="16" width="12.63"/>
    <col customWidth="1" min="17" max="17" width="8.75"/>
    <col customWidth="1" min="18" max="18" width="12.38"/>
    <col customWidth="1" min="19" max="20" width="11.88"/>
  </cols>
  <sheetData>
    <row r="1">
      <c r="A1" s="36" t="s">
        <v>0</v>
      </c>
      <c r="B1" s="1" t="s">
        <v>2</v>
      </c>
      <c r="C1" s="1" t="s">
        <v>1</v>
      </c>
      <c r="D1" s="1" t="s">
        <v>1619</v>
      </c>
      <c r="E1" s="37" t="s">
        <v>1620</v>
      </c>
      <c r="F1" s="10" t="s">
        <v>1621</v>
      </c>
      <c r="G1" s="3"/>
      <c r="H1" s="3"/>
      <c r="I1" s="3"/>
      <c r="J1" s="3"/>
      <c r="K1" s="4" t="s">
        <v>4</v>
      </c>
      <c r="L1" s="5"/>
      <c r="M1" s="5"/>
      <c r="N1" s="5"/>
      <c r="O1" s="5"/>
      <c r="P1" s="6" t="s">
        <v>5</v>
      </c>
      <c r="Q1" s="7"/>
      <c r="R1" s="7"/>
      <c r="S1" s="7"/>
      <c r="T1" s="7"/>
    </row>
    <row r="2" ht="29.25" customHeight="1">
      <c r="A2" s="36"/>
      <c r="B2" s="9"/>
      <c r="C2" s="9"/>
      <c r="D2" s="9"/>
      <c r="E2" s="37" t="s">
        <v>1622</v>
      </c>
      <c r="F2" s="10" t="s">
        <v>1623</v>
      </c>
      <c r="G2" s="10" t="s">
        <v>1624</v>
      </c>
      <c r="H2" s="10" t="s">
        <v>6</v>
      </c>
      <c r="I2" s="10" t="s">
        <v>7</v>
      </c>
      <c r="J2" s="10" t="s">
        <v>8</v>
      </c>
      <c r="K2" s="4" t="s">
        <v>9</v>
      </c>
      <c r="L2" s="4" t="s">
        <v>10</v>
      </c>
      <c r="M2" s="4" t="s">
        <v>11</v>
      </c>
      <c r="N2" s="4" t="s">
        <v>12</v>
      </c>
      <c r="O2" s="4" t="s">
        <v>13</v>
      </c>
      <c r="P2" s="6" t="s">
        <v>14</v>
      </c>
      <c r="Q2" s="6" t="s">
        <v>15</v>
      </c>
      <c r="R2" s="6" t="s">
        <v>16</v>
      </c>
      <c r="S2" s="6" t="s">
        <v>17</v>
      </c>
      <c r="T2" s="6" t="s">
        <v>18</v>
      </c>
    </row>
    <row r="3" ht="57.75" customHeight="1">
      <c r="A3" s="36"/>
      <c r="B3" s="9"/>
      <c r="C3" s="9"/>
      <c r="D3" s="9"/>
      <c r="E3" s="38"/>
      <c r="F3" s="11" t="s">
        <v>1625</v>
      </c>
      <c r="G3" s="11" t="s">
        <v>1626</v>
      </c>
      <c r="H3" s="11" t="s">
        <v>19</v>
      </c>
      <c r="I3" s="11" t="s">
        <v>20</v>
      </c>
      <c r="J3" s="11" t="s">
        <v>21</v>
      </c>
      <c r="K3" s="12" t="s">
        <v>22</v>
      </c>
      <c r="L3" s="12" t="s">
        <v>23</v>
      </c>
      <c r="M3" s="12" t="s">
        <v>24</v>
      </c>
      <c r="N3" s="12" t="s">
        <v>25</v>
      </c>
      <c r="O3" s="12" t="s">
        <v>26</v>
      </c>
      <c r="P3" s="6" t="s">
        <v>27</v>
      </c>
      <c r="Q3" s="6" t="s">
        <v>28</v>
      </c>
      <c r="R3" s="6" t="s">
        <v>29</v>
      </c>
      <c r="S3" s="6" t="s">
        <v>30</v>
      </c>
      <c r="T3" s="6" t="s">
        <v>31</v>
      </c>
    </row>
    <row r="4">
      <c r="A4" s="28" t="s">
        <v>209</v>
      </c>
      <c r="B4" s="28" t="s">
        <v>210</v>
      </c>
      <c r="C4" s="28" t="s">
        <v>211</v>
      </c>
      <c r="D4" s="19" t="s">
        <v>1346</v>
      </c>
      <c r="E4" s="19" t="str">
        <f t="shared" ref="E4:E37" si="1">IF(AND(COUNTIF(F4:J4,"X")&gt;0,COUNTIF(K4:O4,"X")&gt;0,COUNTIF(P4:T4,"X")&gt;0),"X","")</f>
        <v/>
      </c>
      <c r="F4" s="28"/>
      <c r="G4" s="28"/>
      <c r="H4" s="19"/>
      <c r="I4" s="19"/>
      <c r="J4" s="19"/>
      <c r="K4" s="19"/>
      <c r="L4" s="19"/>
      <c r="M4" s="28"/>
      <c r="N4" s="28"/>
      <c r="O4" s="19"/>
      <c r="P4" s="28"/>
      <c r="Q4" s="28"/>
      <c r="R4" s="28"/>
      <c r="S4" s="19"/>
      <c r="T4" s="28"/>
    </row>
    <row r="5">
      <c r="A5" s="28" t="s">
        <v>32</v>
      </c>
      <c r="B5" s="28" t="s">
        <v>34</v>
      </c>
      <c r="C5" s="28" t="s">
        <v>33</v>
      </c>
      <c r="D5" s="19" t="s">
        <v>1346</v>
      </c>
      <c r="E5" s="19" t="str">
        <f t="shared" si="1"/>
        <v>X</v>
      </c>
      <c r="F5" s="19"/>
      <c r="G5" s="19"/>
      <c r="H5" s="28"/>
      <c r="I5" s="28"/>
      <c r="J5" s="19" t="s">
        <v>36</v>
      </c>
      <c r="K5" s="28"/>
      <c r="L5" s="28"/>
      <c r="M5" s="19" t="s">
        <v>36</v>
      </c>
      <c r="N5" s="28"/>
      <c r="O5" s="19" t="s">
        <v>36</v>
      </c>
      <c r="P5" s="28"/>
      <c r="Q5" s="19"/>
      <c r="R5" s="19" t="s">
        <v>36</v>
      </c>
      <c r="S5" s="28"/>
      <c r="T5" s="19"/>
    </row>
    <row r="6">
      <c r="A6" s="28" t="s">
        <v>37</v>
      </c>
      <c r="B6" s="28" t="s">
        <v>39</v>
      </c>
      <c r="C6" s="28" t="s">
        <v>38</v>
      </c>
      <c r="D6" s="19" t="s">
        <v>1346</v>
      </c>
      <c r="E6" s="19" t="str">
        <f t="shared" si="1"/>
        <v>X</v>
      </c>
      <c r="F6" s="28"/>
      <c r="G6" s="28"/>
      <c r="H6" s="28"/>
      <c r="I6" s="28"/>
      <c r="J6" s="19" t="s">
        <v>36</v>
      </c>
      <c r="K6" s="19"/>
      <c r="L6" s="28"/>
      <c r="M6" s="28"/>
      <c r="N6" s="19" t="s">
        <v>36</v>
      </c>
      <c r="O6" s="19" t="s">
        <v>36</v>
      </c>
      <c r="P6" s="28"/>
      <c r="Q6" s="28"/>
      <c r="R6" s="28"/>
      <c r="S6" s="19" t="s">
        <v>36</v>
      </c>
      <c r="T6" s="28"/>
    </row>
    <row r="7">
      <c r="A7" s="28" t="s">
        <v>40</v>
      </c>
      <c r="B7" s="28" t="s">
        <v>42</v>
      </c>
      <c r="C7" s="28" t="s">
        <v>41</v>
      </c>
      <c r="D7" s="19" t="s">
        <v>1346</v>
      </c>
      <c r="E7" s="19" t="str">
        <f t="shared" si="1"/>
        <v>X</v>
      </c>
      <c r="F7" s="28"/>
      <c r="G7" s="28"/>
      <c r="H7" s="28"/>
      <c r="I7" s="28"/>
      <c r="J7" s="19" t="s">
        <v>36</v>
      </c>
      <c r="K7" s="19" t="s">
        <v>36</v>
      </c>
      <c r="L7" s="28"/>
      <c r="M7" s="28"/>
      <c r="N7" s="19" t="s">
        <v>36</v>
      </c>
      <c r="O7" s="19" t="s">
        <v>36</v>
      </c>
      <c r="P7" s="28"/>
      <c r="Q7" s="28"/>
      <c r="R7" s="28"/>
      <c r="S7" s="19" t="s">
        <v>36</v>
      </c>
      <c r="T7" s="28"/>
    </row>
    <row r="8">
      <c r="A8" s="28" t="s">
        <v>128</v>
      </c>
      <c r="B8" s="28" t="s">
        <v>129</v>
      </c>
      <c r="C8" s="28" t="s">
        <v>130</v>
      </c>
      <c r="D8" s="19" t="s">
        <v>1346</v>
      </c>
      <c r="E8" s="19" t="str">
        <f t="shared" si="1"/>
        <v/>
      </c>
      <c r="F8" s="28"/>
      <c r="G8" s="28"/>
      <c r="H8" s="28"/>
      <c r="I8" s="28"/>
      <c r="J8" s="19"/>
      <c r="K8" s="28"/>
      <c r="L8" s="28"/>
      <c r="M8" s="28"/>
      <c r="N8" s="28"/>
      <c r="O8" s="28"/>
      <c r="P8" s="28"/>
      <c r="Q8" s="28"/>
      <c r="R8" s="28"/>
      <c r="S8" s="28"/>
      <c r="T8" s="28"/>
    </row>
    <row r="9">
      <c r="A9" s="28" t="s">
        <v>43</v>
      </c>
      <c r="B9" s="28" t="s">
        <v>45</v>
      </c>
      <c r="C9" s="28" t="s">
        <v>44</v>
      </c>
      <c r="D9" s="19" t="s">
        <v>1346</v>
      </c>
      <c r="E9" s="19" t="str">
        <f t="shared" si="1"/>
        <v>X</v>
      </c>
      <c r="F9" s="28"/>
      <c r="G9" s="28"/>
      <c r="H9" s="28"/>
      <c r="I9" s="19" t="s">
        <v>36</v>
      </c>
      <c r="J9" s="19" t="s">
        <v>36</v>
      </c>
      <c r="K9" s="19" t="s">
        <v>36</v>
      </c>
      <c r="L9" s="28"/>
      <c r="M9" s="28"/>
      <c r="N9" s="28"/>
      <c r="O9" s="19"/>
      <c r="P9" s="28"/>
      <c r="Q9" s="28"/>
      <c r="R9" s="28"/>
      <c r="S9" s="19" t="s">
        <v>36</v>
      </c>
      <c r="T9" s="28"/>
    </row>
    <row r="10">
      <c r="A10" s="28" t="s">
        <v>46</v>
      </c>
      <c r="B10" s="28" t="s">
        <v>48</v>
      </c>
      <c r="C10" s="28" t="s">
        <v>47</v>
      </c>
      <c r="D10" s="19" t="s">
        <v>1346</v>
      </c>
      <c r="E10" s="19" t="str">
        <f t="shared" si="1"/>
        <v>X</v>
      </c>
      <c r="F10" s="19" t="s">
        <v>36</v>
      </c>
      <c r="G10" s="28"/>
      <c r="H10" s="28"/>
      <c r="I10" s="28"/>
      <c r="J10" s="28"/>
      <c r="K10" s="28"/>
      <c r="L10" s="28"/>
      <c r="M10" s="28"/>
      <c r="N10" s="28"/>
      <c r="O10" s="19" t="s">
        <v>36</v>
      </c>
      <c r="P10" s="28"/>
      <c r="Q10" s="19" t="s">
        <v>36</v>
      </c>
      <c r="R10" s="19" t="s">
        <v>36</v>
      </c>
      <c r="S10" s="28"/>
      <c r="T10" s="28"/>
    </row>
    <row r="11">
      <c r="A11" s="29" t="s">
        <v>49</v>
      </c>
      <c r="B11" s="28" t="s">
        <v>51</v>
      </c>
      <c r="C11" s="28" t="s">
        <v>50</v>
      </c>
      <c r="D11" s="19" t="s">
        <v>1454</v>
      </c>
      <c r="E11" s="19" t="str">
        <f t="shared" si="1"/>
        <v>X</v>
      </c>
      <c r="F11" s="28"/>
      <c r="G11" s="28"/>
      <c r="H11" s="19" t="s">
        <v>36</v>
      </c>
      <c r="I11" s="28"/>
      <c r="J11" s="28"/>
      <c r="K11" s="19"/>
      <c r="L11" s="28"/>
      <c r="M11" s="19" t="s">
        <v>36</v>
      </c>
      <c r="N11" s="28"/>
      <c r="O11" s="19" t="s">
        <v>36</v>
      </c>
      <c r="P11" s="19" t="s">
        <v>36</v>
      </c>
      <c r="Q11" s="28"/>
      <c r="R11" s="28"/>
      <c r="S11" s="28"/>
      <c r="T11" s="28"/>
    </row>
    <row r="12">
      <c r="A12" s="28" t="s">
        <v>52</v>
      </c>
      <c r="B12" s="28" t="s">
        <v>54</v>
      </c>
      <c r="C12" s="28" t="s">
        <v>53</v>
      </c>
      <c r="D12" s="19" t="s">
        <v>1454</v>
      </c>
      <c r="E12" s="19" t="str">
        <f t="shared" si="1"/>
        <v>X</v>
      </c>
      <c r="F12" s="28"/>
      <c r="G12" s="28"/>
      <c r="H12" s="19"/>
      <c r="I12" s="19" t="s">
        <v>36</v>
      </c>
      <c r="J12" s="28"/>
      <c r="K12" s="28"/>
      <c r="L12" s="28"/>
      <c r="M12" s="19"/>
      <c r="N12" s="28"/>
      <c r="O12" s="19" t="s">
        <v>36</v>
      </c>
      <c r="P12" s="19"/>
      <c r="Q12" s="19" t="s">
        <v>36</v>
      </c>
      <c r="R12" s="19" t="s">
        <v>36</v>
      </c>
      <c r="S12" s="28"/>
      <c r="T12" s="28"/>
    </row>
    <row r="13">
      <c r="A13" s="28" t="s">
        <v>55</v>
      </c>
      <c r="B13" s="28" t="s">
        <v>57</v>
      </c>
      <c r="C13" s="28" t="s">
        <v>56</v>
      </c>
      <c r="D13" s="19" t="s">
        <v>1454</v>
      </c>
      <c r="E13" s="19" t="str">
        <f t="shared" si="1"/>
        <v>X</v>
      </c>
      <c r="F13" s="19"/>
      <c r="G13" s="28"/>
      <c r="H13" s="19" t="s">
        <v>36</v>
      </c>
      <c r="I13" s="19"/>
      <c r="J13" s="28"/>
      <c r="K13" s="19" t="s">
        <v>36</v>
      </c>
      <c r="L13" s="19"/>
      <c r="M13" s="28"/>
      <c r="N13" s="19"/>
      <c r="O13" s="19" t="s">
        <v>36</v>
      </c>
      <c r="P13" s="19"/>
      <c r="Q13" s="28"/>
      <c r="R13" s="28"/>
      <c r="S13" s="19" t="s">
        <v>36</v>
      </c>
      <c r="T13" s="28"/>
    </row>
    <row r="14">
      <c r="A14" s="28" t="s">
        <v>58</v>
      </c>
      <c r="B14" s="28" t="s">
        <v>60</v>
      </c>
      <c r="C14" s="28" t="s">
        <v>59</v>
      </c>
      <c r="D14" s="19" t="s">
        <v>1454</v>
      </c>
      <c r="E14" s="19" t="str">
        <f t="shared" si="1"/>
        <v>X</v>
      </c>
      <c r="F14" s="19" t="s">
        <v>36</v>
      </c>
      <c r="G14" s="28"/>
      <c r="H14" s="28"/>
      <c r="I14" s="28"/>
      <c r="J14" s="28"/>
      <c r="K14" s="28"/>
      <c r="L14" s="19" t="s">
        <v>36</v>
      </c>
      <c r="M14" s="28"/>
      <c r="N14" s="28"/>
      <c r="O14" s="19" t="s">
        <v>36</v>
      </c>
      <c r="P14" s="28"/>
      <c r="Q14" s="19" t="s">
        <v>36</v>
      </c>
      <c r="R14" s="28"/>
      <c r="S14" s="28"/>
      <c r="T14" s="28"/>
    </row>
    <row r="15">
      <c r="A15" s="28" t="s">
        <v>61</v>
      </c>
      <c r="B15" s="28" t="s">
        <v>63</v>
      </c>
      <c r="C15" s="28" t="s">
        <v>62</v>
      </c>
      <c r="D15" s="19" t="s">
        <v>1454</v>
      </c>
      <c r="E15" s="19" t="str">
        <f t="shared" si="1"/>
        <v>X</v>
      </c>
      <c r="F15" s="28"/>
      <c r="G15" s="28"/>
      <c r="H15" s="19" t="s">
        <v>36</v>
      </c>
      <c r="I15" s="19"/>
      <c r="J15" s="19" t="s">
        <v>36</v>
      </c>
      <c r="K15" s="19"/>
      <c r="L15" s="28"/>
      <c r="M15" s="28"/>
      <c r="N15" s="28"/>
      <c r="O15" s="19" t="s">
        <v>36</v>
      </c>
      <c r="P15" s="28"/>
      <c r="Q15" s="28"/>
      <c r="R15" s="28"/>
      <c r="S15" s="19" t="s">
        <v>36</v>
      </c>
      <c r="T15" s="28"/>
    </row>
    <row r="16">
      <c r="A16" s="28" t="s">
        <v>64</v>
      </c>
      <c r="B16" s="28" t="s">
        <v>66</v>
      </c>
      <c r="C16" s="28" t="s">
        <v>65</v>
      </c>
      <c r="D16" s="19" t="s">
        <v>1454</v>
      </c>
      <c r="E16" s="19" t="str">
        <f t="shared" si="1"/>
        <v>X</v>
      </c>
      <c r="F16" s="19" t="s">
        <v>36</v>
      </c>
      <c r="G16" s="28"/>
      <c r="H16" s="28"/>
      <c r="I16" s="19"/>
      <c r="J16" s="28"/>
      <c r="K16" s="28"/>
      <c r="L16" s="19" t="s">
        <v>36</v>
      </c>
      <c r="M16" s="28"/>
      <c r="N16" s="19"/>
      <c r="O16" s="19" t="s">
        <v>36</v>
      </c>
      <c r="P16" s="28"/>
      <c r="Q16" s="28"/>
      <c r="R16" s="28"/>
      <c r="S16" s="28"/>
      <c r="T16" s="19" t="s">
        <v>36</v>
      </c>
    </row>
    <row r="17">
      <c r="A17" s="28" t="s">
        <v>67</v>
      </c>
      <c r="B17" s="28" t="s">
        <v>69</v>
      </c>
      <c r="C17" s="28" t="s">
        <v>68</v>
      </c>
      <c r="D17" s="19" t="s">
        <v>1454</v>
      </c>
      <c r="E17" s="19" t="str">
        <f t="shared" si="1"/>
        <v>X</v>
      </c>
      <c r="F17" s="28"/>
      <c r="G17" s="19" t="s">
        <v>36</v>
      </c>
      <c r="H17" s="28"/>
      <c r="I17" s="28"/>
      <c r="J17" s="28"/>
      <c r="K17" s="28"/>
      <c r="L17" s="28"/>
      <c r="M17" s="28"/>
      <c r="N17" s="19" t="s">
        <v>36</v>
      </c>
      <c r="O17" s="28"/>
      <c r="P17" s="28"/>
      <c r="Q17" s="19" t="s">
        <v>36</v>
      </c>
      <c r="R17" s="19" t="s">
        <v>36</v>
      </c>
      <c r="S17" s="28"/>
      <c r="T17" s="28"/>
    </row>
    <row r="18">
      <c r="A18" s="28" t="s">
        <v>70</v>
      </c>
      <c r="B18" s="28" t="s">
        <v>72</v>
      </c>
      <c r="C18" s="28" t="s">
        <v>71</v>
      </c>
      <c r="D18" s="19" t="s">
        <v>1345</v>
      </c>
      <c r="E18" s="19" t="str">
        <f t="shared" si="1"/>
        <v>X</v>
      </c>
      <c r="F18" s="19" t="s">
        <v>36</v>
      </c>
      <c r="G18" s="28"/>
      <c r="H18" s="28"/>
      <c r="I18" s="28"/>
      <c r="J18" s="19" t="s">
        <v>36</v>
      </c>
      <c r="K18" s="28"/>
      <c r="L18" s="28"/>
      <c r="M18" s="28"/>
      <c r="N18" s="28"/>
      <c r="O18" s="19" t="s">
        <v>36</v>
      </c>
      <c r="P18" s="28"/>
      <c r="Q18" s="19"/>
      <c r="R18" s="19" t="s">
        <v>36</v>
      </c>
      <c r="S18" s="28"/>
      <c r="T18" s="19" t="s">
        <v>36</v>
      </c>
    </row>
    <row r="19">
      <c r="A19" s="39" t="s">
        <v>73</v>
      </c>
      <c r="B19" s="28" t="s">
        <v>75</v>
      </c>
      <c r="C19" s="28" t="s">
        <v>74</v>
      </c>
      <c r="D19" s="19" t="s">
        <v>1345</v>
      </c>
      <c r="E19" s="19" t="str">
        <f t="shared" si="1"/>
        <v>X</v>
      </c>
      <c r="F19" s="28"/>
      <c r="G19" s="28"/>
      <c r="H19" s="28"/>
      <c r="I19" s="19" t="s">
        <v>36</v>
      </c>
      <c r="J19" s="28"/>
      <c r="K19" s="28"/>
      <c r="L19" s="28"/>
      <c r="M19" s="19" t="s">
        <v>36</v>
      </c>
      <c r="N19" s="28"/>
      <c r="O19" s="19" t="s">
        <v>36</v>
      </c>
      <c r="P19" s="19" t="s">
        <v>36</v>
      </c>
      <c r="Q19" s="19"/>
      <c r="R19" s="28"/>
      <c r="S19" s="28"/>
      <c r="T19" s="28"/>
    </row>
    <row r="20">
      <c r="A20" s="28" t="s">
        <v>76</v>
      </c>
      <c r="B20" s="28" t="s">
        <v>78</v>
      </c>
      <c r="C20" s="28" t="s">
        <v>77</v>
      </c>
      <c r="D20" s="19" t="s">
        <v>1345</v>
      </c>
      <c r="E20" s="19" t="str">
        <f t="shared" si="1"/>
        <v>X</v>
      </c>
      <c r="F20" s="28"/>
      <c r="G20" s="28"/>
      <c r="H20" s="28"/>
      <c r="I20" s="19" t="s">
        <v>36</v>
      </c>
      <c r="J20" s="28"/>
      <c r="K20" s="19" t="s">
        <v>36</v>
      </c>
      <c r="L20" s="28"/>
      <c r="M20" s="28"/>
      <c r="N20" s="19" t="s">
        <v>36</v>
      </c>
      <c r="O20" s="28"/>
      <c r="P20" s="28"/>
      <c r="Q20" s="28"/>
      <c r="R20" s="28"/>
      <c r="S20" s="19" t="s">
        <v>36</v>
      </c>
      <c r="T20" s="28"/>
    </row>
    <row r="21">
      <c r="A21" s="28" t="s">
        <v>579</v>
      </c>
      <c r="B21" s="28" t="s">
        <v>580</v>
      </c>
      <c r="C21" s="28" t="s">
        <v>581</v>
      </c>
      <c r="D21" s="19" t="s">
        <v>1345</v>
      </c>
      <c r="E21" s="19" t="str">
        <f t="shared" si="1"/>
        <v>X</v>
      </c>
      <c r="F21" s="28"/>
      <c r="G21" s="19" t="s">
        <v>36</v>
      </c>
      <c r="H21" s="28"/>
      <c r="I21" s="28"/>
      <c r="J21" s="28"/>
      <c r="K21" s="19" t="s">
        <v>36</v>
      </c>
      <c r="L21" s="28"/>
      <c r="M21" s="28"/>
      <c r="N21" s="28"/>
      <c r="O21" s="28"/>
      <c r="P21" s="28"/>
      <c r="Q21" s="28"/>
      <c r="R21" s="19" t="s">
        <v>36</v>
      </c>
      <c r="S21" s="28"/>
      <c r="T21" s="19" t="s">
        <v>36</v>
      </c>
    </row>
    <row r="22">
      <c r="A22" s="28" t="s">
        <v>79</v>
      </c>
      <c r="B22" s="28" t="s">
        <v>81</v>
      </c>
      <c r="C22" s="28" t="s">
        <v>80</v>
      </c>
      <c r="D22" s="19" t="s">
        <v>1345</v>
      </c>
      <c r="E22" s="19" t="str">
        <f t="shared" si="1"/>
        <v>X</v>
      </c>
      <c r="F22" s="19" t="s">
        <v>36</v>
      </c>
      <c r="G22" s="28"/>
      <c r="H22" s="28"/>
      <c r="I22" s="28"/>
      <c r="J22" s="28"/>
      <c r="K22" s="28"/>
      <c r="L22" s="28"/>
      <c r="M22" s="28"/>
      <c r="N22" s="19" t="s">
        <v>36</v>
      </c>
      <c r="O22" s="19" t="s">
        <v>36</v>
      </c>
      <c r="P22" s="28"/>
      <c r="Q22" s="19" t="s">
        <v>36</v>
      </c>
      <c r="R22" s="19" t="s">
        <v>36</v>
      </c>
      <c r="S22" s="28"/>
      <c r="T22" s="28"/>
    </row>
    <row r="23">
      <c r="A23" s="28" t="s">
        <v>82</v>
      </c>
      <c r="B23" s="28" t="s">
        <v>84</v>
      </c>
      <c r="C23" s="28" t="s">
        <v>83</v>
      </c>
      <c r="D23" s="19" t="s">
        <v>1345</v>
      </c>
      <c r="E23" s="19" t="str">
        <f t="shared" si="1"/>
        <v>X</v>
      </c>
      <c r="F23" s="19" t="s">
        <v>36</v>
      </c>
      <c r="G23" s="28"/>
      <c r="H23" s="28"/>
      <c r="I23" s="28"/>
      <c r="J23" s="28"/>
      <c r="K23" s="28"/>
      <c r="L23" s="19" t="s">
        <v>36</v>
      </c>
      <c r="M23" s="19" t="s">
        <v>36</v>
      </c>
      <c r="N23" s="28"/>
      <c r="O23" s="19"/>
      <c r="P23" s="28"/>
      <c r="Q23" s="19" t="s">
        <v>36</v>
      </c>
      <c r="R23" s="19" t="s">
        <v>36</v>
      </c>
      <c r="S23" s="28"/>
      <c r="T23" s="19" t="s">
        <v>36</v>
      </c>
    </row>
    <row r="24">
      <c r="A24" s="29" t="s">
        <v>85</v>
      </c>
      <c r="B24" s="28" t="s">
        <v>87</v>
      </c>
      <c r="C24" s="28" t="s">
        <v>86</v>
      </c>
      <c r="D24" s="19" t="s">
        <v>1345</v>
      </c>
      <c r="E24" s="19" t="str">
        <f t="shared" si="1"/>
        <v>X</v>
      </c>
      <c r="F24" s="19" t="s">
        <v>36</v>
      </c>
      <c r="G24" s="28"/>
      <c r="H24" s="28"/>
      <c r="I24" s="28"/>
      <c r="J24" s="28"/>
      <c r="K24" s="28"/>
      <c r="L24" s="28"/>
      <c r="M24" s="19" t="s">
        <v>36</v>
      </c>
      <c r="N24" s="19" t="s">
        <v>36</v>
      </c>
      <c r="O24" s="28"/>
      <c r="P24" s="28"/>
      <c r="Q24" s="19" t="s">
        <v>36</v>
      </c>
      <c r="R24" s="28"/>
      <c r="S24" s="19"/>
      <c r="T24" s="28"/>
    </row>
    <row r="25">
      <c r="A25" s="29" t="s">
        <v>88</v>
      </c>
      <c r="B25" s="28" t="s">
        <v>90</v>
      </c>
      <c r="C25" s="28" t="s">
        <v>89</v>
      </c>
      <c r="D25" s="19" t="s">
        <v>1316</v>
      </c>
      <c r="E25" s="19" t="str">
        <f t="shared" si="1"/>
        <v>X</v>
      </c>
      <c r="F25" s="19" t="s">
        <v>36</v>
      </c>
      <c r="G25" s="19"/>
      <c r="H25" s="28"/>
      <c r="I25" s="28"/>
      <c r="J25" s="19"/>
      <c r="K25" s="19"/>
      <c r="L25" s="19" t="s">
        <v>36</v>
      </c>
      <c r="M25" s="19" t="s">
        <v>36</v>
      </c>
      <c r="N25" s="28"/>
      <c r="O25" s="28"/>
      <c r="P25" s="28"/>
      <c r="Q25" s="19" t="s">
        <v>36</v>
      </c>
      <c r="R25" s="19" t="s">
        <v>36</v>
      </c>
      <c r="S25" s="19"/>
      <c r="T25" s="28"/>
    </row>
    <row r="26">
      <c r="A26" s="29" t="s">
        <v>91</v>
      </c>
      <c r="B26" s="28" t="s">
        <v>93</v>
      </c>
      <c r="C26" s="28" t="s">
        <v>92</v>
      </c>
      <c r="D26" s="19" t="s">
        <v>1316</v>
      </c>
      <c r="E26" s="19" t="str">
        <f t="shared" si="1"/>
        <v>X</v>
      </c>
      <c r="F26" s="19"/>
      <c r="G26" s="19" t="s">
        <v>36</v>
      </c>
      <c r="H26" s="19" t="s">
        <v>36</v>
      </c>
      <c r="I26" s="28"/>
      <c r="J26" s="28"/>
      <c r="K26" s="28"/>
      <c r="L26" s="19" t="s">
        <v>36</v>
      </c>
      <c r="M26" s="28"/>
      <c r="N26" s="28"/>
      <c r="O26" s="28"/>
      <c r="P26" s="28"/>
      <c r="Q26" s="19" t="s">
        <v>36</v>
      </c>
      <c r="R26" s="28"/>
      <c r="S26" s="19" t="s">
        <v>36</v>
      </c>
      <c r="T26" s="28"/>
    </row>
    <row r="27" ht="16.5" customHeight="1">
      <c r="A27" s="29" t="s">
        <v>94</v>
      </c>
      <c r="B27" s="28" t="s">
        <v>96</v>
      </c>
      <c r="C27" s="28" t="s">
        <v>95</v>
      </c>
      <c r="D27" s="19" t="s">
        <v>1316</v>
      </c>
      <c r="E27" s="19" t="str">
        <f t="shared" si="1"/>
        <v>X</v>
      </c>
      <c r="F27" s="28"/>
      <c r="G27" s="28"/>
      <c r="H27" s="19" t="s">
        <v>36</v>
      </c>
      <c r="I27" s="28"/>
      <c r="J27" s="28"/>
      <c r="K27" s="28"/>
      <c r="L27" s="19" t="s">
        <v>36</v>
      </c>
      <c r="M27" s="28"/>
      <c r="N27" s="28"/>
      <c r="O27" s="19"/>
      <c r="P27" s="28"/>
      <c r="Q27" s="28"/>
      <c r="R27" s="28"/>
      <c r="S27" s="19" t="s">
        <v>36</v>
      </c>
      <c r="T27" s="19"/>
    </row>
    <row r="28" ht="16.5" customHeight="1">
      <c r="A28" s="29" t="s">
        <v>97</v>
      </c>
      <c r="B28" s="28" t="s">
        <v>99</v>
      </c>
      <c r="C28" s="28" t="s">
        <v>98</v>
      </c>
      <c r="D28" s="19" t="s">
        <v>1316</v>
      </c>
      <c r="E28" s="19" t="str">
        <f t="shared" si="1"/>
        <v>X</v>
      </c>
      <c r="F28" s="28"/>
      <c r="G28" s="19" t="s">
        <v>36</v>
      </c>
      <c r="H28" s="28"/>
      <c r="I28" s="28"/>
      <c r="J28" s="28"/>
      <c r="K28" s="28"/>
      <c r="L28" s="28"/>
      <c r="M28" s="19"/>
      <c r="N28" s="28"/>
      <c r="O28" s="19" t="s">
        <v>36</v>
      </c>
      <c r="P28" s="28"/>
      <c r="Q28" s="28"/>
      <c r="R28" s="28"/>
      <c r="S28" s="28"/>
      <c r="T28" s="19" t="s">
        <v>36</v>
      </c>
    </row>
    <row r="29">
      <c r="A29" s="29" t="s">
        <v>100</v>
      </c>
      <c r="B29" s="28" t="s">
        <v>102</v>
      </c>
      <c r="C29" s="28" t="s">
        <v>101</v>
      </c>
      <c r="D29" s="19" t="s">
        <v>1316</v>
      </c>
      <c r="E29" s="19" t="str">
        <f t="shared" si="1"/>
        <v>X</v>
      </c>
      <c r="F29" s="19" t="s">
        <v>36</v>
      </c>
      <c r="G29" s="28"/>
      <c r="H29" s="28"/>
      <c r="I29" s="28"/>
      <c r="J29" s="28"/>
      <c r="K29" s="28"/>
      <c r="L29" s="19" t="s">
        <v>36</v>
      </c>
      <c r="M29" s="28"/>
      <c r="N29" s="28"/>
      <c r="O29" s="28"/>
      <c r="P29" s="28"/>
      <c r="Q29" s="19" t="s">
        <v>36</v>
      </c>
      <c r="R29" s="28"/>
      <c r="S29" s="28"/>
      <c r="T29" s="28"/>
    </row>
    <row r="30">
      <c r="A30" s="29" t="s">
        <v>103</v>
      </c>
      <c r="B30" s="28" t="s">
        <v>105</v>
      </c>
      <c r="C30" s="28" t="s">
        <v>104</v>
      </c>
      <c r="D30" s="19" t="s">
        <v>1316</v>
      </c>
      <c r="E30" s="19" t="str">
        <f t="shared" si="1"/>
        <v>X</v>
      </c>
      <c r="F30" s="19"/>
      <c r="G30" s="19" t="s">
        <v>36</v>
      </c>
      <c r="H30" s="28"/>
      <c r="I30" s="28"/>
      <c r="J30" s="28"/>
      <c r="K30" s="28"/>
      <c r="L30" s="19" t="s">
        <v>36</v>
      </c>
      <c r="M30" s="28"/>
      <c r="N30" s="28"/>
      <c r="O30" s="28"/>
      <c r="P30" s="19" t="s">
        <v>36</v>
      </c>
      <c r="Q30" s="19"/>
      <c r="R30" s="28"/>
      <c r="S30" s="19"/>
      <c r="T30" s="28"/>
    </row>
    <row r="31">
      <c r="A31" s="29" t="s">
        <v>106</v>
      </c>
      <c r="B31" s="28" t="s">
        <v>108</v>
      </c>
      <c r="C31" s="28" t="s">
        <v>107</v>
      </c>
      <c r="D31" s="19" t="s">
        <v>1316</v>
      </c>
      <c r="E31" s="19" t="str">
        <f t="shared" si="1"/>
        <v>X</v>
      </c>
      <c r="F31" s="19" t="s">
        <v>36</v>
      </c>
      <c r="G31" s="28"/>
      <c r="H31" s="28"/>
      <c r="I31" s="28"/>
      <c r="J31" s="28"/>
      <c r="K31" s="28"/>
      <c r="L31" s="19" t="s">
        <v>36</v>
      </c>
      <c r="M31" s="28"/>
      <c r="N31" s="28"/>
      <c r="O31" s="28"/>
      <c r="P31" s="28"/>
      <c r="Q31" s="19" t="s">
        <v>36</v>
      </c>
      <c r="R31" s="28"/>
      <c r="S31" s="28"/>
      <c r="T31" s="28"/>
    </row>
    <row r="32">
      <c r="A32" s="28" t="s">
        <v>109</v>
      </c>
      <c r="B32" s="28" t="s">
        <v>111</v>
      </c>
      <c r="C32" s="28" t="s">
        <v>110</v>
      </c>
      <c r="D32" s="19" t="s">
        <v>1322</v>
      </c>
      <c r="E32" s="19" t="str">
        <f t="shared" si="1"/>
        <v>X</v>
      </c>
      <c r="F32" s="28"/>
      <c r="G32" s="28"/>
      <c r="H32" s="28"/>
      <c r="I32" s="19" t="s">
        <v>36</v>
      </c>
      <c r="J32" s="28"/>
      <c r="K32" s="28"/>
      <c r="L32" s="28"/>
      <c r="M32" s="28"/>
      <c r="N32" s="28"/>
      <c r="O32" s="19" t="s">
        <v>36</v>
      </c>
      <c r="P32" s="28"/>
      <c r="Q32" s="19"/>
      <c r="R32" s="28"/>
      <c r="S32" s="19" t="s">
        <v>36</v>
      </c>
      <c r="T32" s="28"/>
    </row>
    <row r="33">
      <c r="A33" s="29" t="s">
        <v>112</v>
      </c>
      <c r="B33" s="28" t="s">
        <v>114</v>
      </c>
      <c r="C33" s="28" t="s">
        <v>113</v>
      </c>
      <c r="D33" s="19" t="s">
        <v>1322</v>
      </c>
      <c r="E33" s="19" t="str">
        <f t="shared" si="1"/>
        <v>X</v>
      </c>
      <c r="F33" s="28"/>
      <c r="G33" s="28"/>
      <c r="H33" s="28"/>
      <c r="I33" s="28"/>
      <c r="J33" s="19" t="s">
        <v>36</v>
      </c>
      <c r="K33" s="28"/>
      <c r="L33" s="19" t="s">
        <v>36</v>
      </c>
      <c r="M33" s="28"/>
      <c r="N33" s="19" t="s">
        <v>36</v>
      </c>
      <c r="O33" s="28"/>
      <c r="P33" s="28"/>
      <c r="Q33" s="28"/>
      <c r="R33" s="28"/>
      <c r="S33" s="19" t="s">
        <v>36</v>
      </c>
      <c r="T33" s="28"/>
    </row>
    <row r="34">
      <c r="A34" s="28" t="s">
        <v>115</v>
      </c>
      <c r="B34" s="28" t="s">
        <v>117</v>
      </c>
      <c r="C34" s="28" t="s">
        <v>116</v>
      </c>
      <c r="D34" s="19" t="s">
        <v>1322</v>
      </c>
      <c r="E34" s="19" t="str">
        <f t="shared" si="1"/>
        <v>X</v>
      </c>
      <c r="F34" s="28"/>
      <c r="G34" s="28"/>
      <c r="H34" s="28"/>
      <c r="I34" s="19" t="s">
        <v>36</v>
      </c>
      <c r="J34" s="28"/>
      <c r="K34" s="28"/>
      <c r="L34" s="19" t="s">
        <v>36</v>
      </c>
      <c r="M34" s="19" t="s">
        <v>36</v>
      </c>
      <c r="N34" s="19"/>
      <c r="O34" s="19" t="s">
        <v>36</v>
      </c>
      <c r="P34" s="19" t="s">
        <v>36</v>
      </c>
      <c r="Q34" s="28"/>
      <c r="R34" s="28"/>
      <c r="S34" s="28"/>
      <c r="T34" s="28"/>
    </row>
    <row r="35">
      <c r="A35" s="28" t="s">
        <v>118</v>
      </c>
      <c r="B35" s="28" t="s">
        <v>120</v>
      </c>
      <c r="C35" s="28" t="s">
        <v>119</v>
      </c>
      <c r="D35" s="19" t="s">
        <v>1322</v>
      </c>
      <c r="E35" s="19" t="str">
        <f t="shared" si="1"/>
        <v>X</v>
      </c>
      <c r="F35" s="28"/>
      <c r="G35" s="28"/>
      <c r="H35" s="28"/>
      <c r="I35" s="19" t="s">
        <v>36</v>
      </c>
      <c r="J35" s="28"/>
      <c r="K35" s="28"/>
      <c r="L35" s="19" t="s">
        <v>36</v>
      </c>
      <c r="M35" s="28"/>
      <c r="N35" s="19"/>
      <c r="O35" s="19"/>
      <c r="P35" s="19" t="s">
        <v>36</v>
      </c>
      <c r="Q35" s="28"/>
      <c r="R35" s="28"/>
      <c r="S35" s="28"/>
      <c r="T35" s="28"/>
    </row>
    <row r="36">
      <c r="A36" s="28" t="s">
        <v>121</v>
      </c>
      <c r="B36" s="28" t="s">
        <v>123</v>
      </c>
      <c r="C36" s="28" t="s">
        <v>122</v>
      </c>
      <c r="D36" s="19" t="s">
        <v>1322</v>
      </c>
      <c r="E36" s="19" t="str">
        <f t="shared" si="1"/>
        <v>X</v>
      </c>
      <c r="F36" s="28"/>
      <c r="G36" s="28"/>
      <c r="H36" s="28"/>
      <c r="I36" s="19" t="s">
        <v>36</v>
      </c>
      <c r="J36" s="28"/>
      <c r="K36" s="28"/>
      <c r="L36" s="19"/>
      <c r="M36" s="28"/>
      <c r="N36" s="19" t="s">
        <v>36</v>
      </c>
      <c r="O36" s="28"/>
      <c r="P36" s="19"/>
      <c r="Q36" s="28"/>
      <c r="R36" s="28"/>
      <c r="S36" s="19" t="s">
        <v>36</v>
      </c>
      <c r="T36" s="28"/>
    </row>
    <row r="37">
      <c r="A37" s="28" t="s">
        <v>124</v>
      </c>
      <c r="B37" s="28" t="s">
        <v>126</v>
      </c>
      <c r="C37" s="28" t="s">
        <v>125</v>
      </c>
      <c r="D37" s="19" t="s">
        <v>1322</v>
      </c>
      <c r="E37" s="19" t="str">
        <f t="shared" si="1"/>
        <v>X</v>
      </c>
      <c r="F37" s="28"/>
      <c r="G37" s="19" t="s">
        <v>36</v>
      </c>
      <c r="H37" s="28"/>
      <c r="I37" s="19"/>
      <c r="J37" s="19" t="s">
        <v>36</v>
      </c>
      <c r="K37" s="28"/>
      <c r="L37" s="19" t="s">
        <v>36</v>
      </c>
      <c r="M37" s="19"/>
      <c r="N37" s="19"/>
      <c r="O37" s="19" t="s">
        <v>36</v>
      </c>
      <c r="P37" s="19"/>
      <c r="Q37" s="28"/>
      <c r="R37" s="28"/>
      <c r="S37" s="19" t="s">
        <v>36</v>
      </c>
      <c r="T37" s="28"/>
    </row>
    <row r="38">
      <c r="A38" s="36"/>
      <c r="B38" s="16"/>
    </row>
    <row r="39">
      <c r="A39" s="36"/>
      <c r="F39" s="17"/>
      <c r="G39" s="17"/>
      <c r="P39" s="17"/>
      <c r="Q39" s="17"/>
      <c r="R39" s="17"/>
      <c r="S39" s="17"/>
      <c r="T39" s="17"/>
      <c r="U39" s="17"/>
      <c r="V39" s="17"/>
      <c r="W39" s="17"/>
      <c r="X39" s="17"/>
    </row>
    <row r="40">
      <c r="A40" s="36"/>
      <c r="B40" s="18"/>
    </row>
    <row r="41">
      <c r="A41" s="36"/>
      <c r="I41" s="16"/>
    </row>
    <row r="42">
      <c r="A42" s="36"/>
      <c r="B42" s="19"/>
      <c r="C42" s="19"/>
      <c r="D42" s="19"/>
      <c r="E42" s="19"/>
      <c r="F42" s="40"/>
      <c r="G42" s="40"/>
    </row>
    <row r="43">
      <c r="A43" s="36"/>
    </row>
    <row r="44">
      <c r="A44" s="36"/>
    </row>
    <row r="45">
      <c r="A45" s="36"/>
    </row>
    <row r="46">
      <c r="A46" s="36"/>
    </row>
    <row r="47">
      <c r="A47" s="36"/>
    </row>
    <row r="48">
      <c r="A48" s="36"/>
    </row>
    <row r="49">
      <c r="A49" s="36"/>
    </row>
    <row r="50">
      <c r="A50" s="36"/>
    </row>
    <row r="51">
      <c r="A51" s="36"/>
    </row>
    <row r="52">
      <c r="A52" s="36"/>
    </row>
    <row r="53">
      <c r="A53" s="36"/>
    </row>
    <row r="54">
      <c r="A54" s="36"/>
    </row>
    <row r="55">
      <c r="A55" s="36"/>
    </row>
    <row r="56">
      <c r="A56" s="36"/>
    </row>
    <row r="57">
      <c r="A57" s="36"/>
    </row>
    <row r="58">
      <c r="A58" s="36"/>
    </row>
    <row r="59">
      <c r="A59" s="36"/>
    </row>
    <row r="60">
      <c r="A60" s="36"/>
    </row>
    <row r="61">
      <c r="A61" s="36"/>
    </row>
    <row r="62">
      <c r="A62" s="36"/>
    </row>
    <row r="63">
      <c r="A63" s="36"/>
    </row>
    <row r="64">
      <c r="A64" s="36"/>
    </row>
    <row r="65">
      <c r="A65" s="36"/>
    </row>
    <row r="66">
      <c r="A66" s="36"/>
    </row>
    <row r="67">
      <c r="A67" s="36"/>
    </row>
    <row r="68">
      <c r="A68" s="36"/>
    </row>
    <row r="69">
      <c r="A69" s="36"/>
    </row>
    <row r="70">
      <c r="A70" s="36"/>
    </row>
    <row r="71">
      <c r="A71" s="36"/>
    </row>
    <row r="72">
      <c r="A72" s="36"/>
    </row>
    <row r="73">
      <c r="A73" s="36"/>
    </row>
    <row r="74">
      <c r="A74" s="36"/>
    </row>
    <row r="75">
      <c r="A75" s="36"/>
    </row>
    <row r="76">
      <c r="A76" s="36"/>
    </row>
    <row r="77">
      <c r="A77" s="36"/>
    </row>
    <row r="78">
      <c r="A78" s="36"/>
    </row>
    <row r="79">
      <c r="A79" s="36"/>
    </row>
    <row r="80">
      <c r="A80" s="36"/>
    </row>
    <row r="81">
      <c r="A81" s="36"/>
    </row>
    <row r="82">
      <c r="A82" s="36"/>
    </row>
    <row r="83">
      <c r="A83" s="36"/>
    </row>
    <row r="84">
      <c r="A84" s="36"/>
    </row>
    <row r="85">
      <c r="A85" s="36"/>
    </row>
    <row r="86">
      <c r="A86" s="36"/>
    </row>
    <row r="87">
      <c r="A87" s="36"/>
    </row>
    <row r="88">
      <c r="A88" s="36"/>
    </row>
    <row r="89">
      <c r="A89" s="36"/>
    </row>
    <row r="90">
      <c r="A90" s="36"/>
    </row>
    <row r="91">
      <c r="A91" s="36"/>
    </row>
    <row r="92">
      <c r="A92" s="36"/>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sheetData>
  <conditionalFormatting sqref="E4:E37">
    <cfRule type="containsBlanks" dxfId="2" priority="1">
      <formula>LEN(TRIM(E4))=0</formula>
    </cfRule>
  </conditionalFormatting>
  <dataValidations>
    <dataValidation type="list" allowBlank="1" showErrorMessage="1" sqref="F4:T37">
      <formula1>"X,?"</formula1>
    </dataValidation>
  </dataValidations>
  <hyperlinks>
    <hyperlink r:id="rId4" ref="A11"/>
    <hyperlink r:id="rId5" ref="A24"/>
    <hyperlink r:id="rId6" ref="A25"/>
    <hyperlink r:id="rId7" ref="A26"/>
    <hyperlink r:id="rId8" ref="A27"/>
    <hyperlink r:id="rId9" ref="A28"/>
    <hyperlink r:id="rId10" ref="A29"/>
    <hyperlink r:id="rId11" ref="A30"/>
    <hyperlink r:id="rId12" ref="A31"/>
    <hyperlink r:id="rId13" ref="A33"/>
  </hyperlinks>
  <drawing r:id="rId14"/>
  <legacyDrawing r:id="rId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9.38"/>
    <col customWidth="1" min="2" max="2" width="5.63"/>
    <col customWidth="1" min="3" max="5" width="12.25"/>
    <col customWidth="1" min="6" max="10" width="12.5"/>
    <col customWidth="1" min="11" max="15" width="15.38"/>
    <col customWidth="1" min="16" max="16" width="12.63"/>
    <col customWidth="1" min="17" max="17" width="8.75"/>
    <col customWidth="1" min="18" max="18" width="12.38"/>
    <col customWidth="1" min="19" max="20" width="11.88"/>
  </cols>
  <sheetData>
    <row r="1">
      <c r="A1" s="36" t="s">
        <v>0</v>
      </c>
      <c r="B1" s="1" t="s">
        <v>2</v>
      </c>
      <c r="C1" s="1" t="s">
        <v>1</v>
      </c>
      <c r="D1" s="1" t="s">
        <v>1619</v>
      </c>
      <c r="E1" s="37" t="s">
        <v>1620</v>
      </c>
      <c r="F1" s="10" t="s">
        <v>1621</v>
      </c>
      <c r="G1" s="3"/>
      <c r="H1" s="3"/>
      <c r="I1" s="3"/>
      <c r="J1" s="3"/>
      <c r="K1" s="4" t="s">
        <v>4</v>
      </c>
      <c r="L1" s="5"/>
      <c r="M1" s="5"/>
      <c r="N1" s="5"/>
      <c r="O1" s="5"/>
      <c r="P1" s="6" t="s">
        <v>5</v>
      </c>
      <c r="Q1" s="7"/>
      <c r="R1" s="7"/>
      <c r="S1" s="7"/>
      <c r="T1" s="7"/>
    </row>
    <row r="2" ht="29.25" customHeight="1">
      <c r="A2" s="36"/>
      <c r="B2" s="9"/>
      <c r="C2" s="9"/>
      <c r="D2" s="9"/>
      <c r="E2" s="37" t="s">
        <v>1622</v>
      </c>
      <c r="F2" s="10" t="s">
        <v>1623</v>
      </c>
      <c r="G2" s="10" t="s">
        <v>1624</v>
      </c>
      <c r="H2" s="10" t="s">
        <v>6</v>
      </c>
      <c r="I2" s="10" t="s">
        <v>7</v>
      </c>
      <c r="J2" s="10" t="s">
        <v>8</v>
      </c>
      <c r="K2" s="4" t="s">
        <v>9</v>
      </c>
      <c r="L2" s="4" t="s">
        <v>10</v>
      </c>
      <c r="M2" s="4" t="s">
        <v>11</v>
      </c>
      <c r="N2" s="4" t="s">
        <v>12</v>
      </c>
      <c r="O2" s="4" t="s">
        <v>13</v>
      </c>
      <c r="P2" s="6" t="s">
        <v>14</v>
      </c>
      <c r="Q2" s="6" t="s">
        <v>15</v>
      </c>
      <c r="R2" s="6" t="s">
        <v>16</v>
      </c>
      <c r="S2" s="6" t="s">
        <v>17</v>
      </c>
      <c r="T2" s="6" t="s">
        <v>18</v>
      </c>
    </row>
    <row r="3" ht="57.75" customHeight="1">
      <c r="A3" s="36"/>
      <c r="B3" s="9"/>
      <c r="C3" s="9"/>
      <c r="D3" s="9"/>
      <c r="E3" s="38"/>
      <c r="F3" s="11" t="s">
        <v>1625</v>
      </c>
      <c r="G3" s="11" t="s">
        <v>1626</v>
      </c>
      <c r="H3" s="11" t="s">
        <v>19</v>
      </c>
      <c r="I3" s="11" t="s">
        <v>20</v>
      </c>
      <c r="J3" s="11" t="s">
        <v>21</v>
      </c>
      <c r="K3" s="12" t="s">
        <v>22</v>
      </c>
      <c r="L3" s="12" t="s">
        <v>23</v>
      </c>
      <c r="M3" s="12" t="s">
        <v>24</v>
      </c>
      <c r="N3" s="12" t="s">
        <v>25</v>
      </c>
      <c r="O3" s="12" t="s">
        <v>26</v>
      </c>
      <c r="P3" s="6" t="s">
        <v>27</v>
      </c>
      <c r="Q3" s="6" t="s">
        <v>28</v>
      </c>
      <c r="R3" s="6" t="s">
        <v>29</v>
      </c>
      <c r="S3" s="6" t="s">
        <v>30</v>
      </c>
      <c r="T3" s="6" t="s">
        <v>31</v>
      </c>
    </row>
    <row r="4">
      <c r="A4" s="28" t="s">
        <v>209</v>
      </c>
      <c r="B4" s="28" t="s">
        <v>210</v>
      </c>
      <c r="C4" s="28" t="s">
        <v>211</v>
      </c>
      <c r="D4" s="41" t="s">
        <v>1373</v>
      </c>
      <c r="E4" s="19" t="str">
        <f t="shared" ref="E4:E29" si="1">IF(AND(COUNTIF(F4:J4,"X")&gt;0,COUNTIF(K4:O4,"X")&gt;0,COUNTIF(P4:T4,"X")&gt;0),"X","")</f>
        <v/>
      </c>
      <c r="F4" s="28"/>
      <c r="G4" s="28"/>
      <c r="H4" s="28"/>
      <c r="I4" s="28"/>
      <c r="J4" s="28"/>
      <c r="K4" s="28"/>
      <c r="L4" s="28"/>
      <c r="M4" s="28"/>
      <c r="N4" s="28"/>
      <c r="O4" s="28"/>
      <c r="P4" s="28"/>
      <c r="Q4" s="28"/>
      <c r="R4" s="28"/>
      <c r="S4" s="28"/>
      <c r="T4" s="28"/>
    </row>
    <row r="5">
      <c r="A5" s="28" t="s">
        <v>32</v>
      </c>
      <c r="B5" s="28" t="s">
        <v>34</v>
      </c>
      <c r="C5" s="28" t="s">
        <v>33</v>
      </c>
      <c r="D5" s="19" t="s">
        <v>1319</v>
      </c>
      <c r="E5" s="19" t="str">
        <f t="shared" si="1"/>
        <v>X</v>
      </c>
      <c r="F5" s="28"/>
      <c r="G5" s="28"/>
      <c r="H5" s="28"/>
      <c r="I5" s="19"/>
      <c r="J5" s="19" t="s">
        <v>36</v>
      </c>
      <c r="K5" s="28"/>
      <c r="L5" s="28"/>
      <c r="M5" s="19" t="s">
        <v>36</v>
      </c>
      <c r="N5" s="28"/>
      <c r="O5" s="19" t="s">
        <v>36</v>
      </c>
      <c r="P5" s="19"/>
      <c r="Q5" s="28"/>
      <c r="R5" s="19" t="s">
        <v>36</v>
      </c>
      <c r="S5" s="28"/>
      <c r="T5" s="28"/>
    </row>
    <row r="6">
      <c r="A6" s="28" t="s">
        <v>37</v>
      </c>
      <c r="B6" s="28" t="s">
        <v>39</v>
      </c>
      <c r="C6" s="28" t="s">
        <v>38</v>
      </c>
      <c r="D6" s="41" t="s">
        <v>1345</v>
      </c>
      <c r="E6" s="19" t="str">
        <f t="shared" si="1"/>
        <v>X</v>
      </c>
      <c r="F6" s="28"/>
      <c r="G6" s="28"/>
      <c r="H6" s="28"/>
      <c r="I6" s="28"/>
      <c r="J6" s="19" t="s">
        <v>36</v>
      </c>
      <c r="K6" s="28"/>
      <c r="L6" s="28"/>
      <c r="M6" s="28"/>
      <c r="N6" s="19" t="s">
        <v>36</v>
      </c>
      <c r="O6" s="19" t="s">
        <v>36</v>
      </c>
      <c r="P6" s="28"/>
      <c r="Q6" s="28"/>
      <c r="R6" s="28"/>
      <c r="S6" s="19" t="s">
        <v>36</v>
      </c>
      <c r="T6" s="28"/>
    </row>
    <row r="7">
      <c r="A7" s="28" t="s">
        <v>40</v>
      </c>
      <c r="B7" s="28" t="s">
        <v>42</v>
      </c>
      <c r="C7" s="28" t="s">
        <v>41</v>
      </c>
      <c r="D7" s="19" t="s">
        <v>1319</v>
      </c>
      <c r="E7" s="19" t="str">
        <f t="shared" si="1"/>
        <v>X</v>
      </c>
      <c r="F7" s="28"/>
      <c r="G7" s="28"/>
      <c r="H7" s="28"/>
      <c r="I7" s="19"/>
      <c r="J7" s="19" t="s">
        <v>36</v>
      </c>
      <c r="K7" s="19" t="s">
        <v>36</v>
      </c>
      <c r="L7" s="28"/>
      <c r="M7" s="28"/>
      <c r="N7" s="19" t="s">
        <v>36</v>
      </c>
      <c r="O7" s="19" t="s">
        <v>36</v>
      </c>
      <c r="P7" s="28"/>
      <c r="Q7" s="28"/>
      <c r="R7" s="28"/>
      <c r="S7" s="19" t="s">
        <v>36</v>
      </c>
      <c r="T7" s="28"/>
    </row>
    <row r="8">
      <c r="A8" s="29" t="s">
        <v>128</v>
      </c>
      <c r="B8" s="28" t="s">
        <v>129</v>
      </c>
      <c r="C8" s="28" t="s">
        <v>130</v>
      </c>
      <c r="D8" s="19" t="s">
        <v>1373</v>
      </c>
      <c r="E8" s="19" t="str">
        <f t="shared" si="1"/>
        <v/>
      </c>
      <c r="F8" s="28"/>
      <c r="G8" s="28"/>
      <c r="H8" s="28"/>
      <c r="I8" s="28"/>
      <c r="J8" s="28"/>
      <c r="K8" s="28"/>
      <c r="L8" s="28"/>
      <c r="M8" s="28"/>
      <c r="N8" s="28"/>
      <c r="O8" s="28"/>
      <c r="P8" s="28"/>
      <c r="Q8" s="28"/>
      <c r="R8" s="28"/>
      <c r="S8" s="28"/>
      <c r="T8" s="28"/>
    </row>
    <row r="9">
      <c r="A9" s="28" t="s">
        <v>43</v>
      </c>
      <c r="B9" s="28" t="s">
        <v>45</v>
      </c>
      <c r="C9" s="28" t="s">
        <v>44</v>
      </c>
      <c r="D9" s="19" t="s">
        <v>1319</v>
      </c>
      <c r="E9" s="19" t="str">
        <f t="shared" si="1"/>
        <v>X</v>
      </c>
      <c r="F9" s="28"/>
      <c r="G9" s="28"/>
      <c r="H9" s="28"/>
      <c r="I9" s="19" t="s">
        <v>36</v>
      </c>
      <c r="J9" s="19" t="s">
        <v>36</v>
      </c>
      <c r="K9" s="19" t="s">
        <v>36</v>
      </c>
      <c r="L9" s="28"/>
      <c r="M9" s="28"/>
      <c r="N9" s="28"/>
      <c r="O9" s="28"/>
      <c r="P9" s="28"/>
      <c r="Q9" s="28"/>
      <c r="R9" s="28"/>
      <c r="S9" s="19" t="s">
        <v>36</v>
      </c>
      <c r="T9" s="28"/>
    </row>
    <row r="10">
      <c r="A10" s="28" t="s">
        <v>46</v>
      </c>
      <c r="B10" s="28" t="s">
        <v>48</v>
      </c>
      <c r="C10" s="28" t="s">
        <v>47</v>
      </c>
      <c r="D10" s="19" t="s">
        <v>1373</v>
      </c>
      <c r="E10" s="19" t="str">
        <f t="shared" si="1"/>
        <v>X</v>
      </c>
      <c r="F10" s="19" t="s">
        <v>36</v>
      </c>
      <c r="G10" s="28"/>
      <c r="H10" s="28"/>
      <c r="I10" s="19"/>
      <c r="J10" s="28"/>
      <c r="K10" s="28"/>
      <c r="L10" s="19"/>
      <c r="M10" s="19"/>
      <c r="N10" s="28"/>
      <c r="O10" s="19" t="s">
        <v>36</v>
      </c>
      <c r="P10" s="28"/>
      <c r="Q10" s="19" t="s">
        <v>36</v>
      </c>
      <c r="R10" s="19" t="s">
        <v>36</v>
      </c>
      <c r="S10" s="28"/>
      <c r="T10" s="19"/>
    </row>
    <row r="11">
      <c r="A11" s="28" t="s">
        <v>49</v>
      </c>
      <c r="B11" s="28" t="s">
        <v>51</v>
      </c>
      <c r="C11" s="28" t="s">
        <v>50</v>
      </c>
      <c r="D11" s="41" t="s">
        <v>1319</v>
      </c>
      <c r="E11" s="19" t="str">
        <f t="shared" si="1"/>
        <v>X</v>
      </c>
      <c r="F11" s="28"/>
      <c r="G11" s="28"/>
      <c r="H11" s="19" t="s">
        <v>36</v>
      </c>
      <c r="I11" s="28"/>
      <c r="J11" s="28"/>
      <c r="K11" s="28"/>
      <c r="L11" s="28"/>
      <c r="M11" s="19" t="s">
        <v>36</v>
      </c>
      <c r="N11" s="28"/>
      <c r="O11" s="19" t="s">
        <v>36</v>
      </c>
      <c r="P11" s="19" t="s">
        <v>36</v>
      </c>
      <c r="Q11" s="28"/>
      <c r="R11" s="28"/>
      <c r="S11" s="28"/>
      <c r="T11" s="28"/>
    </row>
    <row r="12">
      <c r="A12" s="28" t="s">
        <v>52</v>
      </c>
      <c r="B12" s="28" t="s">
        <v>54</v>
      </c>
      <c r="C12" s="28" t="s">
        <v>53</v>
      </c>
      <c r="D12" s="19" t="s">
        <v>1319</v>
      </c>
      <c r="E12" s="19" t="str">
        <f t="shared" si="1"/>
        <v>X</v>
      </c>
      <c r="F12" s="28"/>
      <c r="G12" s="28"/>
      <c r="H12" s="28"/>
      <c r="I12" s="19" t="s">
        <v>36</v>
      </c>
      <c r="J12" s="28"/>
      <c r="K12" s="28"/>
      <c r="L12" s="28"/>
      <c r="M12" s="28"/>
      <c r="N12" s="28"/>
      <c r="O12" s="19" t="s">
        <v>36</v>
      </c>
      <c r="P12" s="28"/>
      <c r="Q12" s="19" t="s">
        <v>36</v>
      </c>
      <c r="R12" s="19" t="s">
        <v>36</v>
      </c>
      <c r="S12" s="28"/>
      <c r="T12" s="28"/>
    </row>
    <row r="13">
      <c r="A13" s="28" t="s">
        <v>55</v>
      </c>
      <c r="B13" s="28" t="s">
        <v>57</v>
      </c>
      <c r="C13" s="28" t="s">
        <v>56</v>
      </c>
      <c r="D13" s="41" t="s">
        <v>1319</v>
      </c>
      <c r="E13" s="19" t="str">
        <f t="shared" si="1"/>
        <v>X</v>
      </c>
      <c r="F13" s="28"/>
      <c r="G13" s="28"/>
      <c r="H13" s="19" t="s">
        <v>36</v>
      </c>
      <c r="I13" s="28"/>
      <c r="J13" s="28"/>
      <c r="K13" s="19" t="s">
        <v>36</v>
      </c>
      <c r="L13" s="28"/>
      <c r="M13" s="28"/>
      <c r="N13" s="28"/>
      <c r="O13" s="19" t="s">
        <v>36</v>
      </c>
      <c r="P13" s="28"/>
      <c r="Q13" s="28"/>
      <c r="R13" s="28"/>
      <c r="S13" s="19" t="s">
        <v>36</v>
      </c>
      <c r="T13" s="28"/>
    </row>
    <row r="14">
      <c r="A14" s="28" t="s">
        <v>58</v>
      </c>
      <c r="B14" s="28" t="s">
        <v>60</v>
      </c>
      <c r="C14" s="28" t="s">
        <v>59</v>
      </c>
      <c r="D14" s="41" t="s">
        <v>1322</v>
      </c>
      <c r="E14" s="19" t="str">
        <f t="shared" si="1"/>
        <v>X</v>
      </c>
      <c r="F14" s="19" t="s">
        <v>36</v>
      </c>
      <c r="G14" s="28"/>
      <c r="H14" s="28"/>
      <c r="I14" s="28"/>
      <c r="J14" s="28"/>
      <c r="K14" s="28"/>
      <c r="L14" s="19" t="s">
        <v>36</v>
      </c>
      <c r="M14" s="19"/>
      <c r="N14" s="19"/>
      <c r="O14" s="19" t="s">
        <v>36</v>
      </c>
      <c r="P14" s="28"/>
      <c r="Q14" s="19" t="s">
        <v>36</v>
      </c>
      <c r="R14" s="28"/>
      <c r="S14" s="28"/>
      <c r="T14" s="28"/>
    </row>
    <row r="15">
      <c r="A15" s="28" t="s">
        <v>61</v>
      </c>
      <c r="B15" s="28" t="s">
        <v>63</v>
      </c>
      <c r="C15" s="28" t="s">
        <v>62</v>
      </c>
      <c r="D15" s="19" t="s">
        <v>1319</v>
      </c>
      <c r="E15" s="19" t="str">
        <f t="shared" si="1"/>
        <v>X</v>
      </c>
      <c r="F15" s="28"/>
      <c r="G15" s="28"/>
      <c r="H15" s="19" t="s">
        <v>36</v>
      </c>
      <c r="I15" s="28"/>
      <c r="J15" s="19" t="s">
        <v>36</v>
      </c>
      <c r="K15" s="28"/>
      <c r="L15" s="28"/>
      <c r="M15" s="28"/>
      <c r="N15" s="19"/>
      <c r="O15" s="19" t="s">
        <v>36</v>
      </c>
      <c r="P15" s="28"/>
      <c r="Q15" s="28"/>
      <c r="R15" s="28"/>
      <c r="S15" s="19" t="s">
        <v>36</v>
      </c>
      <c r="T15" s="28"/>
    </row>
    <row r="16">
      <c r="A16" s="28" t="s">
        <v>64</v>
      </c>
      <c r="B16" s="28" t="s">
        <v>66</v>
      </c>
      <c r="C16" s="28" t="s">
        <v>65</v>
      </c>
      <c r="D16" s="41" t="s">
        <v>1346</v>
      </c>
      <c r="E16" s="19" t="str">
        <f t="shared" si="1"/>
        <v>X</v>
      </c>
      <c r="F16" s="19" t="s">
        <v>36</v>
      </c>
      <c r="G16" s="28"/>
      <c r="H16" s="28"/>
      <c r="I16" s="19"/>
      <c r="J16" s="19"/>
      <c r="K16" s="28"/>
      <c r="L16" s="19" t="s">
        <v>36</v>
      </c>
      <c r="M16" s="28"/>
      <c r="N16" s="19"/>
      <c r="O16" s="19" t="s">
        <v>36</v>
      </c>
      <c r="P16" s="28"/>
      <c r="Q16" s="28"/>
      <c r="R16" s="19"/>
      <c r="S16" s="28"/>
      <c r="T16" s="19" t="s">
        <v>36</v>
      </c>
    </row>
    <row r="17">
      <c r="A17" s="28" t="s">
        <v>67</v>
      </c>
      <c r="B17" s="28" t="s">
        <v>69</v>
      </c>
      <c r="C17" s="28" t="s">
        <v>68</v>
      </c>
      <c r="D17" s="41" t="s">
        <v>1319</v>
      </c>
      <c r="E17" s="19" t="str">
        <f t="shared" si="1"/>
        <v>X</v>
      </c>
      <c r="F17" s="28"/>
      <c r="G17" s="19" t="s">
        <v>36</v>
      </c>
      <c r="H17" s="28"/>
      <c r="I17" s="28"/>
      <c r="J17" s="28"/>
      <c r="K17" s="28"/>
      <c r="L17" s="28"/>
      <c r="M17" s="28"/>
      <c r="N17" s="19" t="s">
        <v>36</v>
      </c>
      <c r="O17" s="28"/>
      <c r="P17" s="28"/>
      <c r="Q17" s="19" t="s">
        <v>36</v>
      </c>
      <c r="R17" s="19" t="s">
        <v>36</v>
      </c>
      <c r="S17" s="19"/>
      <c r="T17" s="28"/>
    </row>
    <row r="18">
      <c r="A18" s="28" t="s">
        <v>70</v>
      </c>
      <c r="B18" s="28" t="s">
        <v>72</v>
      </c>
      <c r="C18" s="28" t="s">
        <v>71</v>
      </c>
      <c r="D18" s="41" t="s">
        <v>1346</v>
      </c>
      <c r="E18" s="19" t="str">
        <f t="shared" si="1"/>
        <v>X</v>
      </c>
      <c r="F18" s="19" t="s">
        <v>36</v>
      </c>
      <c r="G18" s="28"/>
      <c r="H18" s="28"/>
      <c r="I18" s="28"/>
      <c r="J18" s="19" t="s">
        <v>36</v>
      </c>
      <c r="K18" s="28"/>
      <c r="L18" s="28"/>
      <c r="M18" s="28"/>
      <c r="N18" s="28"/>
      <c r="O18" s="19" t="s">
        <v>36</v>
      </c>
      <c r="P18" s="28"/>
      <c r="Q18" s="28"/>
      <c r="R18" s="19" t="s">
        <v>36</v>
      </c>
      <c r="S18" s="28"/>
      <c r="T18" s="19" t="s">
        <v>36</v>
      </c>
    </row>
    <row r="19">
      <c r="A19" s="29" t="s">
        <v>73</v>
      </c>
      <c r="B19" s="28" t="s">
        <v>75</v>
      </c>
      <c r="C19" s="28" t="s">
        <v>74</v>
      </c>
      <c r="D19" s="19" t="s">
        <v>1373</v>
      </c>
      <c r="E19" s="19" t="str">
        <f t="shared" si="1"/>
        <v>X</v>
      </c>
      <c r="F19" s="28"/>
      <c r="G19" s="28"/>
      <c r="H19" s="28"/>
      <c r="I19" s="19" t="s">
        <v>36</v>
      </c>
      <c r="J19" s="28"/>
      <c r="K19" s="28"/>
      <c r="L19" s="19"/>
      <c r="M19" s="19" t="s">
        <v>36</v>
      </c>
      <c r="N19" s="28"/>
      <c r="O19" s="19" t="s">
        <v>36</v>
      </c>
      <c r="P19" s="19" t="s">
        <v>36</v>
      </c>
      <c r="Q19" s="28"/>
      <c r="R19" s="28"/>
      <c r="S19" s="28"/>
      <c r="T19" s="28"/>
    </row>
    <row r="20">
      <c r="A20" s="28" t="s">
        <v>76</v>
      </c>
      <c r="B20" s="28" t="s">
        <v>78</v>
      </c>
      <c r="C20" s="28" t="s">
        <v>77</v>
      </c>
      <c r="D20" s="19" t="s">
        <v>1319</v>
      </c>
      <c r="E20" s="19" t="str">
        <f t="shared" si="1"/>
        <v>X</v>
      </c>
      <c r="F20" s="28"/>
      <c r="G20" s="28"/>
      <c r="H20" s="28"/>
      <c r="I20" s="19" t="s">
        <v>36</v>
      </c>
      <c r="J20" s="19"/>
      <c r="K20" s="19" t="s">
        <v>36</v>
      </c>
      <c r="L20" s="28"/>
      <c r="M20" s="28"/>
      <c r="N20" s="19" t="s">
        <v>36</v>
      </c>
      <c r="O20" s="28"/>
      <c r="P20" s="19"/>
      <c r="Q20" s="28"/>
      <c r="R20" s="28"/>
      <c r="S20" s="19" t="s">
        <v>36</v>
      </c>
      <c r="T20" s="28"/>
    </row>
    <row r="21">
      <c r="A21" s="29" t="s">
        <v>579</v>
      </c>
      <c r="B21" s="28" t="s">
        <v>580</v>
      </c>
      <c r="C21" s="28" t="s">
        <v>581</v>
      </c>
      <c r="D21" s="41" t="s">
        <v>1373</v>
      </c>
      <c r="E21" s="19" t="str">
        <f t="shared" si="1"/>
        <v/>
      </c>
      <c r="F21" s="28"/>
      <c r="G21" s="28"/>
      <c r="H21" s="28"/>
      <c r="I21" s="28"/>
      <c r="J21" s="28"/>
      <c r="K21" s="28"/>
      <c r="L21" s="28"/>
      <c r="M21" s="28"/>
      <c r="N21" s="28"/>
      <c r="O21" s="28"/>
      <c r="P21" s="28"/>
      <c r="Q21" s="28"/>
      <c r="R21" s="19" t="s">
        <v>36</v>
      </c>
      <c r="S21" s="28"/>
      <c r="T21" s="19" t="s">
        <v>36</v>
      </c>
    </row>
    <row r="22">
      <c r="A22" s="28" t="s">
        <v>79</v>
      </c>
      <c r="B22" s="28" t="s">
        <v>81</v>
      </c>
      <c r="C22" s="28" t="s">
        <v>80</v>
      </c>
      <c r="D22" s="19" t="s">
        <v>1373</v>
      </c>
      <c r="E22" s="19" t="str">
        <f t="shared" si="1"/>
        <v>X</v>
      </c>
      <c r="F22" s="19" t="s">
        <v>36</v>
      </c>
      <c r="G22" s="28"/>
      <c r="H22" s="28"/>
      <c r="I22" s="28"/>
      <c r="J22" s="28"/>
      <c r="K22" s="28"/>
      <c r="L22" s="28"/>
      <c r="M22" s="28"/>
      <c r="N22" s="19" t="s">
        <v>36</v>
      </c>
      <c r="O22" s="19" t="s">
        <v>36</v>
      </c>
      <c r="P22" s="28"/>
      <c r="Q22" s="19" t="s">
        <v>36</v>
      </c>
      <c r="R22" s="19" t="s">
        <v>36</v>
      </c>
      <c r="S22" s="28"/>
      <c r="T22" s="28"/>
    </row>
    <row r="23">
      <c r="A23" s="29" t="s">
        <v>82</v>
      </c>
      <c r="B23" s="28" t="s">
        <v>84</v>
      </c>
      <c r="C23" s="28" t="s">
        <v>83</v>
      </c>
      <c r="D23" s="19" t="s">
        <v>1373</v>
      </c>
      <c r="E23" s="19" t="str">
        <f t="shared" si="1"/>
        <v>X</v>
      </c>
      <c r="F23" s="19" t="s">
        <v>36</v>
      </c>
      <c r="G23" s="28"/>
      <c r="H23" s="28"/>
      <c r="I23" s="19"/>
      <c r="J23" s="28"/>
      <c r="K23" s="28"/>
      <c r="L23" s="19" t="s">
        <v>36</v>
      </c>
      <c r="M23" s="19" t="s">
        <v>36</v>
      </c>
      <c r="N23" s="28"/>
      <c r="O23" s="28"/>
      <c r="P23" s="28"/>
      <c r="Q23" s="19" t="s">
        <v>36</v>
      </c>
      <c r="R23" s="19" t="s">
        <v>36</v>
      </c>
      <c r="S23" s="28"/>
      <c r="T23" s="19" t="s">
        <v>36</v>
      </c>
    </row>
    <row r="24">
      <c r="A24" s="28" t="s">
        <v>85</v>
      </c>
      <c r="B24" s="28" t="s">
        <v>87</v>
      </c>
      <c r="C24" s="28" t="s">
        <v>86</v>
      </c>
      <c r="D24" s="19" t="s">
        <v>1319</v>
      </c>
      <c r="E24" s="19" t="str">
        <f t="shared" si="1"/>
        <v>X</v>
      </c>
      <c r="F24" s="19" t="s">
        <v>36</v>
      </c>
      <c r="G24" s="28"/>
      <c r="H24" s="28"/>
      <c r="I24" s="19"/>
      <c r="J24" s="28"/>
      <c r="K24" s="28"/>
      <c r="L24" s="28"/>
      <c r="M24" s="19" t="s">
        <v>36</v>
      </c>
      <c r="N24" s="19" t="s">
        <v>36</v>
      </c>
      <c r="O24" s="28"/>
      <c r="P24" s="28"/>
      <c r="Q24" s="19" t="s">
        <v>36</v>
      </c>
      <c r="R24" s="19"/>
      <c r="S24" s="28"/>
      <c r="T24" s="28"/>
    </row>
    <row r="25">
      <c r="A25" s="28" t="s">
        <v>88</v>
      </c>
      <c r="B25" s="28" t="s">
        <v>90</v>
      </c>
      <c r="C25" s="28" t="s">
        <v>89</v>
      </c>
      <c r="D25" s="41" t="s">
        <v>1454</v>
      </c>
      <c r="E25" s="19" t="str">
        <f t="shared" si="1"/>
        <v>X</v>
      </c>
      <c r="F25" s="19" t="s">
        <v>36</v>
      </c>
      <c r="G25" s="28"/>
      <c r="H25" s="28"/>
      <c r="I25" s="28"/>
      <c r="J25" s="28"/>
      <c r="K25" s="28"/>
      <c r="L25" s="19" t="s">
        <v>36</v>
      </c>
      <c r="M25" s="19" t="s">
        <v>36</v>
      </c>
      <c r="N25" s="28"/>
      <c r="O25" s="28"/>
      <c r="P25" s="19"/>
      <c r="Q25" s="19" t="s">
        <v>36</v>
      </c>
      <c r="R25" s="19" t="s">
        <v>36</v>
      </c>
      <c r="S25" s="28"/>
      <c r="T25" s="28"/>
    </row>
    <row r="26">
      <c r="A26" s="28" t="s">
        <v>91</v>
      </c>
      <c r="B26" s="28" t="s">
        <v>93</v>
      </c>
      <c r="C26" s="28" t="s">
        <v>92</v>
      </c>
      <c r="D26" s="41" t="s">
        <v>1322</v>
      </c>
      <c r="E26" s="19" t="str">
        <f t="shared" si="1"/>
        <v>X</v>
      </c>
      <c r="F26" s="19"/>
      <c r="G26" s="19" t="s">
        <v>36</v>
      </c>
      <c r="H26" s="19" t="s">
        <v>36</v>
      </c>
      <c r="I26" s="28"/>
      <c r="J26" s="28"/>
      <c r="K26" s="28"/>
      <c r="L26" s="19" t="s">
        <v>36</v>
      </c>
      <c r="M26" s="28"/>
      <c r="N26" s="19"/>
      <c r="O26" s="28"/>
      <c r="P26" s="19"/>
      <c r="Q26" s="19" t="s">
        <v>36</v>
      </c>
      <c r="R26" s="19"/>
      <c r="S26" s="19" t="s">
        <v>36</v>
      </c>
      <c r="T26" s="28"/>
    </row>
    <row r="27" ht="17.25" customHeight="1">
      <c r="A27" s="28" t="s">
        <v>94</v>
      </c>
      <c r="B27" s="28" t="s">
        <v>96</v>
      </c>
      <c r="C27" s="28" t="s">
        <v>95</v>
      </c>
      <c r="D27" s="41" t="s">
        <v>1346</v>
      </c>
      <c r="E27" s="19" t="str">
        <f t="shared" si="1"/>
        <v>X</v>
      </c>
      <c r="F27" s="28"/>
      <c r="G27" s="28"/>
      <c r="H27" s="19" t="s">
        <v>36</v>
      </c>
      <c r="I27" s="28"/>
      <c r="J27" s="28"/>
      <c r="K27" s="28"/>
      <c r="L27" s="19" t="s">
        <v>36</v>
      </c>
      <c r="M27" s="28"/>
      <c r="N27" s="28"/>
      <c r="O27" s="28"/>
      <c r="P27" s="28"/>
      <c r="Q27" s="28"/>
      <c r="R27" s="28"/>
      <c r="S27" s="19" t="s">
        <v>36</v>
      </c>
      <c r="T27" s="19"/>
    </row>
    <row r="28">
      <c r="A28" s="28" t="s">
        <v>97</v>
      </c>
      <c r="B28" s="28" t="s">
        <v>99</v>
      </c>
      <c r="C28" s="28" t="s">
        <v>98</v>
      </c>
      <c r="D28" s="41" t="s">
        <v>1345</v>
      </c>
      <c r="E28" s="19" t="str">
        <f t="shared" si="1"/>
        <v>X</v>
      </c>
      <c r="F28" s="28"/>
      <c r="G28" s="19" t="s">
        <v>36</v>
      </c>
      <c r="H28" s="19"/>
      <c r="I28" s="28"/>
      <c r="J28" s="28"/>
      <c r="K28" s="28"/>
      <c r="L28" s="28"/>
      <c r="M28" s="28"/>
      <c r="N28" s="28"/>
      <c r="O28" s="19" t="s">
        <v>36</v>
      </c>
      <c r="P28" s="28"/>
      <c r="Q28" s="28"/>
      <c r="R28" s="28"/>
      <c r="S28" s="28"/>
      <c r="T28" s="19" t="s">
        <v>36</v>
      </c>
    </row>
    <row r="29">
      <c r="A29" s="28" t="s">
        <v>100</v>
      </c>
      <c r="B29" s="28" t="s">
        <v>102</v>
      </c>
      <c r="C29" s="28" t="s">
        <v>101</v>
      </c>
      <c r="D29" s="19" t="s">
        <v>1319</v>
      </c>
      <c r="E29" s="19" t="str">
        <f t="shared" si="1"/>
        <v>X</v>
      </c>
      <c r="F29" s="19" t="s">
        <v>36</v>
      </c>
      <c r="G29" s="28"/>
      <c r="H29" s="28"/>
      <c r="I29" s="19"/>
      <c r="J29" s="28"/>
      <c r="K29" s="28"/>
      <c r="L29" s="19" t="s">
        <v>36</v>
      </c>
      <c r="M29" s="19"/>
      <c r="N29" s="28"/>
      <c r="O29" s="28"/>
      <c r="P29" s="28"/>
      <c r="Q29" s="19" t="s">
        <v>36</v>
      </c>
      <c r="R29" s="28"/>
      <c r="S29" s="28"/>
      <c r="T29" s="28"/>
    </row>
    <row r="30">
      <c r="A30" s="28" t="s">
        <v>103</v>
      </c>
      <c r="B30" s="28" t="s">
        <v>105</v>
      </c>
      <c r="C30" s="28" t="s">
        <v>104</v>
      </c>
      <c r="D30" s="41" t="s">
        <v>1373</v>
      </c>
      <c r="E30" s="19" t="s">
        <v>36</v>
      </c>
      <c r="F30" s="28"/>
      <c r="G30" s="19" t="s">
        <v>36</v>
      </c>
      <c r="H30" s="28"/>
      <c r="I30" s="28"/>
      <c r="J30" s="19"/>
      <c r="K30" s="28"/>
      <c r="L30" s="19" t="s">
        <v>36</v>
      </c>
      <c r="M30" s="19"/>
      <c r="N30" s="19"/>
      <c r="O30" s="19"/>
      <c r="P30" s="19" t="s">
        <v>36</v>
      </c>
      <c r="Q30" s="28"/>
      <c r="R30" s="28"/>
      <c r="S30" s="28"/>
      <c r="T30" s="28"/>
    </row>
    <row r="31">
      <c r="A31" s="28" t="s">
        <v>106</v>
      </c>
      <c r="B31" s="28" t="s">
        <v>108</v>
      </c>
      <c r="C31" s="28" t="s">
        <v>107</v>
      </c>
      <c r="D31" s="19" t="s">
        <v>1373</v>
      </c>
      <c r="E31" s="19" t="str">
        <f t="shared" ref="E31:E32" si="2">IF(AND(COUNTIF(F31:J31,"X")&gt;0,COUNTIF(K31:O31,"X")&gt;0,COUNTIF(P31:T31,"X")&gt;0),"X","")</f>
        <v>X</v>
      </c>
      <c r="F31" s="19" t="s">
        <v>36</v>
      </c>
      <c r="G31" s="28"/>
      <c r="H31" s="28"/>
      <c r="I31" s="19"/>
      <c r="J31" s="28"/>
      <c r="K31" s="28"/>
      <c r="L31" s="19" t="s">
        <v>36</v>
      </c>
      <c r="M31" s="28"/>
      <c r="N31" s="28"/>
      <c r="O31" s="19"/>
      <c r="P31" s="28"/>
      <c r="Q31" s="19" t="s">
        <v>36</v>
      </c>
      <c r="R31" s="28"/>
      <c r="S31" s="28"/>
      <c r="T31" s="28"/>
    </row>
    <row r="32">
      <c r="A32" s="29" t="s">
        <v>109</v>
      </c>
      <c r="B32" s="28" t="s">
        <v>111</v>
      </c>
      <c r="C32" s="28" t="s">
        <v>110</v>
      </c>
      <c r="D32" s="41" t="s">
        <v>1316</v>
      </c>
      <c r="E32" s="19" t="str">
        <f t="shared" si="2"/>
        <v>X</v>
      </c>
      <c r="F32" s="28"/>
      <c r="G32" s="28"/>
      <c r="H32" s="28"/>
      <c r="I32" s="19" t="s">
        <v>36</v>
      </c>
      <c r="J32" s="28"/>
      <c r="K32" s="28"/>
      <c r="L32" s="28"/>
      <c r="M32" s="28"/>
      <c r="N32" s="28"/>
      <c r="O32" s="19" t="s">
        <v>36</v>
      </c>
      <c r="P32" s="28"/>
      <c r="Q32" s="28"/>
      <c r="R32" s="28"/>
      <c r="S32" s="19" t="s">
        <v>36</v>
      </c>
      <c r="T32" s="28"/>
    </row>
    <row r="33">
      <c r="A33" s="28" t="s">
        <v>112</v>
      </c>
      <c r="B33" s="28" t="s">
        <v>114</v>
      </c>
      <c r="C33" s="28" t="s">
        <v>113</v>
      </c>
      <c r="D33" s="41" t="s">
        <v>1373</v>
      </c>
      <c r="E33" s="19" t="s">
        <v>36</v>
      </c>
      <c r="F33" s="28"/>
      <c r="G33" s="28"/>
      <c r="H33" s="28"/>
      <c r="I33" s="28"/>
      <c r="J33" s="19" t="s">
        <v>36</v>
      </c>
      <c r="K33" s="28"/>
      <c r="L33" s="19" t="s">
        <v>36</v>
      </c>
      <c r="M33" s="28"/>
      <c r="N33" s="19" t="s">
        <v>36</v>
      </c>
      <c r="O33" s="28"/>
      <c r="P33" s="28"/>
      <c r="Q33" s="28"/>
      <c r="R33" s="28"/>
      <c r="S33" s="19" t="s">
        <v>36</v>
      </c>
      <c r="T33" s="28"/>
    </row>
    <row r="34">
      <c r="A34" s="28" t="s">
        <v>115</v>
      </c>
      <c r="B34" s="28" t="s">
        <v>117</v>
      </c>
      <c r="C34" s="28" t="s">
        <v>116</v>
      </c>
      <c r="D34" s="19" t="s">
        <v>1373</v>
      </c>
      <c r="E34" s="19" t="str">
        <f t="shared" ref="E34:E37" si="3">IF(AND(COUNTIF(F34:J34,"X")&gt;0,COUNTIF(K34:O34,"X")&gt;0,COUNTIF(P34:T34,"X")&gt;0),"X","")</f>
        <v>X</v>
      </c>
      <c r="F34" s="28"/>
      <c r="G34" s="28"/>
      <c r="H34" s="28"/>
      <c r="I34" s="19" t="s">
        <v>36</v>
      </c>
      <c r="J34" s="28"/>
      <c r="K34" s="28"/>
      <c r="L34" s="19" t="s">
        <v>36</v>
      </c>
      <c r="M34" s="19" t="s">
        <v>36</v>
      </c>
      <c r="N34" s="28"/>
      <c r="O34" s="19" t="s">
        <v>36</v>
      </c>
      <c r="P34" s="19" t="s">
        <v>36</v>
      </c>
      <c r="Q34" s="28"/>
      <c r="R34" s="28"/>
      <c r="S34" s="28"/>
      <c r="T34" s="28"/>
    </row>
    <row r="35">
      <c r="A35" s="29" t="s">
        <v>118</v>
      </c>
      <c r="B35" s="28" t="s">
        <v>120</v>
      </c>
      <c r="C35" s="28" t="s">
        <v>119</v>
      </c>
      <c r="D35" s="41" t="s">
        <v>1316</v>
      </c>
      <c r="E35" s="19" t="str">
        <f t="shared" si="3"/>
        <v>X</v>
      </c>
      <c r="F35" s="28"/>
      <c r="G35" s="28"/>
      <c r="H35" s="28"/>
      <c r="I35" s="19" t="s">
        <v>36</v>
      </c>
      <c r="J35" s="28"/>
      <c r="K35" s="28"/>
      <c r="L35" s="19" t="s">
        <v>36</v>
      </c>
      <c r="M35" s="28"/>
      <c r="N35" s="28"/>
      <c r="O35" s="28"/>
      <c r="P35" s="19" t="s">
        <v>36</v>
      </c>
      <c r="Q35" s="28"/>
      <c r="R35" s="28"/>
      <c r="S35" s="28"/>
      <c r="T35" s="28"/>
    </row>
    <row r="36">
      <c r="A36" s="28" t="s">
        <v>121</v>
      </c>
      <c r="B36" s="28" t="s">
        <v>123</v>
      </c>
      <c r="C36" s="28" t="s">
        <v>122</v>
      </c>
      <c r="D36" s="19" t="s">
        <v>1319</v>
      </c>
      <c r="E36" s="19" t="str">
        <f t="shared" si="3"/>
        <v>X</v>
      </c>
      <c r="F36" s="28"/>
      <c r="G36" s="28"/>
      <c r="H36" s="28"/>
      <c r="I36" s="19" t="s">
        <v>36</v>
      </c>
      <c r="J36" s="28"/>
      <c r="K36" s="28"/>
      <c r="L36" s="28"/>
      <c r="M36" s="28"/>
      <c r="N36" s="19" t="s">
        <v>36</v>
      </c>
      <c r="O36" s="28"/>
      <c r="P36" s="19"/>
      <c r="Q36" s="28"/>
      <c r="R36" s="28"/>
      <c r="S36" s="19" t="s">
        <v>36</v>
      </c>
      <c r="T36" s="28"/>
    </row>
    <row r="37">
      <c r="A37" s="29" t="s">
        <v>124</v>
      </c>
      <c r="B37" s="28" t="s">
        <v>126</v>
      </c>
      <c r="C37" s="28" t="s">
        <v>125</v>
      </c>
      <c r="D37" s="41" t="s">
        <v>1454</v>
      </c>
      <c r="E37" s="19" t="str">
        <f t="shared" si="3"/>
        <v>X</v>
      </c>
      <c r="F37" s="19"/>
      <c r="G37" s="19" t="s">
        <v>36</v>
      </c>
      <c r="H37" s="28"/>
      <c r="I37" s="28"/>
      <c r="J37" s="19" t="s">
        <v>36</v>
      </c>
      <c r="K37" s="28"/>
      <c r="L37" s="19" t="s">
        <v>36</v>
      </c>
      <c r="M37" s="19"/>
      <c r="N37" s="28"/>
      <c r="O37" s="19" t="s">
        <v>36</v>
      </c>
      <c r="P37" s="28"/>
      <c r="Q37" s="28"/>
      <c r="R37" s="28"/>
      <c r="S37" s="19" t="s">
        <v>36</v>
      </c>
      <c r="T37" s="28"/>
    </row>
    <row r="38">
      <c r="A38" s="36"/>
      <c r="B38" s="16"/>
    </row>
    <row r="39">
      <c r="A39" s="36"/>
      <c r="F39" s="17"/>
      <c r="G39" s="17"/>
      <c r="P39" s="17"/>
      <c r="Q39" s="17"/>
      <c r="R39" s="17"/>
      <c r="S39" s="17"/>
      <c r="T39" s="17"/>
      <c r="U39" s="17"/>
      <c r="V39" s="17"/>
      <c r="W39" s="17"/>
      <c r="X39" s="17"/>
    </row>
    <row r="40">
      <c r="A40" s="36"/>
      <c r="B40" s="18"/>
    </row>
    <row r="41">
      <c r="A41" s="36"/>
      <c r="I41" s="16"/>
    </row>
    <row r="42">
      <c r="A42" s="36"/>
      <c r="B42" s="19"/>
      <c r="C42" s="19"/>
      <c r="D42" s="19"/>
      <c r="E42" s="19"/>
      <c r="F42" s="40"/>
      <c r="G42" s="40"/>
    </row>
    <row r="43">
      <c r="A43" s="36"/>
    </row>
    <row r="44">
      <c r="A44" s="36"/>
    </row>
    <row r="45">
      <c r="A45" s="36"/>
    </row>
    <row r="46">
      <c r="A46" s="36"/>
    </row>
    <row r="47">
      <c r="A47" s="36"/>
    </row>
    <row r="48">
      <c r="A48" s="36"/>
    </row>
    <row r="49">
      <c r="A49" s="36"/>
    </row>
    <row r="50">
      <c r="A50" s="36"/>
    </row>
    <row r="51">
      <c r="A51" s="36"/>
    </row>
    <row r="52">
      <c r="A52" s="36"/>
    </row>
    <row r="53">
      <c r="A53" s="36"/>
    </row>
    <row r="54">
      <c r="A54" s="36"/>
    </row>
    <row r="55">
      <c r="A55" s="36"/>
    </row>
    <row r="56">
      <c r="A56" s="36"/>
    </row>
    <row r="57">
      <c r="A57" s="36"/>
    </row>
    <row r="58">
      <c r="A58" s="36"/>
    </row>
    <row r="59">
      <c r="A59" s="36"/>
    </row>
    <row r="60">
      <c r="A60" s="36"/>
    </row>
    <row r="61">
      <c r="A61" s="36"/>
    </row>
    <row r="62">
      <c r="A62" s="36"/>
    </row>
    <row r="63">
      <c r="A63" s="36"/>
    </row>
    <row r="64">
      <c r="A64" s="36"/>
    </row>
    <row r="65">
      <c r="A65" s="36"/>
    </row>
    <row r="66">
      <c r="A66" s="36"/>
    </row>
    <row r="67">
      <c r="A67" s="36"/>
    </row>
    <row r="68">
      <c r="A68" s="36"/>
    </row>
    <row r="69">
      <c r="A69" s="36"/>
    </row>
    <row r="70">
      <c r="A70" s="36"/>
    </row>
    <row r="71">
      <c r="A71" s="36"/>
    </row>
    <row r="72">
      <c r="A72" s="36"/>
    </row>
    <row r="73">
      <c r="A73" s="36"/>
    </row>
    <row r="74">
      <c r="A74" s="36"/>
    </row>
    <row r="75">
      <c r="A75" s="36"/>
    </row>
    <row r="76">
      <c r="A76" s="36"/>
    </row>
    <row r="77">
      <c r="A77" s="36"/>
    </row>
    <row r="78">
      <c r="A78" s="36"/>
    </row>
    <row r="79">
      <c r="A79" s="36"/>
    </row>
    <row r="80">
      <c r="A80" s="36"/>
    </row>
    <row r="81">
      <c r="A81" s="36"/>
    </row>
    <row r="82">
      <c r="A82" s="36"/>
    </row>
    <row r="83">
      <c r="A83" s="36"/>
    </row>
    <row r="84">
      <c r="A84" s="36"/>
    </row>
    <row r="85">
      <c r="A85" s="36"/>
    </row>
    <row r="86">
      <c r="A86" s="36"/>
    </row>
    <row r="87">
      <c r="A87" s="36"/>
    </row>
    <row r="88">
      <c r="A88" s="36"/>
    </row>
    <row r="89">
      <c r="A89" s="36"/>
    </row>
    <row r="90">
      <c r="A90" s="36"/>
    </row>
    <row r="91">
      <c r="A91" s="36"/>
    </row>
    <row r="92">
      <c r="A92" s="36"/>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sheetData>
  <conditionalFormatting sqref="E4:E37">
    <cfRule type="containsBlanks" dxfId="2" priority="1">
      <formula>LEN(TRIM(E4))=0</formula>
    </cfRule>
  </conditionalFormatting>
  <dataValidations>
    <dataValidation type="list" allowBlank="1" showErrorMessage="1" sqref="F4:T37">
      <formula1>"X,?"</formula1>
    </dataValidation>
  </dataValidations>
  <hyperlinks>
    <hyperlink r:id="rId4" ref="A8"/>
    <hyperlink r:id="rId5" ref="A19"/>
    <hyperlink r:id="rId6" ref="A21"/>
    <hyperlink r:id="rId7" ref="A23"/>
    <hyperlink r:id="rId8" ref="A32"/>
    <hyperlink r:id="rId9" ref="A35"/>
    <hyperlink r:id="rId10" ref="A37"/>
  </hyperlinks>
  <drawing r:id="rId11"/>
  <legacy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2.63" defaultRowHeight="15.75"/>
  <cols>
    <col customWidth="1" min="1" max="1" width="29.75"/>
    <col customWidth="1" min="2" max="2" width="5.63"/>
    <col customWidth="1" min="3" max="4" width="12.25"/>
    <col customWidth="1" min="5" max="10" width="12.5"/>
    <col customWidth="1" min="11" max="16" width="15.38"/>
    <col customWidth="1" min="17" max="17" width="12.63"/>
    <col customWidth="1" min="18" max="18" width="8.75"/>
    <col customWidth="1" min="19" max="19" width="12.38"/>
    <col customWidth="1" min="20" max="21" width="11.88"/>
    <col customWidth="1" min="22" max="22" width="8.63"/>
  </cols>
  <sheetData>
    <row r="1">
      <c r="A1" s="36" t="s">
        <v>0</v>
      </c>
      <c r="B1" s="1" t="s">
        <v>2</v>
      </c>
      <c r="C1" s="1" t="s">
        <v>1</v>
      </c>
      <c r="D1" s="1" t="s">
        <v>1619</v>
      </c>
      <c r="E1" s="10" t="s">
        <v>1621</v>
      </c>
      <c r="F1" s="3"/>
      <c r="G1" s="3"/>
      <c r="H1" s="3"/>
      <c r="I1" s="3"/>
      <c r="J1" s="3"/>
      <c r="K1" s="4" t="s">
        <v>4</v>
      </c>
      <c r="L1" s="5"/>
      <c r="M1" s="5"/>
      <c r="N1" s="5"/>
      <c r="O1" s="5"/>
      <c r="P1" s="5"/>
      <c r="Q1" s="6" t="s">
        <v>5</v>
      </c>
      <c r="R1" s="7"/>
      <c r="S1" s="7"/>
      <c r="T1" s="7"/>
      <c r="U1" s="7"/>
      <c r="V1" s="7"/>
    </row>
    <row r="2" ht="29.25" customHeight="1">
      <c r="A2" s="36"/>
      <c r="B2" s="9"/>
      <c r="C2" s="9"/>
      <c r="D2" s="9"/>
      <c r="E2" s="10" t="s">
        <v>1623</v>
      </c>
      <c r="F2" s="10" t="s">
        <v>1624</v>
      </c>
      <c r="G2" s="10" t="s">
        <v>6</v>
      </c>
      <c r="H2" s="10" t="s">
        <v>7</v>
      </c>
      <c r="I2" s="10" t="s">
        <v>8</v>
      </c>
      <c r="J2" s="10" t="s">
        <v>1315</v>
      </c>
      <c r="K2" s="4" t="s">
        <v>9</v>
      </c>
      <c r="L2" s="4" t="s">
        <v>10</v>
      </c>
      <c r="M2" s="4" t="s">
        <v>11</v>
      </c>
      <c r="N2" s="4" t="s">
        <v>12</v>
      </c>
      <c r="O2" s="4" t="s">
        <v>13</v>
      </c>
      <c r="P2" s="42" t="s">
        <v>1627</v>
      </c>
      <c r="Q2" s="6" t="s">
        <v>14</v>
      </c>
      <c r="R2" s="6" t="s">
        <v>15</v>
      </c>
      <c r="S2" s="6" t="s">
        <v>16</v>
      </c>
      <c r="T2" s="6" t="s">
        <v>17</v>
      </c>
      <c r="U2" s="6" t="s">
        <v>18</v>
      </c>
      <c r="V2" s="43" t="s">
        <v>1627</v>
      </c>
    </row>
    <row r="3" ht="57.75" customHeight="1">
      <c r="A3" s="36"/>
      <c r="B3" s="9"/>
      <c r="C3" s="9"/>
      <c r="D3" s="9"/>
      <c r="E3" s="11" t="s">
        <v>1625</v>
      </c>
      <c r="F3" s="11" t="s">
        <v>1626</v>
      </c>
      <c r="G3" s="11" t="s">
        <v>19</v>
      </c>
      <c r="H3" s="11" t="s">
        <v>20</v>
      </c>
      <c r="I3" s="11" t="s">
        <v>21</v>
      </c>
      <c r="J3" s="11" t="s">
        <v>1628</v>
      </c>
      <c r="K3" s="12" t="s">
        <v>22</v>
      </c>
      <c r="L3" s="12" t="s">
        <v>23</v>
      </c>
      <c r="M3" s="12" t="s">
        <v>24</v>
      </c>
      <c r="N3" s="12" t="s">
        <v>25</v>
      </c>
      <c r="O3" s="12" t="s">
        <v>26</v>
      </c>
      <c r="P3" s="44"/>
      <c r="Q3" s="6" t="s">
        <v>27</v>
      </c>
      <c r="R3" s="6" t="s">
        <v>28</v>
      </c>
      <c r="S3" s="6" t="s">
        <v>29</v>
      </c>
      <c r="T3" s="6" t="s">
        <v>30</v>
      </c>
      <c r="U3" s="6" t="s">
        <v>31</v>
      </c>
      <c r="V3" s="43"/>
    </row>
    <row r="4">
      <c r="A4" s="45" t="s">
        <v>1629</v>
      </c>
      <c r="B4" s="28" t="s">
        <v>580</v>
      </c>
      <c r="C4" s="28" t="s">
        <v>581</v>
      </c>
      <c r="D4" s="19" t="s">
        <v>1346</v>
      </c>
      <c r="E4" s="19" t="s">
        <v>36</v>
      </c>
      <c r="F4" s="28"/>
      <c r="G4" s="28"/>
      <c r="H4" s="19"/>
      <c r="I4" s="28"/>
      <c r="K4" s="19" t="s">
        <v>36</v>
      </c>
      <c r="L4" s="19"/>
      <c r="M4" s="19" t="s">
        <v>36</v>
      </c>
      <c r="N4" s="28"/>
      <c r="O4" s="28"/>
      <c r="P4" s="19"/>
      <c r="Q4" s="28"/>
      <c r="R4" s="28"/>
      <c r="S4" s="19" t="s">
        <v>36</v>
      </c>
      <c r="T4" s="28"/>
      <c r="U4" s="28"/>
    </row>
    <row r="5">
      <c r="A5" s="45" t="s">
        <v>1630</v>
      </c>
      <c r="B5" s="28" t="s">
        <v>81</v>
      </c>
      <c r="C5" s="28" t="s">
        <v>80</v>
      </c>
      <c r="D5" s="19" t="s">
        <v>1346</v>
      </c>
      <c r="E5" s="19" t="s">
        <v>36</v>
      </c>
      <c r="F5" s="28"/>
      <c r="G5" s="28"/>
      <c r="H5" s="28"/>
      <c r="I5" s="28"/>
      <c r="K5" s="28"/>
      <c r="L5" s="28"/>
      <c r="M5" s="28"/>
      <c r="N5" s="19" t="s">
        <v>36</v>
      </c>
      <c r="O5" s="19"/>
      <c r="Q5" s="28"/>
      <c r="R5" s="19" t="s">
        <v>36</v>
      </c>
      <c r="S5" s="19" t="s">
        <v>36</v>
      </c>
      <c r="T5" s="28"/>
      <c r="U5" s="28"/>
    </row>
    <row r="6">
      <c r="A6" s="45" t="s">
        <v>1631</v>
      </c>
      <c r="B6" s="28" t="s">
        <v>84</v>
      </c>
      <c r="C6" s="28" t="s">
        <v>83</v>
      </c>
      <c r="D6" s="19" t="s">
        <v>1454</v>
      </c>
      <c r="E6" s="19" t="s">
        <v>36</v>
      </c>
      <c r="F6" s="19" t="s">
        <v>36</v>
      </c>
      <c r="G6" s="28"/>
      <c r="H6" s="28"/>
      <c r="I6" s="28"/>
      <c r="K6" s="28"/>
      <c r="L6" s="19"/>
      <c r="M6" s="19" t="s">
        <v>36</v>
      </c>
      <c r="N6" s="19" t="s">
        <v>36</v>
      </c>
      <c r="O6" s="19"/>
      <c r="P6" s="19"/>
      <c r="Q6" s="19"/>
      <c r="R6" s="19" t="s">
        <v>36</v>
      </c>
      <c r="S6" s="19" t="s">
        <v>36</v>
      </c>
      <c r="T6" s="28"/>
      <c r="U6" s="28"/>
    </row>
    <row r="7">
      <c r="A7" s="45" t="s">
        <v>1632</v>
      </c>
      <c r="B7" s="28" t="s">
        <v>87</v>
      </c>
      <c r="C7" s="28" t="s">
        <v>86</v>
      </c>
      <c r="D7" s="19" t="s">
        <v>1454</v>
      </c>
      <c r="E7" s="19" t="s">
        <v>36</v>
      </c>
      <c r="F7" s="19"/>
      <c r="G7" s="28"/>
      <c r="H7" s="28"/>
      <c r="I7" s="28"/>
      <c r="K7" s="28"/>
      <c r="L7" s="19"/>
      <c r="M7" s="19" t="s">
        <v>36</v>
      </c>
      <c r="N7" s="19" t="s">
        <v>36</v>
      </c>
      <c r="O7" s="19"/>
      <c r="Q7" s="28"/>
      <c r="R7" s="19" t="s">
        <v>36</v>
      </c>
      <c r="S7" s="28"/>
      <c r="T7" s="28"/>
      <c r="U7" s="28"/>
    </row>
    <row r="8">
      <c r="A8" s="36" t="s">
        <v>88</v>
      </c>
      <c r="B8" s="28" t="s">
        <v>90</v>
      </c>
      <c r="C8" s="28" t="s">
        <v>89</v>
      </c>
      <c r="D8" s="19" t="s">
        <v>1345</v>
      </c>
      <c r="E8" s="19" t="s">
        <v>36</v>
      </c>
      <c r="F8" s="28"/>
      <c r="G8" s="28"/>
      <c r="H8" s="28"/>
      <c r="I8" s="28"/>
      <c r="K8" s="19" t="s">
        <v>36</v>
      </c>
      <c r="L8" s="28"/>
      <c r="M8" s="28"/>
      <c r="N8" s="28"/>
      <c r="O8" s="19" t="s">
        <v>36</v>
      </c>
      <c r="Q8" s="28"/>
      <c r="R8" s="19" t="s">
        <v>36</v>
      </c>
      <c r="S8" s="28"/>
      <c r="T8" s="28"/>
      <c r="U8" s="28"/>
    </row>
    <row r="9">
      <c r="A9" s="45" t="s">
        <v>1633</v>
      </c>
      <c r="B9" s="28" t="s">
        <v>93</v>
      </c>
      <c r="C9" s="28" t="s">
        <v>92</v>
      </c>
      <c r="D9" s="19" t="s">
        <v>1345</v>
      </c>
      <c r="E9" s="28"/>
      <c r="F9" s="28"/>
      <c r="G9" s="19" t="s">
        <v>36</v>
      </c>
      <c r="H9" s="28"/>
      <c r="I9" s="28"/>
      <c r="J9" s="19"/>
      <c r="K9" s="28"/>
      <c r="L9" s="19"/>
      <c r="M9" s="19" t="s">
        <v>36</v>
      </c>
      <c r="N9" s="28"/>
      <c r="O9" s="19" t="s">
        <v>36</v>
      </c>
      <c r="Q9" s="28"/>
      <c r="R9" s="19" t="s">
        <v>36</v>
      </c>
      <c r="S9" s="28"/>
      <c r="T9" s="28"/>
      <c r="U9" s="28"/>
    </row>
    <row r="10">
      <c r="A10" s="45" t="s">
        <v>1634</v>
      </c>
      <c r="B10" s="28" t="s">
        <v>96</v>
      </c>
      <c r="C10" s="28" t="s">
        <v>95</v>
      </c>
      <c r="D10" s="19" t="s">
        <v>1316</v>
      </c>
      <c r="E10" s="28"/>
      <c r="F10" s="28"/>
      <c r="G10" s="19" t="s">
        <v>36</v>
      </c>
      <c r="H10" s="19"/>
      <c r="I10" s="28"/>
      <c r="K10" s="28"/>
      <c r="L10" s="19" t="s">
        <v>36</v>
      </c>
      <c r="M10" s="19"/>
      <c r="N10" s="19"/>
      <c r="O10" s="19"/>
      <c r="Q10" s="28"/>
      <c r="R10" s="28"/>
      <c r="S10" s="28"/>
      <c r="T10" s="19" t="s">
        <v>36</v>
      </c>
      <c r="U10" s="19"/>
      <c r="V10" s="19"/>
    </row>
    <row r="11">
      <c r="A11" s="45" t="s">
        <v>1635</v>
      </c>
      <c r="B11" s="28" t="s">
        <v>99</v>
      </c>
      <c r="C11" s="28" t="s">
        <v>98</v>
      </c>
      <c r="D11" s="19" t="s">
        <v>1316</v>
      </c>
      <c r="E11" s="28"/>
      <c r="F11" s="19" t="s">
        <v>36</v>
      </c>
      <c r="G11" s="28"/>
      <c r="H11" s="28"/>
      <c r="I11" s="28"/>
      <c r="K11" s="28"/>
      <c r="L11" s="19" t="s">
        <v>36</v>
      </c>
      <c r="M11" s="19"/>
      <c r="N11" s="28"/>
      <c r="O11" s="19" t="s">
        <v>36</v>
      </c>
      <c r="P11" s="19"/>
      <c r="Q11" s="28"/>
      <c r="R11" s="28"/>
      <c r="S11" s="28"/>
      <c r="T11" s="19"/>
      <c r="U11" s="19" t="s">
        <v>36</v>
      </c>
      <c r="V11" s="19"/>
    </row>
    <row r="12">
      <c r="A12" s="45" t="s">
        <v>1636</v>
      </c>
      <c r="B12" s="28" t="s">
        <v>524</v>
      </c>
      <c r="C12" s="28" t="s">
        <v>525</v>
      </c>
      <c r="D12" s="19" t="s">
        <v>1322</v>
      </c>
      <c r="E12" s="28"/>
      <c r="F12" s="28"/>
      <c r="G12" s="28"/>
      <c r="H12" s="28"/>
      <c r="I12" s="28"/>
      <c r="K12" s="28"/>
      <c r="L12" s="28"/>
      <c r="M12" s="28"/>
      <c r="N12" s="28"/>
      <c r="O12" s="28"/>
      <c r="Q12" s="28"/>
      <c r="R12" s="28"/>
      <c r="S12" s="28"/>
      <c r="T12" s="28"/>
      <c r="U12" s="28"/>
    </row>
    <row r="13">
      <c r="A13" s="45" t="s">
        <v>1637</v>
      </c>
      <c r="B13" s="28" t="s">
        <v>102</v>
      </c>
      <c r="C13" s="28" t="s">
        <v>101</v>
      </c>
      <c r="D13" s="19" t="s">
        <v>1322</v>
      </c>
      <c r="E13" s="28"/>
      <c r="F13" s="28"/>
      <c r="G13" s="28"/>
      <c r="H13" s="19" t="s">
        <v>36</v>
      </c>
      <c r="I13" s="28"/>
      <c r="K13" s="28"/>
      <c r="L13" s="19"/>
      <c r="M13" s="19" t="s">
        <v>36</v>
      </c>
      <c r="N13" s="28"/>
      <c r="O13" s="28"/>
      <c r="Q13" s="28"/>
      <c r="R13" s="28"/>
      <c r="S13" s="19" t="s">
        <v>36</v>
      </c>
      <c r="T13" s="28"/>
      <c r="U13" s="28"/>
    </row>
    <row r="14">
      <c r="A14" s="45" t="s">
        <v>1638</v>
      </c>
      <c r="B14" s="28" t="s">
        <v>105</v>
      </c>
      <c r="C14" s="28" t="s">
        <v>104</v>
      </c>
      <c r="D14" s="19" t="s">
        <v>1319</v>
      </c>
      <c r="E14" s="19"/>
      <c r="F14" s="19" t="s">
        <v>36</v>
      </c>
      <c r="G14" s="28"/>
      <c r="H14" s="19"/>
      <c r="I14" s="19" t="s">
        <v>36</v>
      </c>
      <c r="J14" s="19" t="s">
        <v>1639</v>
      </c>
      <c r="K14" s="28"/>
      <c r="L14" s="19"/>
      <c r="M14" s="19" t="s">
        <v>36</v>
      </c>
      <c r="N14" s="19"/>
      <c r="O14" s="19"/>
      <c r="P14" s="19" t="s">
        <v>1640</v>
      </c>
      <c r="Q14" s="19" t="s">
        <v>36</v>
      </c>
      <c r="R14" s="28"/>
      <c r="S14" s="28"/>
      <c r="T14" s="28"/>
      <c r="U14" s="28"/>
    </row>
    <row r="15">
      <c r="A15" s="45" t="s">
        <v>1641</v>
      </c>
      <c r="B15" s="28" t="s">
        <v>108</v>
      </c>
      <c r="C15" s="28" t="s">
        <v>107</v>
      </c>
      <c r="D15" s="19" t="s">
        <v>1319</v>
      </c>
      <c r="E15" s="28"/>
      <c r="F15" s="28"/>
      <c r="G15" s="28"/>
      <c r="H15" s="19" t="s">
        <v>36</v>
      </c>
      <c r="I15" s="28"/>
      <c r="K15" s="28"/>
      <c r="L15" s="19"/>
      <c r="M15" s="19" t="s">
        <v>36</v>
      </c>
      <c r="N15" s="28"/>
      <c r="O15" s="28"/>
      <c r="Q15" s="28"/>
      <c r="R15" s="19" t="s">
        <v>36</v>
      </c>
      <c r="S15" s="28"/>
      <c r="T15" s="28"/>
      <c r="U15" s="28"/>
    </row>
    <row r="16">
      <c r="A16" s="45" t="s">
        <v>1642</v>
      </c>
      <c r="B16" s="28" t="s">
        <v>111</v>
      </c>
      <c r="C16" s="28" t="s">
        <v>110</v>
      </c>
      <c r="D16" s="19" t="s">
        <v>1533</v>
      </c>
      <c r="E16" s="28"/>
      <c r="F16" s="28"/>
      <c r="G16" s="28"/>
      <c r="H16" s="28"/>
      <c r="I16" s="28"/>
      <c r="K16" s="28"/>
      <c r="L16" s="28"/>
      <c r="M16" s="28"/>
      <c r="N16" s="28"/>
      <c r="O16" s="28"/>
      <c r="Q16" s="28"/>
      <c r="R16" s="28"/>
      <c r="S16" s="28"/>
      <c r="T16" s="28"/>
      <c r="U16" s="28"/>
    </row>
    <row r="17">
      <c r="A17" s="45" t="s">
        <v>1643</v>
      </c>
      <c r="B17" s="28" t="s">
        <v>114</v>
      </c>
      <c r="C17" s="28" t="s">
        <v>113</v>
      </c>
      <c r="D17" s="19" t="s">
        <v>1533</v>
      </c>
      <c r="E17" s="28"/>
      <c r="F17" s="28"/>
      <c r="G17" s="28"/>
      <c r="H17" s="28"/>
      <c r="I17" s="28"/>
      <c r="K17" s="28"/>
      <c r="L17" s="28"/>
      <c r="M17" s="28"/>
      <c r="N17" s="28"/>
      <c r="O17" s="28"/>
      <c r="Q17" s="28"/>
      <c r="R17" s="28"/>
      <c r="S17" s="28"/>
      <c r="T17" s="28"/>
      <c r="U17" s="28"/>
    </row>
    <row r="18">
      <c r="A18" s="45" t="s">
        <v>1644</v>
      </c>
      <c r="B18" s="28" t="s">
        <v>117</v>
      </c>
      <c r="C18" s="28" t="s">
        <v>116</v>
      </c>
      <c r="D18" s="19" t="s">
        <v>1344</v>
      </c>
      <c r="E18" s="28"/>
      <c r="F18" s="28"/>
      <c r="G18" s="28"/>
      <c r="H18" s="19" t="s">
        <v>36</v>
      </c>
      <c r="I18" s="28"/>
      <c r="K18" s="19" t="s">
        <v>36</v>
      </c>
      <c r="L18" s="19"/>
      <c r="M18" s="19" t="s">
        <v>36</v>
      </c>
      <c r="N18" s="19" t="s">
        <v>36</v>
      </c>
      <c r="O18" s="19"/>
      <c r="Q18" s="19" t="s">
        <v>36</v>
      </c>
      <c r="R18" s="28"/>
      <c r="S18" s="28"/>
      <c r="T18" s="28"/>
      <c r="U18" s="28"/>
    </row>
    <row r="19">
      <c r="A19" s="45" t="s">
        <v>1645</v>
      </c>
      <c r="B19" s="28" t="s">
        <v>120</v>
      </c>
      <c r="C19" s="28" t="s">
        <v>119</v>
      </c>
      <c r="D19" s="19" t="s">
        <v>1344</v>
      </c>
      <c r="E19" s="28"/>
      <c r="F19" s="28"/>
      <c r="G19" s="19" t="s">
        <v>36</v>
      </c>
      <c r="H19" s="19" t="s">
        <v>36</v>
      </c>
      <c r="I19" s="28"/>
      <c r="K19" s="19" t="s">
        <v>36</v>
      </c>
      <c r="L19" s="28"/>
      <c r="M19" s="28"/>
      <c r="N19" s="28"/>
      <c r="O19" s="19" t="s">
        <v>36</v>
      </c>
      <c r="Q19" s="19" t="s">
        <v>36</v>
      </c>
      <c r="R19" s="28"/>
      <c r="S19" s="28"/>
      <c r="T19" s="28"/>
      <c r="U19" s="19" t="s">
        <v>36</v>
      </c>
    </row>
    <row r="20">
      <c r="A20" s="46" t="s">
        <v>1646</v>
      </c>
      <c r="B20" s="28" t="s">
        <v>123</v>
      </c>
      <c r="C20" s="28" t="s">
        <v>122</v>
      </c>
      <c r="D20" s="19" t="s">
        <v>1373</v>
      </c>
      <c r="E20" s="28"/>
      <c r="F20" s="28"/>
      <c r="G20" s="19"/>
      <c r="H20" s="28"/>
      <c r="I20" s="19" t="s">
        <v>36</v>
      </c>
      <c r="K20" s="19" t="s">
        <v>36</v>
      </c>
      <c r="L20" s="19" t="s">
        <v>36</v>
      </c>
      <c r="M20" s="19"/>
      <c r="N20" s="19" t="s">
        <v>36</v>
      </c>
      <c r="O20" s="19"/>
      <c r="P20" s="19"/>
      <c r="Q20" s="28"/>
      <c r="R20" s="28"/>
      <c r="S20" s="28"/>
      <c r="T20" s="19" t="s">
        <v>36</v>
      </c>
      <c r="U20" s="19"/>
      <c r="V20" s="19"/>
    </row>
    <row r="21">
      <c r="A21" s="47" t="s">
        <v>124</v>
      </c>
      <c r="B21" s="28" t="s">
        <v>126</v>
      </c>
      <c r="C21" s="28" t="s">
        <v>125</v>
      </c>
      <c r="D21" s="19" t="s">
        <v>1373</v>
      </c>
      <c r="E21" s="28"/>
      <c r="F21" s="28"/>
      <c r="G21" s="19" t="s">
        <v>36</v>
      </c>
      <c r="H21" s="28"/>
      <c r="I21" s="19" t="s">
        <v>36</v>
      </c>
      <c r="K21" s="28"/>
      <c r="L21" s="19"/>
      <c r="M21" s="19" t="s">
        <v>36</v>
      </c>
      <c r="N21" s="28"/>
      <c r="O21" s="19" t="s">
        <v>36</v>
      </c>
      <c r="P21" s="19"/>
      <c r="Q21" s="28"/>
      <c r="R21" s="28"/>
      <c r="S21" s="28"/>
      <c r="T21" s="19" t="s">
        <v>36</v>
      </c>
      <c r="U21" s="19" t="s">
        <v>36</v>
      </c>
      <c r="V21" s="19"/>
    </row>
    <row r="22">
      <c r="A22" s="36"/>
    </row>
    <row r="23">
      <c r="A23" s="36"/>
      <c r="B23" s="18"/>
    </row>
    <row r="24">
      <c r="A24" s="36"/>
    </row>
    <row r="25">
      <c r="A25" s="36"/>
    </row>
    <row r="26">
      <c r="A26" s="36"/>
      <c r="H26" s="16"/>
    </row>
    <row r="27">
      <c r="A27" s="36"/>
    </row>
    <row r="28">
      <c r="A28" s="36"/>
    </row>
    <row r="29">
      <c r="A29" s="36"/>
    </row>
    <row r="30">
      <c r="A30" s="36"/>
    </row>
    <row r="31">
      <c r="A31" s="36"/>
    </row>
    <row r="32">
      <c r="A32" s="36"/>
      <c r="H32" s="16"/>
    </row>
    <row r="33">
      <c r="A33" s="36"/>
      <c r="H33" s="16"/>
    </row>
    <row r="34">
      <c r="A34" s="36"/>
    </row>
    <row r="35">
      <c r="A35" s="36"/>
    </row>
    <row r="36">
      <c r="A36" s="36"/>
    </row>
    <row r="37">
      <c r="A37" s="36"/>
    </row>
    <row r="38">
      <c r="A38" s="36"/>
      <c r="B38" s="16"/>
    </row>
    <row r="39">
      <c r="A39" s="36"/>
      <c r="E39" s="17"/>
      <c r="F39" s="17"/>
      <c r="J39" s="17"/>
      <c r="P39" s="17"/>
      <c r="Q39" s="17"/>
      <c r="R39" s="17"/>
      <c r="S39" s="17"/>
      <c r="T39" s="17"/>
      <c r="U39" s="17"/>
      <c r="V39" s="17"/>
      <c r="W39" s="17"/>
      <c r="X39" s="17"/>
      <c r="Y39" s="17"/>
      <c r="Z39" s="17"/>
    </row>
    <row r="40">
      <c r="A40" s="36"/>
      <c r="B40" s="18"/>
    </row>
    <row r="41">
      <c r="A41" s="36"/>
      <c r="H41" s="16"/>
    </row>
    <row r="42">
      <c r="A42" s="36"/>
      <c r="B42" s="19"/>
      <c r="C42" s="19"/>
      <c r="D42" s="19"/>
      <c r="E42" s="40"/>
      <c r="F42" s="40"/>
    </row>
    <row r="43">
      <c r="A43" s="36"/>
    </row>
    <row r="44">
      <c r="A44" s="36"/>
    </row>
    <row r="45">
      <c r="A45" s="36"/>
    </row>
    <row r="46">
      <c r="A46" s="36"/>
    </row>
    <row r="47">
      <c r="A47" s="36"/>
    </row>
    <row r="48">
      <c r="A48" s="36"/>
    </row>
    <row r="49">
      <c r="A49" s="36"/>
    </row>
    <row r="50">
      <c r="A50" s="36"/>
    </row>
    <row r="51">
      <c r="A51" s="36"/>
    </row>
    <row r="52">
      <c r="A52" s="36"/>
    </row>
    <row r="53">
      <c r="A53" s="36"/>
    </row>
    <row r="54">
      <c r="A54" s="36"/>
    </row>
    <row r="55">
      <c r="A55" s="36"/>
    </row>
    <row r="56">
      <c r="A56" s="36"/>
    </row>
    <row r="57">
      <c r="A57" s="36"/>
    </row>
    <row r="58">
      <c r="A58" s="36"/>
    </row>
    <row r="59">
      <c r="A59" s="36"/>
    </row>
    <row r="60">
      <c r="A60" s="36"/>
    </row>
    <row r="61">
      <c r="A61" s="36"/>
    </row>
    <row r="62">
      <c r="A62" s="36"/>
    </row>
    <row r="63">
      <c r="A63" s="36"/>
    </row>
    <row r="64">
      <c r="A64" s="36"/>
    </row>
    <row r="65">
      <c r="A65" s="36"/>
    </row>
    <row r="66">
      <c r="A66" s="36"/>
    </row>
    <row r="67">
      <c r="A67" s="36"/>
    </row>
    <row r="68">
      <c r="A68" s="36"/>
    </row>
    <row r="69">
      <c r="A69" s="36"/>
    </row>
    <row r="70">
      <c r="A70" s="36"/>
    </row>
    <row r="71">
      <c r="A71" s="36"/>
    </row>
    <row r="72">
      <c r="A72" s="36"/>
    </row>
    <row r="73">
      <c r="A73" s="36"/>
    </row>
    <row r="74">
      <c r="A74" s="36"/>
    </row>
    <row r="75">
      <c r="A75" s="36"/>
    </row>
    <row r="76">
      <c r="A76" s="36"/>
    </row>
    <row r="77">
      <c r="A77" s="36"/>
    </row>
    <row r="78">
      <c r="A78" s="36"/>
    </row>
    <row r="79">
      <c r="A79" s="36"/>
    </row>
    <row r="80">
      <c r="A80" s="36"/>
    </row>
    <row r="81">
      <c r="A81" s="36"/>
    </row>
    <row r="82">
      <c r="A82" s="36"/>
    </row>
    <row r="83">
      <c r="A83" s="36"/>
    </row>
    <row r="84">
      <c r="A84" s="36"/>
    </row>
    <row r="85">
      <c r="A85" s="36"/>
    </row>
    <row r="86">
      <c r="A86" s="36"/>
    </row>
    <row r="87">
      <c r="A87" s="36"/>
    </row>
    <row r="88">
      <c r="A88" s="36"/>
    </row>
    <row r="89">
      <c r="A89" s="36"/>
    </row>
    <row r="90">
      <c r="A90" s="36"/>
    </row>
    <row r="91">
      <c r="A91" s="36"/>
    </row>
    <row r="92">
      <c r="A92" s="36"/>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sheetData>
  <dataValidations>
    <dataValidation type="list" allowBlank="1" showErrorMessage="1" sqref="E4:I21 K4:O21 Q4:U21">
      <formula1>"X,?"</formula1>
    </dataValidation>
  </dataValidations>
  <hyperlinks>
    <hyperlink r:id="rId4" ref="A4"/>
    <hyperlink r:id="rId5" ref="A5"/>
    <hyperlink r:id="rId6" ref="A6"/>
    <hyperlink r:id="rId7" ref="A7"/>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legacyDrawing r:id="rId2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75"/>
    <col customWidth="1" min="3" max="3" width="25.63"/>
    <col customWidth="1" min="4" max="4" width="5.38"/>
    <col customWidth="1" min="5" max="5" width="25.63"/>
    <col customWidth="1" min="6" max="6" width="20.63"/>
    <col customWidth="1" min="7" max="7" width="21.0"/>
  </cols>
  <sheetData>
    <row r="1">
      <c r="A1" s="13" t="s">
        <v>0</v>
      </c>
      <c r="B1" s="13" t="s">
        <v>2</v>
      </c>
      <c r="C1" s="19" t="s">
        <v>1</v>
      </c>
      <c r="D1" s="19" t="s">
        <v>1619</v>
      </c>
      <c r="E1" s="19" t="s">
        <v>1647</v>
      </c>
      <c r="F1" s="19" t="s">
        <v>1648</v>
      </c>
      <c r="G1" s="19" t="s">
        <v>1649</v>
      </c>
      <c r="H1" s="19" t="s">
        <v>1650</v>
      </c>
    </row>
    <row r="2">
      <c r="A2" s="48"/>
      <c r="B2" s="48"/>
      <c r="C2" s="49"/>
      <c r="D2" s="49"/>
      <c r="E2" s="49" t="s">
        <v>1651</v>
      </c>
      <c r="F2" s="49" t="s">
        <v>1652</v>
      </c>
      <c r="G2" s="49" t="s">
        <v>1653</v>
      </c>
      <c r="H2" s="49" t="s">
        <v>1654</v>
      </c>
      <c r="I2" s="50"/>
      <c r="J2" s="50"/>
      <c r="K2" s="50"/>
      <c r="L2" s="50"/>
      <c r="M2" s="50"/>
      <c r="N2" s="50"/>
      <c r="O2" s="50"/>
    </row>
    <row r="3">
      <c r="A3" s="51" t="s">
        <v>32</v>
      </c>
      <c r="B3" s="28" t="s">
        <v>135</v>
      </c>
      <c r="C3" s="28" t="s">
        <v>33</v>
      </c>
      <c r="D3" s="19" t="s">
        <v>1322</v>
      </c>
      <c r="E3" s="19" t="s">
        <v>1655</v>
      </c>
      <c r="F3" s="19" t="s">
        <v>1656</v>
      </c>
      <c r="G3" s="19" t="s">
        <v>1657</v>
      </c>
      <c r="H3" s="19" t="s">
        <v>1658</v>
      </c>
    </row>
    <row r="4">
      <c r="A4" s="51" t="s">
        <v>37</v>
      </c>
      <c r="B4" s="28" t="s">
        <v>123</v>
      </c>
      <c r="C4" s="28" t="s">
        <v>38</v>
      </c>
      <c r="D4" s="19" t="s">
        <v>1322</v>
      </c>
      <c r="E4" s="19" t="s">
        <v>1659</v>
      </c>
      <c r="F4" s="19" t="s">
        <v>1660</v>
      </c>
      <c r="G4" s="19" t="s">
        <v>1661</v>
      </c>
      <c r="H4" s="19" t="s">
        <v>1662</v>
      </c>
    </row>
    <row r="5">
      <c r="A5" s="51" t="s">
        <v>55</v>
      </c>
      <c r="B5" s="28" t="s">
        <v>491</v>
      </c>
      <c r="C5" s="28" t="s">
        <v>56</v>
      </c>
      <c r="D5" s="19" t="s">
        <v>1345</v>
      </c>
      <c r="E5" s="19" t="s">
        <v>1663</v>
      </c>
      <c r="F5" s="19" t="s">
        <v>1664</v>
      </c>
      <c r="G5" s="19" t="s">
        <v>1665</v>
      </c>
      <c r="H5" s="19" t="s">
        <v>1666</v>
      </c>
    </row>
    <row r="6">
      <c r="A6" s="51" t="s">
        <v>67</v>
      </c>
      <c r="B6" s="28" t="s">
        <v>270</v>
      </c>
      <c r="C6" s="28" t="s">
        <v>68</v>
      </c>
      <c r="D6" s="19" t="s">
        <v>1345</v>
      </c>
      <c r="E6" s="19" t="s">
        <v>1667</v>
      </c>
      <c r="F6" s="19" t="s">
        <v>1668</v>
      </c>
      <c r="G6" s="19" t="s">
        <v>1669</v>
      </c>
      <c r="H6" s="19" t="s">
        <v>1670</v>
      </c>
    </row>
    <row r="7">
      <c r="A7" s="51" t="s">
        <v>76</v>
      </c>
      <c r="B7" s="28" t="s">
        <v>947</v>
      </c>
      <c r="C7" s="28" t="s">
        <v>77</v>
      </c>
      <c r="D7" s="19" t="s">
        <v>1319</v>
      </c>
    </row>
    <row r="8">
      <c r="A8" s="51" t="s">
        <v>579</v>
      </c>
      <c r="B8" s="28" t="s">
        <v>549</v>
      </c>
      <c r="C8" s="28" t="s">
        <v>581</v>
      </c>
      <c r="D8" s="19" t="s">
        <v>1319</v>
      </c>
    </row>
    <row r="9">
      <c r="A9" s="51" t="s">
        <v>85</v>
      </c>
      <c r="B9" s="28" t="s">
        <v>1297</v>
      </c>
      <c r="C9" s="28" t="s">
        <v>86</v>
      </c>
      <c r="D9" s="19" t="s">
        <v>1344</v>
      </c>
      <c r="E9" s="19" t="s">
        <v>1671</v>
      </c>
      <c r="F9" s="19" t="s">
        <v>1672</v>
      </c>
      <c r="G9" s="19" t="s">
        <v>1673</v>
      </c>
      <c r="H9" s="19" t="s">
        <v>1674</v>
      </c>
    </row>
    <row r="10">
      <c r="A10" s="51" t="s">
        <v>94</v>
      </c>
      <c r="B10" s="28" t="s">
        <v>342</v>
      </c>
      <c r="C10" s="28" t="s">
        <v>95</v>
      </c>
      <c r="D10" s="19" t="s">
        <v>1344</v>
      </c>
      <c r="E10" s="19" t="s">
        <v>1675</v>
      </c>
      <c r="F10" s="19" t="s">
        <v>1676</v>
      </c>
      <c r="G10" s="19" t="s">
        <v>1677</v>
      </c>
      <c r="H10" s="19" t="s">
        <v>1678</v>
      </c>
    </row>
    <row r="11">
      <c r="A11" s="51" t="s">
        <v>103</v>
      </c>
      <c r="B11" s="28" t="s">
        <v>1108</v>
      </c>
      <c r="C11" s="28" t="s">
        <v>104</v>
      </c>
      <c r="D11" s="19" t="s">
        <v>1454</v>
      </c>
      <c r="E11" s="19" t="s">
        <v>1679</v>
      </c>
      <c r="F11" s="19" t="s">
        <v>1680</v>
      </c>
      <c r="G11" s="19" t="s">
        <v>1681</v>
      </c>
      <c r="H11" s="19" t="s">
        <v>1662</v>
      </c>
    </row>
    <row r="12">
      <c r="A12" s="51" t="s">
        <v>106</v>
      </c>
      <c r="B12" s="28" t="s">
        <v>304</v>
      </c>
      <c r="C12" s="28" t="s">
        <v>107</v>
      </c>
      <c r="D12" s="19" t="s">
        <v>1454</v>
      </c>
      <c r="E12" s="19" t="s">
        <v>1682</v>
      </c>
      <c r="F12" s="19" t="s">
        <v>1683</v>
      </c>
      <c r="G12" s="19" t="s">
        <v>1684</v>
      </c>
      <c r="H12" s="19" t="s">
        <v>1685</v>
      </c>
    </row>
    <row r="13">
      <c r="A13" s="51" t="s">
        <v>112</v>
      </c>
      <c r="B13" s="28" t="s">
        <v>651</v>
      </c>
      <c r="C13" s="28" t="s">
        <v>113</v>
      </c>
      <c r="D13" s="19" t="s">
        <v>3</v>
      </c>
    </row>
    <row r="14">
      <c r="A14" s="51" t="s">
        <v>115</v>
      </c>
      <c r="B14" s="28" t="s">
        <v>732</v>
      </c>
      <c r="C14" s="28" t="s">
        <v>116</v>
      </c>
      <c r="D14" s="19" t="s">
        <v>3</v>
      </c>
    </row>
    <row r="15">
      <c r="A15" s="13"/>
      <c r="B15" s="13"/>
    </row>
    <row r="16">
      <c r="A16" s="13"/>
      <c r="B16" s="13"/>
    </row>
    <row r="17">
      <c r="A17" s="13"/>
      <c r="B17" s="13"/>
    </row>
    <row r="18">
      <c r="A18" s="13"/>
      <c r="B18" s="13"/>
    </row>
    <row r="19">
      <c r="A19" s="13"/>
      <c r="B19" s="13"/>
    </row>
    <row r="20">
      <c r="A20" s="13"/>
      <c r="B20" s="13"/>
    </row>
    <row r="44">
      <c r="A44" s="16"/>
    </row>
    <row r="48">
      <c r="A48" s="16"/>
    </row>
    <row r="103">
      <c r="A103" s="16"/>
    </row>
    <row r="182">
      <c r="A182" s="16"/>
    </row>
    <row r="185">
      <c r="A185" s="16"/>
    </row>
    <row r="193">
      <c r="A193" s="16"/>
    </row>
    <row r="195">
      <c r="A195" s="13"/>
      <c r="B195" s="13"/>
    </row>
    <row r="196">
      <c r="A196" s="13"/>
      <c r="B196" s="13"/>
    </row>
    <row r="197">
      <c r="A197" s="13"/>
      <c r="B197" s="13"/>
    </row>
    <row r="221">
      <c r="A221" s="16"/>
    </row>
    <row r="223">
      <c r="A223" s="15"/>
      <c r="B223" s="13"/>
    </row>
    <row r="224">
      <c r="A224" s="15"/>
      <c r="B224" s="13"/>
    </row>
    <row r="225">
      <c r="A225" s="13"/>
      <c r="B225" s="13"/>
    </row>
    <row r="226">
      <c r="A226" s="13"/>
      <c r="B226" s="13"/>
    </row>
    <row r="230">
      <c r="A230" s="16"/>
    </row>
    <row r="240">
      <c r="A240" s="13"/>
      <c r="B240" s="13"/>
    </row>
    <row r="241">
      <c r="A241" s="16"/>
    </row>
    <row r="276">
      <c r="A276" s="13"/>
      <c r="B276" s="13"/>
    </row>
    <row r="281">
      <c r="A281" s="13"/>
      <c r="B281" s="13"/>
    </row>
    <row r="282">
      <c r="A282" s="13"/>
      <c r="B282" s="13"/>
    </row>
    <row r="283">
      <c r="A283" s="13"/>
      <c r="B283" s="13"/>
    </row>
    <row r="284">
      <c r="A284" s="13"/>
      <c r="B284" s="13"/>
    </row>
    <row r="285">
      <c r="A285" s="13"/>
      <c r="B285" s="13"/>
    </row>
    <row r="286">
      <c r="A286" s="13"/>
      <c r="B286" s="13"/>
    </row>
    <row r="297">
      <c r="C297" s="52"/>
      <c r="D297" s="52"/>
      <c r="E297" s="52"/>
    </row>
    <row r="312">
      <c r="A312" s="13"/>
      <c r="B312" s="13"/>
    </row>
    <row r="323">
      <c r="A323" s="13"/>
      <c r="B323" s="13"/>
    </row>
    <row r="327">
      <c r="A327" s="16"/>
    </row>
    <row r="330">
      <c r="A330" s="16"/>
    </row>
    <row r="331">
      <c r="A331" s="13"/>
      <c r="B331" s="13"/>
    </row>
    <row r="332">
      <c r="A332" s="16"/>
    </row>
    <row r="348">
      <c r="A348" s="13"/>
      <c r="B348" s="13"/>
    </row>
  </sheetData>
  <conditionalFormatting sqref="A1:A20 B1:B2 B15:B20">
    <cfRule type="cellIs" dxfId="0" priority="1" operator="equal">
      <formula>"TRUE"</formula>
    </cfRule>
  </conditionalFormatting>
  <conditionalFormatting sqref="A1:A20 B1:B2 B15:B20">
    <cfRule type="cellIs" dxfId="1" priority="2" operator="equal">
      <formula>"FALSE"</formula>
    </cfRule>
  </conditionalFormatting>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s>
  <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3"/>
    <col customWidth="1" min="4" max="4" width="11.88"/>
    <col customWidth="1" min="5" max="5" width="14.13"/>
  </cols>
  <sheetData>
    <row r="1">
      <c r="A1" s="13" t="s">
        <v>0</v>
      </c>
      <c r="B1" s="13" t="s">
        <v>1686</v>
      </c>
      <c r="C1" s="19" t="s">
        <v>1687</v>
      </c>
      <c r="D1" s="19" t="s">
        <v>1613</v>
      </c>
      <c r="E1" s="13" t="s">
        <v>1614</v>
      </c>
      <c r="F1" s="13" t="s">
        <v>1688</v>
      </c>
      <c r="G1" s="19" t="s">
        <v>1689</v>
      </c>
      <c r="H1" s="19" t="s">
        <v>1690</v>
      </c>
    </row>
    <row r="2">
      <c r="A2" s="53" t="str">
        <f>'INCEXC A'!A2</f>
        <v>https://doi.org/10.1007/978-3-642-24322-6_15</v>
      </c>
      <c r="B2" s="13" t="str">
        <f>'INCEXC A'!B2</f>
        <v>10.1007/978-3-642-24322-6_15</v>
      </c>
      <c r="C2" s="28" t="str">
        <f t="shared" ref="C2:C51" si="1">'INC/EXC B'!B2</f>
        <v>#REF!</v>
      </c>
      <c r="D2" s="28" t="str">
        <f>'INCEXC A'!D2</f>
        <v>Jonathan</v>
      </c>
      <c r="E2" s="13" t="str">
        <f t="shared" ref="E2:E51" si="2">'INC/EXC B'!C2</f>
        <v>#REF!</v>
      </c>
      <c r="F2" s="13" t="str">
        <f>'INCEXC A'!E2</f>
        <v>Exclude</v>
      </c>
      <c r="G2" s="28" t="str">
        <f t="shared" ref="G2:G51" si="3">'INC/EXC B'!D2</f>
        <v>#REF!</v>
      </c>
      <c r="H2" s="28" t="str">
        <f t="shared" ref="H2:H51" si="4">G2=F2</f>
        <v>#REF!</v>
      </c>
    </row>
    <row r="3">
      <c r="A3" s="53" t="str">
        <f>'INCEXC A'!A3</f>
        <v>https://doi.org/10.1007/978-3-642-24322-6_16</v>
      </c>
      <c r="B3" s="13" t="str">
        <f>'INCEXC A'!B3</f>
        <v>10.1007/978-3-642-24322-6_16</v>
      </c>
      <c r="C3" s="28" t="str">
        <f t="shared" si="1"/>
        <v>#REF!</v>
      </c>
      <c r="D3" s="28" t="str">
        <f>'INCEXC A'!D3</f>
        <v>Marilyn</v>
      </c>
      <c r="E3" s="13" t="str">
        <f t="shared" si="2"/>
        <v>#REF!</v>
      </c>
      <c r="F3" s="13" t="str">
        <f>'INCEXC A'!E3</f>
        <v>Exclude</v>
      </c>
      <c r="G3" s="28" t="str">
        <f t="shared" si="3"/>
        <v>#REF!</v>
      </c>
      <c r="H3" s="28" t="str">
        <f t="shared" si="4"/>
        <v>#REF!</v>
      </c>
    </row>
    <row r="4">
      <c r="A4" s="53" t="str">
        <f>'INCEXC A'!A4</f>
        <v>https://doi.org/10.1007/978-3-642-24322-6_19</v>
      </c>
      <c r="B4" s="13" t="str">
        <f>'INCEXC A'!B4</f>
        <v>10.1007/978-3-642-24322-6_19</v>
      </c>
      <c r="C4" s="28" t="str">
        <f t="shared" si="1"/>
        <v>#REF!</v>
      </c>
      <c r="D4" s="28" t="str">
        <f>'INCEXC A'!D4</f>
        <v>Marilyn</v>
      </c>
      <c r="E4" s="13" t="str">
        <f t="shared" si="2"/>
        <v>#REF!</v>
      </c>
      <c r="F4" s="13" t="str">
        <f>'INCEXC A'!E4</f>
        <v>Exclude</v>
      </c>
      <c r="G4" s="28" t="str">
        <f t="shared" si="3"/>
        <v>#REF!</v>
      </c>
      <c r="H4" s="28" t="str">
        <f t="shared" si="4"/>
        <v>#REF!</v>
      </c>
    </row>
    <row r="5">
      <c r="A5" s="53" t="str">
        <f>'INCEXC A'!A5</f>
        <v>https://ieeexplore.ieee.org/stamp/stamp.jsp?arnumber=8372225</v>
      </c>
      <c r="B5" s="13" t="str">
        <f>'INCEXC A'!B5</f>
        <v>10.1049/cp.2016.1548</v>
      </c>
      <c r="C5" s="28" t="str">
        <f t="shared" si="1"/>
        <v>#REF!</v>
      </c>
      <c r="D5" s="28" t="str">
        <f>'INCEXC A'!D5</f>
        <v>Marilyn</v>
      </c>
      <c r="E5" s="13" t="str">
        <f t="shared" si="2"/>
        <v>#REF!</v>
      </c>
      <c r="F5" s="13" t="str">
        <f>'INCEXC A'!E5</f>
        <v>Exclude</v>
      </c>
      <c r="G5" s="28" t="str">
        <f t="shared" si="3"/>
        <v>#REF!</v>
      </c>
      <c r="H5" s="28" t="str">
        <f t="shared" si="4"/>
        <v>#REF!</v>
      </c>
    </row>
    <row r="6">
      <c r="A6" s="53" t="str">
        <f>'INCEXC A'!A6</f>
        <v>https://ieeexplore.ieee.org/stamp/stamp.jsp?arnumber=735370</v>
      </c>
      <c r="B6" s="13" t="str">
        <f>'INCEXC A'!B6</f>
        <v>10.1109/47.735370</v>
      </c>
      <c r="C6" s="28" t="str">
        <f t="shared" si="1"/>
        <v>#REF!</v>
      </c>
      <c r="D6" s="28" t="str">
        <f>'INCEXC A'!D6</f>
        <v>Jonathan</v>
      </c>
      <c r="E6" s="13" t="str">
        <f t="shared" si="2"/>
        <v>#REF!</v>
      </c>
      <c r="F6" s="13" t="str">
        <f>'INCEXC A'!E6</f>
        <v>Exclude</v>
      </c>
      <c r="G6" s="28" t="str">
        <f t="shared" si="3"/>
        <v>#REF!</v>
      </c>
      <c r="H6" s="28" t="str">
        <f t="shared" si="4"/>
        <v>#REF!</v>
      </c>
    </row>
    <row r="7">
      <c r="A7" s="53" t="str">
        <f>'INCEXC A'!A7</f>
        <v>https://ieeexplore.ieee.org/stamp/stamp.jsp?arnumber=11467909</v>
      </c>
      <c r="B7" s="13" t="str">
        <f>'INCEXC A'!B7</f>
        <v>10.1109/ACDSA67686.2026.11467909</v>
      </c>
      <c r="C7" s="28" t="str">
        <f t="shared" si="1"/>
        <v>#REF!</v>
      </c>
      <c r="D7" s="28" t="str">
        <f>'INCEXC A'!D7</f>
        <v>Marilyn</v>
      </c>
      <c r="E7" s="13" t="str">
        <f t="shared" si="2"/>
        <v>#REF!</v>
      </c>
      <c r="F7" s="13" t="str">
        <f>'INCEXC A'!E7</f>
        <v>Include</v>
      </c>
      <c r="G7" s="28" t="str">
        <f t="shared" si="3"/>
        <v>#REF!</v>
      </c>
      <c r="H7" s="28" t="str">
        <f t="shared" si="4"/>
        <v>#REF!</v>
      </c>
    </row>
    <row r="8">
      <c r="A8" s="53" t="str">
        <f>'INCEXC A'!A8</f>
        <v>https://ieeexplore.ieee.org/stamp/stamp.jsp?arnumber=10771051</v>
      </c>
      <c r="B8" s="13" t="str">
        <f>'INCEXC A'!B8</f>
        <v>10.1109/AIxSET62544.2024.00047</v>
      </c>
      <c r="C8" s="28" t="str">
        <f t="shared" si="1"/>
        <v>#REF!</v>
      </c>
      <c r="D8" s="28" t="str">
        <f>'INCEXC A'!D8</f>
        <v>Kaiser</v>
      </c>
      <c r="E8" s="13" t="str">
        <f t="shared" si="2"/>
        <v>#REF!</v>
      </c>
      <c r="F8" s="13" t="str">
        <f>'INCEXC A'!E8</f>
        <v>Exclude</v>
      </c>
      <c r="G8" s="28" t="str">
        <f t="shared" si="3"/>
        <v>#REF!</v>
      </c>
      <c r="H8" s="28" t="str">
        <f t="shared" si="4"/>
        <v>#REF!</v>
      </c>
    </row>
    <row r="9">
      <c r="A9" s="53" t="str">
        <f>'INCEXC A'!A9</f>
        <v>https://ieeexplore.ieee.org/stamp/stamp.jsp?arnumber=11449950</v>
      </c>
      <c r="B9" s="13" t="str">
        <f>'INCEXC A'!B9</f>
        <v>10.1109/AIxVR67263.2026.00026</v>
      </c>
      <c r="C9" s="28" t="str">
        <f t="shared" si="1"/>
        <v>#REF!</v>
      </c>
      <c r="D9" s="28" t="str">
        <f>'INCEXC A'!D9</f>
        <v>Kaiser</v>
      </c>
      <c r="E9" s="13" t="str">
        <f t="shared" si="2"/>
        <v>#REF!</v>
      </c>
      <c r="F9" s="13" t="str">
        <f>'INCEXC A'!E9</f>
        <v>Include</v>
      </c>
      <c r="G9" s="28" t="str">
        <f t="shared" si="3"/>
        <v>#REF!</v>
      </c>
      <c r="H9" s="28" t="str">
        <f t="shared" si="4"/>
        <v>#REF!</v>
      </c>
    </row>
    <row r="10">
      <c r="A10" s="53" t="str">
        <f>'INCEXC A'!A10</f>
        <v>https://ieeexplore.ieee.org/stamp/stamp.jsp?arnumber=11334577</v>
      </c>
      <c r="B10" s="13" t="str">
        <f>'INCEXC A'!B10</f>
        <v>10.1109/ASE63991.2025.00043</v>
      </c>
      <c r="C10" s="28" t="str">
        <f t="shared" si="1"/>
        <v>#REF!</v>
      </c>
      <c r="D10" s="28" t="str">
        <f>'INCEXC A'!D10</f>
        <v>Kaiser</v>
      </c>
      <c r="E10" s="13" t="str">
        <f t="shared" si="2"/>
        <v>#REF!</v>
      </c>
      <c r="F10" s="13" t="str">
        <f>'INCEXC A'!E10</f>
        <v>Exclude</v>
      </c>
      <c r="G10" s="28" t="str">
        <f t="shared" si="3"/>
        <v>#REF!</v>
      </c>
      <c r="H10" s="28" t="str">
        <f t="shared" si="4"/>
        <v>#REF!</v>
      </c>
    </row>
    <row r="11">
      <c r="A11" s="53" t="str">
        <f>'INCEXC A'!A11</f>
        <v>https://ieeexplore.ieee.org/stamp/stamp.jsp?arnumber=9381292</v>
      </c>
      <c r="B11" s="13" t="str">
        <f>'INCEXC A'!B11</f>
        <v>10.1109/ASONAM49781.2020.9381292</v>
      </c>
      <c r="C11" s="28" t="str">
        <f t="shared" si="1"/>
        <v>#REF!</v>
      </c>
      <c r="D11" s="28" t="str">
        <f>'INCEXC A'!D11</f>
        <v>Jonathan</v>
      </c>
      <c r="E11" s="13" t="str">
        <f t="shared" si="2"/>
        <v>#REF!</v>
      </c>
      <c r="F11" s="13" t="str">
        <f>'INCEXC A'!E11</f>
        <v>Exclude</v>
      </c>
      <c r="G11" s="28" t="str">
        <f t="shared" si="3"/>
        <v>#REF!</v>
      </c>
      <c r="H11" s="28" t="str">
        <f t="shared" si="4"/>
        <v>#REF!</v>
      </c>
    </row>
    <row r="12">
      <c r="A12" s="53" t="str">
        <f>'INCEXC A'!A12</f>
        <v>https://doi.org/10.1109/ASONAM49781.2020.9381292</v>
      </c>
      <c r="B12" s="13" t="str">
        <f>'INCEXC A'!B12</f>
        <v>10.1109/asonam49781.2020.9381292</v>
      </c>
      <c r="C12" s="28" t="str">
        <f t="shared" si="1"/>
        <v>#REF!</v>
      </c>
      <c r="D12" s="28" t="str">
        <f>'INCEXC A'!D12</f>
        <v>Marilyn</v>
      </c>
      <c r="E12" s="13" t="str">
        <f t="shared" si="2"/>
        <v>#REF!</v>
      </c>
      <c r="F12" s="13" t="str">
        <f>'INCEXC A'!E12</f>
        <v>Exclude</v>
      </c>
      <c r="G12" s="28" t="str">
        <f t="shared" si="3"/>
        <v>#REF!</v>
      </c>
      <c r="H12" s="28" t="str">
        <f t="shared" si="4"/>
        <v>#REF!</v>
      </c>
    </row>
    <row r="13">
      <c r="A13" s="53" t="str">
        <f>'INCEXC A'!A13</f>
        <v>https://ieeexplore.ieee.org/stamp/stamp.jsp?arnumber=10825538</v>
      </c>
      <c r="B13" s="13" t="str">
        <f>'INCEXC A'!B13</f>
        <v>10.1109/BigData62323.2024.10825538</v>
      </c>
      <c r="C13" s="28" t="str">
        <f t="shared" si="1"/>
        <v>#REF!</v>
      </c>
      <c r="D13" s="28" t="str">
        <f>'INCEXC A'!D13</f>
        <v>Kaiser</v>
      </c>
      <c r="E13" s="13" t="str">
        <f t="shared" si="2"/>
        <v>#REF!</v>
      </c>
      <c r="F13" s="13" t="str">
        <f>'INCEXC A'!E13</f>
        <v>Include</v>
      </c>
      <c r="G13" s="28" t="str">
        <f t="shared" si="3"/>
        <v>#REF!</v>
      </c>
      <c r="H13" s="28" t="str">
        <f t="shared" si="4"/>
        <v>#REF!</v>
      </c>
    </row>
    <row r="14">
      <c r="A14" s="53" t="str">
        <f>'INCEXC A'!A14</f>
        <v>https://ieeexplore.ieee.org/stamp/stamp.jsp?arnumber=11400739</v>
      </c>
      <c r="B14" s="13" t="str">
        <f>'INCEXC A'!B14</f>
        <v>10.1109/BigData66926.2025.11400739</v>
      </c>
      <c r="C14" s="28" t="str">
        <f t="shared" si="1"/>
        <v>#REF!</v>
      </c>
      <c r="D14" s="28" t="str">
        <f>'INCEXC A'!D14</f>
        <v>Kaiser</v>
      </c>
      <c r="E14" s="13" t="str">
        <f t="shared" si="2"/>
        <v>#REF!</v>
      </c>
      <c r="F14" s="13" t="str">
        <f>'INCEXC A'!E14</f>
        <v>Exclude</v>
      </c>
      <c r="G14" s="28" t="str">
        <f t="shared" si="3"/>
        <v>#REF!</v>
      </c>
      <c r="H14" s="28" t="str">
        <f t="shared" si="4"/>
        <v>#REF!</v>
      </c>
    </row>
    <row r="15">
      <c r="A15" s="53" t="str">
        <f>'INCEXC A'!A15</f>
        <v>https://doi.org/10.1109/CCGrid.2012.84</v>
      </c>
      <c r="B15" s="13" t="str">
        <f>'INCEXC A'!B15</f>
        <v>10.1109/ccgrid.2012.84</v>
      </c>
      <c r="C15" s="28" t="str">
        <f t="shared" si="1"/>
        <v>#REF!</v>
      </c>
      <c r="D15" s="28" t="str">
        <f>'INCEXC A'!D15</f>
        <v>Marilyn</v>
      </c>
      <c r="E15" s="13" t="str">
        <f t="shared" si="2"/>
        <v>#REF!</v>
      </c>
      <c r="F15" s="13" t="str">
        <f>'INCEXC A'!E15</f>
        <v>Exclude</v>
      </c>
      <c r="G15" s="28" t="str">
        <f t="shared" si="3"/>
        <v>#REF!</v>
      </c>
      <c r="H15" s="28" t="str">
        <f t="shared" si="4"/>
        <v>#REF!</v>
      </c>
    </row>
    <row r="16">
      <c r="A16" s="53" t="str">
        <f>'INCEXC A'!A16</f>
        <v>https://doi.org/10.1109/CCGrid.2015.115</v>
      </c>
      <c r="B16" s="13" t="str">
        <f>'INCEXC A'!B16</f>
        <v>10.1109/ccgrid.2015.115</v>
      </c>
      <c r="C16" s="28" t="str">
        <f t="shared" si="1"/>
        <v>#REF!</v>
      </c>
      <c r="D16" s="28" t="str">
        <f>'INCEXC A'!D16</f>
        <v>Jonathan</v>
      </c>
      <c r="E16" s="13" t="str">
        <f t="shared" si="2"/>
        <v>#REF!</v>
      </c>
      <c r="F16" s="13" t="str">
        <f>'INCEXC A'!E16</f>
        <v>Exclude</v>
      </c>
      <c r="G16" s="28" t="str">
        <f t="shared" si="3"/>
        <v>#REF!</v>
      </c>
      <c r="H16" s="28" t="str">
        <f t="shared" si="4"/>
        <v>#REF!</v>
      </c>
    </row>
    <row r="17">
      <c r="A17" s="53" t="str">
        <f>'INCEXC A'!A17</f>
        <v>https://doi.org/10.1109/CCGrid.2015.150</v>
      </c>
      <c r="B17" s="13" t="str">
        <f>'INCEXC A'!B17</f>
        <v>10.1109/ccgrid.2015.150</v>
      </c>
      <c r="C17" s="28" t="str">
        <f t="shared" si="1"/>
        <v>#REF!</v>
      </c>
      <c r="D17" s="28" t="str">
        <f>'INCEXC A'!D17</f>
        <v>Jonathan</v>
      </c>
      <c r="E17" s="13" t="str">
        <f t="shared" si="2"/>
        <v>#REF!</v>
      </c>
      <c r="F17" s="13" t="str">
        <f>'INCEXC A'!E17</f>
        <v>Exclude</v>
      </c>
      <c r="G17" s="28" t="str">
        <f t="shared" si="3"/>
        <v>#REF!</v>
      </c>
      <c r="H17" s="28" t="str">
        <f t="shared" si="4"/>
        <v>#REF!</v>
      </c>
    </row>
    <row r="18">
      <c r="A18" s="53" t="str">
        <f>'INCEXC A'!A18</f>
        <v>https://doi.org/10.1109/CCGRID.2017.49</v>
      </c>
      <c r="B18" s="13" t="str">
        <f>'INCEXC A'!B18</f>
        <v>10.1109/ccgrid.2017.49</v>
      </c>
      <c r="C18" s="28" t="str">
        <f t="shared" si="1"/>
        <v>#REF!</v>
      </c>
      <c r="D18" s="28" t="str">
        <f>'INCEXC A'!D18</f>
        <v>Kaiser</v>
      </c>
      <c r="E18" s="13" t="str">
        <f t="shared" si="2"/>
        <v>#REF!</v>
      </c>
      <c r="F18" s="13" t="str">
        <f>'INCEXC A'!E18</f>
        <v>Exclude</v>
      </c>
      <c r="G18" s="28" t="str">
        <f t="shared" si="3"/>
        <v>#REF!</v>
      </c>
      <c r="H18" s="28" t="str">
        <f t="shared" si="4"/>
        <v>#REF!</v>
      </c>
    </row>
    <row r="19">
      <c r="A19" s="53" t="str">
        <f>'INCEXC A'!A19</f>
        <v>https://ieeexplore.ieee.org/stamp/stamp.jsp?arnumber=1554950</v>
      </c>
      <c r="B19" s="13" t="str">
        <f>'INCEXC A'!B19</f>
        <v>10.1109/CEC.2005.1554950</v>
      </c>
      <c r="C19" s="28" t="str">
        <f t="shared" si="1"/>
        <v>#REF!</v>
      </c>
      <c r="D19" s="28" t="str">
        <f>'INCEXC A'!D19</f>
        <v>Jonathan</v>
      </c>
      <c r="E19" s="13" t="str">
        <f t="shared" si="2"/>
        <v>#REF!</v>
      </c>
      <c r="F19" s="13" t="str">
        <f>'INCEXC A'!E19</f>
        <v>Exclude</v>
      </c>
      <c r="G19" s="28" t="str">
        <f t="shared" si="3"/>
        <v>#REF!</v>
      </c>
      <c r="H19" s="28" t="str">
        <f t="shared" si="4"/>
        <v>#REF!</v>
      </c>
    </row>
    <row r="20">
      <c r="A20" s="53" t="str">
        <f>'INCEXC A'!A20</f>
        <v>https://ieeexplore.ieee.org/stamp/stamp.jsp?arnumber=11519295</v>
      </c>
      <c r="B20" s="13" t="str">
        <f>'INCEXC A'!B20</f>
        <v>10.1109/GAIIS69281.2026.11519295</v>
      </c>
      <c r="C20" s="28" t="str">
        <f t="shared" si="1"/>
        <v>#REF!</v>
      </c>
      <c r="D20" s="28" t="str">
        <f>'INCEXC A'!D20</f>
        <v>Jonathan</v>
      </c>
      <c r="E20" s="13" t="str">
        <f t="shared" si="2"/>
        <v>#REF!</v>
      </c>
      <c r="F20" s="13" t="str">
        <f>'INCEXC A'!E20</f>
        <v>Exclude</v>
      </c>
      <c r="G20" s="28" t="str">
        <f t="shared" si="3"/>
        <v>#REF!</v>
      </c>
      <c r="H20" s="28" t="str">
        <f t="shared" si="4"/>
        <v>#REF!</v>
      </c>
    </row>
    <row r="21">
      <c r="A21" s="53" t="str">
        <f>'INCEXC A'!A21</f>
        <v>https://ieeexplore.ieee.org/stamp/stamp.jsp?arnumber=10585495</v>
      </c>
      <c r="B21" s="13" t="str">
        <f>'INCEXC A'!B21</f>
        <v>10.1109/GEM61861.2024.10585495</v>
      </c>
      <c r="C21" s="28" t="str">
        <f t="shared" si="1"/>
        <v>#REF!</v>
      </c>
      <c r="D21" s="28" t="str">
        <f>'INCEXC A'!D21</f>
        <v>Marilyn</v>
      </c>
      <c r="E21" s="13" t="str">
        <f t="shared" si="2"/>
        <v>#REF!</v>
      </c>
      <c r="F21" s="13" t="str">
        <f>'INCEXC A'!E21</f>
        <v>Exclude</v>
      </c>
      <c r="G21" s="28" t="str">
        <f t="shared" si="3"/>
        <v>#REF!</v>
      </c>
      <c r="H21" s="28" t="str">
        <f t="shared" si="4"/>
        <v>#REF!</v>
      </c>
    </row>
    <row r="22">
      <c r="A22" s="53" t="str">
        <f>'INCEXC A'!A22</f>
        <v>https://ieeexplore.ieee.org/stamp/stamp.jsp?arnumber=10590666</v>
      </c>
      <c r="B22" s="13" t="str">
        <f>'INCEXC A'!B22</f>
        <v>10.1109/HPSC62738.2024.00012</v>
      </c>
      <c r="C22" s="28" t="str">
        <f t="shared" si="1"/>
        <v>#REF!</v>
      </c>
      <c r="D22" s="28" t="str">
        <f>'INCEXC A'!D22</f>
        <v>Marilyn</v>
      </c>
      <c r="E22" s="13" t="str">
        <f t="shared" si="2"/>
        <v>#REF!</v>
      </c>
      <c r="F22" s="13" t="str">
        <f>'INCEXC A'!E22</f>
        <v>Exclude</v>
      </c>
      <c r="G22" s="28" t="str">
        <f t="shared" si="3"/>
        <v>#REF!</v>
      </c>
      <c r="H22" s="28" t="str">
        <f t="shared" si="4"/>
        <v>#REF!</v>
      </c>
    </row>
    <row r="23">
      <c r="A23" s="53" t="str">
        <f>'INCEXC A'!A23</f>
        <v>https://ieeexplore.ieee.org/stamp/stamp.jsp?arnumber=11508939</v>
      </c>
      <c r="B23" s="13" t="str">
        <f>'INCEXC A'!B23</f>
        <v>10.1109/ICAACE69793.2026.11508939</v>
      </c>
      <c r="C23" s="28" t="str">
        <f t="shared" si="1"/>
        <v>#REF!</v>
      </c>
      <c r="D23" s="28" t="str">
        <f>'INCEXC A'!D23</f>
        <v>Jonathan</v>
      </c>
      <c r="E23" s="13" t="str">
        <f t="shared" si="2"/>
        <v>#REF!</v>
      </c>
      <c r="F23" s="13" t="str">
        <f>'INCEXC A'!E23</f>
        <v>Exclude</v>
      </c>
      <c r="G23" s="28" t="str">
        <f t="shared" si="3"/>
        <v>#REF!</v>
      </c>
      <c r="H23" s="28" t="str">
        <f t="shared" si="4"/>
        <v>#REF!</v>
      </c>
    </row>
    <row r="24">
      <c r="A24" s="53" t="str">
        <f>'INCEXC A'!A24</f>
        <v>https://ieeexplore.ieee.org/stamp/stamp.jsp?arnumber=11460702</v>
      </c>
      <c r="B24" s="13" t="str">
        <f>'INCEXC A'!B24</f>
        <v>10.1109/ICASSP55912.2026.11460702</v>
      </c>
      <c r="C24" s="28" t="str">
        <f t="shared" si="1"/>
        <v>#REF!</v>
      </c>
      <c r="D24" s="28" t="str">
        <f>'INCEXC A'!D24</f>
        <v>Jonathan</v>
      </c>
      <c r="E24" s="13" t="str">
        <f t="shared" si="2"/>
        <v>#REF!</v>
      </c>
      <c r="F24" s="13" t="str">
        <f>'INCEXC A'!E24</f>
        <v>Include</v>
      </c>
      <c r="G24" s="28" t="str">
        <f t="shared" si="3"/>
        <v>#REF!</v>
      </c>
      <c r="H24" s="28" t="str">
        <f t="shared" si="4"/>
        <v>#REF!</v>
      </c>
    </row>
    <row r="25">
      <c r="A25" s="53" t="str">
        <f>'INCEXC A'!A25</f>
        <v>https://ieeexplore.ieee.org/stamp/stamp.jsp?arnumber=11462217</v>
      </c>
      <c r="B25" s="13" t="str">
        <f>'INCEXC A'!B25</f>
        <v>10.1109/ICASSP55912.2026.11462217</v>
      </c>
      <c r="C25" s="28" t="str">
        <f t="shared" si="1"/>
        <v>#REF!</v>
      </c>
      <c r="D25" s="28" t="str">
        <f>'INCEXC A'!D25</f>
        <v>Kaiser</v>
      </c>
      <c r="E25" s="13" t="str">
        <f t="shared" si="2"/>
        <v>#REF!</v>
      </c>
      <c r="F25" s="13" t="str">
        <f>'INCEXC A'!E25</f>
        <v>Exclude</v>
      </c>
      <c r="G25" s="28" t="str">
        <f t="shared" si="3"/>
        <v>#REF!</v>
      </c>
      <c r="H25" s="28" t="str">
        <f t="shared" si="4"/>
        <v>#REF!</v>
      </c>
    </row>
    <row r="26">
      <c r="A26" s="53" t="str">
        <f>'INCEXC A'!A26</f>
        <v>https://ieeexplore.ieee.org/stamp/stamp.jsp?arnumber=5409737</v>
      </c>
      <c r="B26" s="13" t="str">
        <f>'INCEXC A'!B26</f>
        <v>10.1109/ICASTECH.2009.5409737</v>
      </c>
      <c r="C26" s="28" t="str">
        <f t="shared" si="1"/>
        <v>#REF!</v>
      </c>
      <c r="D26" s="28" t="str">
        <f>'INCEXC A'!D26</f>
        <v>Kaiser</v>
      </c>
      <c r="E26" s="13" t="str">
        <f t="shared" si="2"/>
        <v>#REF!</v>
      </c>
      <c r="F26" s="13" t="str">
        <f>'INCEXC A'!E26</f>
        <v>Exclude</v>
      </c>
      <c r="G26" s="28" t="str">
        <f t="shared" si="3"/>
        <v>#REF!</v>
      </c>
      <c r="H26" s="28" t="str">
        <f t="shared" si="4"/>
        <v>#REF!</v>
      </c>
    </row>
    <row r="27">
      <c r="A27" s="53" t="str">
        <f>'INCEXC A'!A27</f>
        <v>https://ieeexplore.ieee.org/stamp/stamp.jsp?arnumber=6056911</v>
      </c>
      <c r="B27" s="13" t="str">
        <f>'INCEXC A'!B27</f>
        <v>10.1109/ICECENG.2011.6056911</v>
      </c>
      <c r="C27" s="28" t="str">
        <f t="shared" si="1"/>
        <v>#REF!</v>
      </c>
      <c r="D27" s="28" t="str">
        <f>'INCEXC A'!D27</f>
        <v>Jonathan</v>
      </c>
      <c r="E27" s="13" t="str">
        <f t="shared" si="2"/>
        <v>#REF!</v>
      </c>
      <c r="F27" s="13" t="str">
        <f>'INCEXC A'!E27</f>
        <v>Exclude</v>
      </c>
      <c r="G27" s="28" t="str">
        <f t="shared" si="3"/>
        <v>#REF!</v>
      </c>
      <c r="H27" s="28" t="str">
        <f t="shared" si="4"/>
        <v>#REF!</v>
      </c>
    </row>
    <row r="28">
      <c r="A28" s="53" t="str">
        <f>'INCEXC A'!A28</f>
        <v>https://ieeexplore.ieee.org/stamp/stamp.jsp?arnumber=11521627</v>
      </c>
      <c r="B28" s="13" t="str">
        <f>'INCEXC A'!B28</f>
        <v>10.1109/ICEIT68991.2026.11521627</v>
      </c>
      <c r="C28" s="28" t="str">
        <f t="shared" si="1"/>
        <v>#REF!</v>
      </c>
      <c r="D28" s="28" t="str">
        <f>'INCEXC A'!D28</f>
        <v>Marilyn</v>
      </c>
      <c r="E28" s="13" t="str">
        <f t="shared" si="2"/>
        <v>#REF!</v>
      </c>
      <c r="F28" s="13" t="str">
        <f>'INCEXC A'!E28</f>
        <v>Exclude</v>
      </c>
      <c r="G28" s="28" t="str">
        <f t="shared" si="3"/>
        <v>#REF!</v>
      </c>
      <c r="H28" s="28" t="str">
        <f t="shared" si="4"/>
        <v>#REF!</v>
      </c>
    </row>
    <row r="29">
      <c r="A29" s="53" t="str">
        <f>'INCEXC A'!A29</f>
        <v>https://ieeexplore.ieee.org/stamp/stamp.jsp?arnumber=4299963</v>
      </c>
      <c r="B29" s="13" t="str">
        <f>'INCEXC A'!B29</f>
        <v>10.1109/ICSEA.2007.67</v>
      </c>
      <c r="C29" s="28" t="str">
        <f t="shared" si="1"/>
        <v>#REF!</v>
      </c>
      <c r="D29" s="28" t="str">
        <f>'INCEXC A'!D29</f>
        <v>Jonathan</v>
      </c>
      <c r="E29" s="13" t="str">
        <f t="shared" si="2"/>
        <v>#REF!</v>
      </c>
      <c r="F29" s="13" t="str">
        <f>'INCEXC A'!E29</f>
        <v>Exclude</v>
      </c>
      <c r="G29" s="28" t="str">
        <f t="shared" si="3"/>
        <v>#REF!</v>
      </c>
      <c r="H29" s="28" t="str">
        <f t="shared" si="4"/>
        <v>#REF!</v>
      </c>
    </row>
    <row r="30">
      <c r="A30" s="53" t="str">
        <f>'INCEXC A'!A30</f>
        <v>https://ieeexplore.ieee.org/stamp/stamp.jsp?arnumber=1431446</v>
      </c>
      <c r="B30" s="13" t="str">
        <f>'INCEXC A'!B30</f>
        <v>10.1109/IRI.2004.1431446</v>
      </c>
      <c r="C30" s="28" t="str">
        <f t="shared" si="1"/>
        <v>#REF!</v>
      </c>
      <c r="D30" s="28" t="str">
        <f>'INCEXC A'!D30</f>
        <v>Kaiser</v>
      </c>
      <c r="E30" s="13" t="str">
        <f t="shared" si="2"/>
        <v>#REF!</v>
      </c>
      <c r="F30" s="13" t="str">
        <f>'INCEXC A'!E30</f>
        <v>Exclude</v>
      </c>
      <c r="G30" s="28" t="str">
        <f t="shared" si="3"/>
        <v>#REF!</v>
      </c>
      <c r="H30" s="28" t="str">
        <f t="shared" si="4"/>
        <v>#REF!</v>
      </c>
    </row>
    <row r="31">
      <c r="A31" s="53" t="str">
        <f>'INCEXC A'!A31</f>
        <v>https://doi.org/10.1109/ISCA.2016.15</v>
      </c>
      <c r="B31" s="13" t="str">
        <f>'INCEXC A'!B31</f>
        <v>10.1109/isca.2016.15</v>
      </c>
      <c r="C31" s="28" t="str">
        <f t="shared" si="1"/>
        <v>#REF!</v>
      </c>
      <c r="D31" s="28" t="str">
        <f>'INCEXC A'!D31</f>
        <v>Marilyn</v>
      </c>
      <c r="E31" s="13" t="str">
        <f t="shared" si="2"/>
        <v>#REF!</v>
      </c>
      <c r="F31" s="13" t="str">
        <f>'INCEXC A'!E31</f>
        <v>Exclude</v>
      </c>
      <c r="G31" s="28" t="str">
        <f t="shared" si="3"/>
        <v>#REF!</v>
      </c>
      <c r="H31" s="28" t="str">
        <f t="shared" si="4"/>
        <v>#REF!</v>
      </c>
    </row>
    <row r="32">
      <c r="A32" s="53" t="str">
        <f>'INCEXC A'!A32</f>
        <v>https://ieeexplore.ieee.org/stamp/stamp.jsp?arnumber=11269633</v>
      </c>
      <c r="B32" s="13" t="str">
        <f>'INCEXC A'!B32</f>
        <v>10.1109/ISTAS65609.2025.11269633</v>
      </c>
      <c r="C32" s="28" t="str">
        <f t="shared" si="1"/>
        <v>#REF!</v>
      </c>
      <c r="D32" s="28" t="str">
        <f>'INCEXC A'!D32</f>
        <v>Marilyn</v>
      </c>
      <c r="E32" s="13" t="str">
        <f t="shared" si="2"/>
        <v>#REF!</v>
      </c>
      <c r="F32" s="13" t="str">
        <f>'INCEXC A'!E32</f>
        <v>Exclude</v>
      </c>
      <c r="G32" s="28" t="str">
        <f t="shared" si="3"/>
        <v>#REF!</v>
      </c>
      <c r="H32" s="28" t="str">
        <f t="shared" si="4"/>
        <v>#REF!</v>
      </c>
    </row>
    <row r="33">
      <c r="A33" s="53" t="str">
        <f>'INCEXC A'!A33</f>
        <v>https://ieeexplore.ieee.org/stamp/stamp.jsp?arnumber=4580542</v>
      </c>
      <c r="B33" s="13" t="str">
        <f>'INCEXC A'!B33</f>
        <v>10.1109/MIS.2008.55</v>
      </c>
      <c r="C33" s="28" t="str">
        <f t="shared" si="1"/>
        <v>#REF!</v>
      </c>
      <c r="D33" s="28" t="str">
        <f>'INCEXC A'!D33</f>
        <v>Kaiser</v>
      </c>
      <c r="E33" s="13" t="str">
        <f t="shared" si="2"/>
        <v>#REF!</v>
      </c>
      <c r="F33" s="13" t="str">
        <f>'INCEXC A'!E33</f>
        <v>Exclude</v>
      </c>
      <c r="G33" s="28" t="str">
        <f t="shared" si="3"/>
        <v>#REF!</v>
      </c>
      <c r="H33" s="28" t="str">
        <f t="shared" si="4"/>
        <v>#REF!</v>
      </c>
    </row>
    <row r="34">
      <c r="A34" s="53" t="str">
        <f>'INCEXC A'!A34</f>
        <v>https://ieeexplore.ieee.org/stamp/stamp.jsp?arnumber=11345775</v>
      </c>
      <c r="B34" s="13" t="str">
        <f>'INCEXC A'!B34</f>
        <v>10.1109/NKCon66957.2025.11345775</v>
      </c>
      <c r="C34" s="28" t="str">
        <f t="shared" si="1"/>
        <v>#REF!</v>
      </c>
      <c r="D34" s="28" t="str">
        <f>'INCEXC A'!D34</f>
        <v>Jonathan</v>
      </c>
      <c r="E34" s="13" t="str">
        <f t="shared" si="2"/>
        <v>#REF!</v>
      </c>
      <c r="F34" s="13" t="str">
        <f>'INCEXC A'!E34</f>
        <v>Exclude</v>
      </c>
      <c r="G34" s="28" t="str">
        <f t="shared" si="3"/>
        <v>#REF!</v>
      </c>
      <c r="H34" s="28" t="str">
        <f t="shared" si="4"/>
        <v>#REF!</v>
      </c>
    </row>
    <row r="35">
      <c r="A35" s="53" t="str">
        <f>'INCEXC A'!A35</f>
        <v>https://ieeexplore.ieee.org/stamp/stamp.jsp?arnumber=11037824</v>
      </c>
      <c r="B35" s="13" t="str">
        <f>'INCEXC A'!B35</f>
        <v>10.1109/OJCS.2025.3580498</v>
      </c>
      <c r="C35" s="28" t="str">
        <f t="shared" si="1"/>
        <v>#REF!</v>
      </c>
      <c r="D35" s="28" t="str">
        <f>'INCEXC A'!D35</f>
        <v>Kaiser</v>
      </c>
      <c r="E35" s="13" t="str">
        <f t="shared" si="2"/>
        <v>#REF!</v>
      </c>
      <c r="F35" s="13" t="str">
        <f>'INCEXC A'!E35</f>
        <v>Exclude</v>
      </c>
      <c r="G35" s="28" t="str">
        <f t="shared" si="3"/>
        <v>#REF!</v>
      </c>
      <c r="H35" s="28" t="str">
        <f t="shared" si="4"/>
        <v>#REF!</v>
      </c>
    </row>
    <row r="36">
      <c r="A36" s="53" t="str">
        <f>'INCEXC A'!A36</f>
        <v>https://ieeexplore.ieee.org/stamp/stamp.jsp?arnumber=11424465</v>
      </c>
      <c r="B36" s="13" t="str">
        <f>'INCEXC A'!B36</f>
        <v>10.1109/RAMS50514.2026.11424465</v>
      </c>
      <c r="C36" s="28" t="str">
        <f t="shared" si="1"/>
        <v>#REF!</v>
      </c>
      <c r="D36" s="28" t="str">
        <f>'INCEXC A'!D36</f>
        <v>Marilyn</v>
      </c>
      <c r="E36" s="13" t="str">
        <f t="shared" si="2"/>
        <v>#REF!</v>
      </c>
      <c r="F36" s="13" t="str">
        <f>'INCEXC A'!E36</f>
        <v>Exclude</v>
      </c>
      <c r="G36" s="28" t="str">
        <f t="shared" si="3"/>
        <v>#REF!</v>
      </c>
      <c r="H36" s="28" t="str">
        <f t="shared" si="4"/>
        <v>#REF!</v>
      </c>
    </row>
    <row r="37">
      <c r="A37" s="53" t="str">
        <f>'INCEXC A'!A37</f>
        <v>https://doi.org/10.1109/SCW63240.2024.00017</v>
      </c>
      <c r="B37" s="13" t="str">
        <f>'INCEXC A'!B37</f>
        <v>10.1109/SCW63240.2024.00017</v>
      </c>
      <c r="C37" s="28" t="str">
        <f t="shared" si="1"/>
        <v>#REF!</v>
      </c>
      <c r="D37" s="28" t="str">
        <f>'INCEXC A'!D37</f>
        <v>Jonathan</v>
      </c>
      <c r="E37" s="13" t="str">
        <f t="shared" si="2"/>
        <v>#REF!</v>
      </c>
      <c r="F37" s="13" t="str">
        <f>'INCEXC A'!E37</f>
        <v>Exclude</v>
      </c>
      <c r="G37" s="28" t="str">
        <f t="shared" si="3"/>
        <v>#REF!</v>
      </c>
      <c r="H37" s="28" t="str">
        <f t="shared" si="4"/>
        <v>#REF!</v>
      </c>
    </row>
    <row r="38">
      <c r="A38" s="53" t="str">
        <f>'INCEXC A'!A38</f>
        <v>https://ieeexplore.ieee.org/stamp/stamp.jsp?arnumber=10820709</v>
      </c>
      <c r="B38" s="13" t="str">
        <f>'INCEXC A'!B38</f>
        <v>10.1109/SCW63240.2024.00017</v>
      </c>
      <c r="C38" s="28" t="str">
        <f t="shared" si="1"/>
        <v>#REF!</v>
      </c>
      <c r="D38" s="28" t="str">
        <f>'INCEXC A'!D38</f>
        <v>Marilyn</v>
      </c>
      <c r="E38" s="13" t="str">
        <f t="shared" si="2"/>
        <v>#REF!</v>
      </c>
      <c r="F38" s="13" t="str">
        <f>'INCEXC A'!E38</f>
        <v>Include</v>
      </c>
      <c r="G38" s="28" t="str">
        <f t="shared" si="3"/>
        <v>#REF!</v>
      </c>
      <c r="H38" s="28" t="str">
        <f t="shared" si="4"/>
        <v>#REF!</v>
      </c>
    </row>
    <row r="39">
      <c r="A39" s="53" t="str">
        <f>'INCEXC A'!A39</f>
        <v>https://ieeexplore.ieee.org/stamp/stamp.jsp?arnumber=11531012</v>
      </c>
      <c r="B39" s="13" t="str">
        <f>'INCEXC A'!B39</f>
        <v>10.1109/TDSC.2026.3695553</v>
      </c>
      <c r="C39" s="28" t="str">
        <f t="shared" si="1"/>
        <v>#REF!</v>
      </c>
      <c r="D39" s="28" t="str">
        <f>'INCEXC A'!D39</f>
        <v>Kaiser</v>
      </c>
      <c r="E39" s="13" t="str">
        <f t="shared" si="2"/>
        <v>#REF!</v>
      </c>
      <c r="F39" s="13" t="str">
        <f>'INCEXC A'!E39</f>
        <v>Exclude</v>
      </c>
      <c r="G39" s="28" t="str">
        <f t="shared" si="3"/>
        <v>#REF!</v>
      </c>
      <c r="H39" s="28" t="str">
        <f t="shared" si="4"/>
        <v>#REF!</v>
      </c>
    </row>
    <row r="40">
      <c r="A40" s="53" t="str">
        <f>'INCEXC A'!A40</f>
        <v>https://ieeexplore.ieee.org/stamp/stamp.jsp?arnumber=5427110</v>
      </c>
      <c r="B40" s="13" t="str">
        <f>'INCEXC A'!B40</f>
        <v>10.1109/TEVC.2009.2021466</v>
      </c>
      <c r="C40" s="28" t="str">
        <f t="shared" si="1"/>
        <v>#REF!</v>
      </c>
      <c r="D40" s="28" t="str">
        <f>'INCEXC A'!D40</f>
        <v>Marilyn</v>
      </c>
      <c r="E40" s="13" t="str">
        <f t="shared" si="2"/>
        <v>#REF!</v>
      </c>
      <c r="F40" s="13" t="str">
        <f>'INCEXC A'!E40</f>
        <v>Exclude</v>
      </c>
      <c r="G40" s="28" t="str">
        <f t="shared" si="3"/>
        <v>#REF!</v>
      </c>
      <c r="H40" s="28" t="str">
        <f t="shared" si="4"/>
        <v>#REF!</v>
      </c>
    </row>
    <row r="41">
      <c r="A41" s="53" t="str">
        <f>'INCEXC A'!A41</f>
        <v>https://doi.org/10.1109/TNET.2017.2669215</v>
      </c>
      <c r="B41" s="13" t="str">
        <f>'INCEXC A'!B41</f>
        <v>10.1109/tnet.2017.2669215</v>
      </c>
      <c r="C41" s="28" t="str">
        <f t="shared" si="1"/>
        <v>#REF!</v>
      </c>
      <c r="D41" s="28" t="str">
        <f>'INCEXC A'!D41</f>
        <v>Marilyn</v>
      </c>
      <c r="E41" s="13" t="str">
        <f t="shared" si="2"/>
        <v>#REF!</v>
      </c>
      <c r="F41" s="13" t="str">
        <f>'INCEXC A'!E41</f>
        <v>Exclude</v>
      </c>
      <c r="G41" s="28" t="str">
        <f t="shared" si="3"/>
        <v>#REF!</v>
      </c>
      <c r="H41" s="28" t="str">
        <f t="shared" si="4"/>
        <v>#REF!</v>
      </c>
    </row>
    <row r="42">
      <c r="A42" s="53" t="str">
        <f>'INCEXC A'!A42</f>
        <v>https://ieeexplore.ieee.org/stamp/stamp.jsp?arnumber=11029593</v>
      </c>
      <c r="B42" s="13" t="str">
        <f>'INCEXC A'!B42</f>
        <v>10.1109/TTS.2025.3573875</v>
      </c>
      <c r="C42" s="28" t="str">
        <f t="shared" si="1"/>
        <v>#REF!</v>
      </c>
      <c r="D42" s="28" t="str">
        <f>'INCEXC A'!D42</f>
        <v>Marilyn</v>
      </c>
      <c r="E42" s="13" t="str">
        <f t="shared" si="2"/>
        <v>#REF!</v>
      </c>
      <c r="F42" s="13" t="str">
        <f>'INCEXC A'!E42</f>
        <v>Exclude</v>
      </c>
      <c r="G42" s="28" t="str">
        <f t="shared" si="3"/>
        <v>#REF!</v>
      </c>
      <c r="H42" s="28" t="str">
        <f t="shared" si="4"/>
        <v>#REF!</v>
      </c>
    </row>
    <row r="43">
      <c r="A43" s="53" t="str">
        <f>'INCEXC A'!A43</f>
        <v>https://ieeexplore.ieee.org/stamp/stamp.jsp?arnumber=11189226</v>
      </c>
      <c r="B43" s="13" t="str">
        <f>'INCEXC A'!B43</f>
        <v>10.1109/UV63228.2024.11189226</v>
      </c>
      <c r="C43" s="28" t="str">
        <f t="shared" si="1"/>
        <v>#REF!</v>
      </c>
      <c r="D43" s="28" t="str">
        <f>'INCEXC A'!D43</f>
        <v>Marilyn</v>
      </c>
      <c r="E43" s="13" t="str">
        <f t="shared" si="2"/>
        <v>#REF!</v>
      </c>
      <c r="F43" s="13" t="str">
        <f>'INCEXC A'!E43</f>
        <v>Exclude</v>
      </c>
      <c r="G43" s="28" t="str">
        <f t="shared" si="3"/>
        <v>#REF!</v>
      </c>
      <c r="H43" s="28" t="str">
        <f t="shared" si="4"/>
        <v>#REF!</v>
      </c>
    </row>
    <row r="44">
      <c r="A44" s="53" t="str">
        <f>'INCEXC A'!A44</f>
        <v>https://doi.org/10.1145/1037911.1037917</v>
      </c>
      <c r="B44" s="13" t="str">
        <f>'INCEXC A'!B44</f>
        <v>10.1145/1037911.1037917</v>
      </c>
      <c r="C44" s="28" t="str">
        <f t="shared" si="1"/>
        <v>#REF!</v>
      </c>
      <c r="D44" s="28" t="str">
        <f>'INCEXC A'!D44</f>
        <v>Marilyn</v>
      </c>
      <c r="E44" s="13" t="str">
        <f t="shared" si="2"/>
        <v>#REF!</v>
      </c>
      <c r="F44" s="13" t="str">
        <f>'INCEXC A'!E44</f>
        <v>Exclude</v>
      </c>
      <c r="G44" s="28" t="str">
        <f t="shared" si="3"/>
        <v>#REF!</v>
      </c>
      <c r="H44" s="28" t="str">
        <f t="shared" si="4"/>
        <v>#REF!</v>
      </c>
    </row>
    <row r="45">
      <c r="A45" s="53" t="str">
        <f>'INCEXC A'!A45</f>
        <v>https://doi.org/10.1145/1045264.1045265</v>
      </c>
      <c r="B45" s="13" t="str">
        <f>'INCEXC A'!B45</f>
        <v>10.1145/1045264.1045265</v>
      </c>
      <c r="C45" s="28" t="str">
        <f t="shared" si="1"/>
        <v>#REF!</v>
      </c>
      <c r="D45" s="28" t="str">
        <f>'INCEXC A'!D45</f>
        <v>Kaiser</v>
      </c>
      <c r="E45" s="13" t="str">
        <f t="shared" si="2"/>
        <v>#REF!</v>
      </c>
      <c r="F45" s="13" t="str">
        <f>'INCEXC A'!E45</f>
        <v>Exclude</v>
      </c>
      <c r="G45" s="28" t="str">
        <f t="shared" si="3"/>
        <v>#REF!</v>
      </c>
      <c r="H45" s="28" t="str">
        <f t="shared" si="4"/>
        <v>#REF!</v>
      </c>
    </row>
    <row r="46">
      <c r="A46" s="53" t="str">
        <f>'INCEXC A'!A46</f>
        <v>https://doi.org/10.1145/1088222.1088226</v>
      </c>
      <c r="B46" s="13" t="str">
        <f>'INCEXC A'!B46</f>
        <v>10.1145/1088222.1088226</v>
      </c>
      <c r="C46" s="28" t="str">
        <f t="shared" si="1"/>
        <v>#REF!</v>
      </c>
      <c r="D46" s="28" t="str">
        <f>'INCEXC A'!D46</f>
        <v>Kaiser</v>
      </c>
      <c r="E46" s="13" t="str">
        <f t="shared" si="2"/>
        <v>#REF!</v>
      </c>
      <c r="F46" s="13" t="str">
        <f>'INCEXC A'!E46</f>
        <v>Exclude</v>
      </c>
      <c r="G46" s="28" t="str">
        <f t="shared" si="3"/>
        <v>#REF!</v>
      </c>
      <c r="H46" s="28" t="str">
        <f t="shared" si="4"/>
        <v>#REF!</v>
      </c>
    </row>
    <row r="47">
      <c r="A47" s="53" t="str">
        <f>'INCEXC A'!A47</f>
        <v>https://doi.org/10.1145/1120212.1120419</v>
      </c>
      <c r="B47" s="13" t="str">
        <f>'INCEXC A'!B47</f>
        <v>10.1145/1120212.1120419</v>
      </c>
      <c r="C47" s="28" t="str">
        <f t="shared" si="1"/>
        <v>#REF!</v>
      </c>
      <c r="D47" s="28" t="str">
        <f>'INCEXC A'!D47</f>
        <v>Marilyn</v>
      </c>
      <c r="E47" s="13" t="str">
        <f t="shared" si="2"/>
        <v>#REF!</v>
      </c>
      <c r="F47" s="13" t="str">
        <f>'INCEXC A'!E47</f>
        <v>Exclude</v>
      </c>
      <c r="G47" s="28" t="str">
        <f t="shared" si="3"/>
        <v>#REF!</v>
      </c>
      <c r="H47" s="28" t="str">
        <f t="shared" si="4"/>
        <v>#REF!</v>
      </c>
    </row>
    <row r="48">
      <c r="A48" s="53" t="str">
        <f>'INCEXC A'!A48</f>
        <v>https://doi.org/10.1145/1141880.1523452</v>
      </c>
      <c r="B48" s="13" t="str">
        <f>'INCEXC A'!B48</f>
        <v>10.1145/1141880.1523452</v>
      </c>
      <c r="C48" s="28" t="str">
        <f t="shared" si="1"/>
        <v>#REF!</v>
      </c>
      <c r="D48" s="28" t="str">
        <f>'INCEXC A'!D48</f>
        <v>Jonathan</v>
      </c>
      <c r="E48" s="13" t="str">
        <f t="shared" si="2"/>
        <v>#REF!</v>
      </c>
      <c r="F48" s="13" t="str">
        <f>'INCEXC A'!E48</f>
        <v>Exclude</v>
      </c>
      <c r="G48" s="28" t="str">
        <f t="shared" si="3"/>
        <v>#REF!</v>
      </c>
      <c r="H48" s="28" t="str">
        <f t="shared" si="4"/>
        <v>#REF!</v>
      </c>
    </row>
    <row r="49">
      <c r="A49" s="53" t="str">
        <f>'INCEXC A'!A49</f>
        <v>https://doi.org/10.1145/1216295.1216357</v>
      </c>
      <c r="B49" s="13" t="str">
        <f>'INCEXC A'!B49</f>
        <v>10.1145/1216295.1216357</v>
      </c>
      <c r="C49" s="28" t="str">
        <f t="shared" si="1"/>
        <v>#REF!</v>
      </c>
      <c r="D49" s="28" t="str">
        <f>'INCEXC A'!D49</f>
        <v>Marilyn</v>
      </c>
      <c r="E49" s="13" t="str">
        <f t="shared" si="2"/>
        <v>#REF!</v>
      </c>
      <c r="F49" s="13" t="str">
        <f>'INCEXC A'!E49</f>
        <v>Exclude</v>
      </c>
      <c r="G49" s="28" t="str">
        <f t="shared" si="3"/>
        <v>#REF!</v>
      </c>
      <c r="H49" s="28" t="str">
        <f t="shared" si="4"/>
        <v>#REF!</v>
      </c>
    </row>
    <row r="50">
      <c r="A50" s="53" t="str">
        <f>'INCEXC A'!A50</f>
        <v>https://doi.org/10.1145/122153.122159</v>
      </c>
      <c r="B50" s="13" t="str">
        <f>'INCEXC A'!B50</f>
        <v>10.1145/122153.122159</v>
      </c>
      <c r="C50" s="28" t="str">
        <f t="shared" si="1"/>
        <v>#REF!</v>
      </c>
      <c r="D50" s="28" t="str">
        <f>'INCEXC A'!D50</f>
        <v>Jonathan</v>
      </c>
      <c r="E50" s="13" t="str">
        <f t="shared" si="2"/>
        <v>#REF!</v>
      </c>
      <c r="F50" s="13" t="str">
        <f>'INCEXC A'!E50</f>
        <v>Exclude</v>
      </c>
      <c r="G50" s="28" t="str">
        <f t="shared" si="3"/>
        <v>#REF!</v>
      </c>
      <c r="H50" s="28" t="str">
        <f t="shared" si="4"/>
        <v>#REF!</v>
      </c>
    </row>
    <row r="51">
      <c r="A51" s="53" t="str">
        <f>'INCEXC A'!A51</f>
        <v>https://doi.org/10.1145/122153.122160</v>
      </c>
      <c r="B51" s="13" t="str">
        <f>'INCEXC A'!B51</f>
        <v>10.1145/122153.122160</v>
      </c>
      <c r="C51" s="28" t="str">
        <f t="shared" si="1"/>
        <v>#REF!</v>
      </c>
      <c r="D51" s="28" t="str">
        <f>'INCEXC A'!D51</f>
        <v>Jonathan</v>
      </c>
      <c r="E51" s="13" t="str">
        <f t="shared" si="2"/>
        <v>#REF!</v>
      </c>
      <c r="F51" s="13" t="str">
        <f>'INCEXC A'!E51</f>
        <v>Exclude</v>
      </c>
      <c r="G51" s="28" t="str">
        <f t="shared" si="3"/>
        <v>#REF!</v>
      </c>
      <c r="H51" s="28" t="str">
        <f t="shared" si="4"/>
        <v>#REF!</v>
      </c>
    </row>
    <row r="75">
      <c r="A75" s="16"/>
    </row>
    <row r="79">
      <c r="A79" s="16"/>
    </row>
    <row r="133">
      <c r="E133" s="16"/>
    </row>
    <row r="134">
      <c r="A134" s="16"/>
    </row>
    <row r="192">
      <c r="E192" s="16"/>
    </row>
    <row r="198">
      <c r="E198" s="16"/>
    </row>
    <row r="213">
      <c r="A213" s="16"/>
    </row>
    <row r="216">
      <c r="A216" s="16"/>
    </row>
    <row r="224">
      <c r="A224" s="16"/>
    </row>
    <row r="226">
      <c r="A226" s="13"/>
      <c r="B226" s="13"/>
      <c r="E226" s="13"/>
      <c r="F226" s="13"/>
    </row>
    <row r="227">
      <c r="A227" s="13"/>
      <c r="B227" s="13"/>
      <c r="E227" s="13"/>
      <c r="F227" s="13"/>
    </row>
    <row r="228">
      <c r="A228" s="13"/>
      <c r="B228" s="13"/>
      <c r="E228" s="13"/>
      <c r="F228" s="13"/>
    </row>
    <row r="233">
      <c r="E233" s="16"/>
    </row>
    <row r="235">
      <c r="G235" s="54"/>
    </row>
    <row r="240">
      <c r="G240" s="54"/>
    </row>
    <row r="243">
      <c r="G243" s="54"/>
    </row>
    <row r="252">
      <c r="A252" s="16"/>
    </row>
    <row r="254">
      <c r="A254" s="15"/>
      <c r="B254" s="13"/>
      <c r="E254" s="13"/>
      <c r="F254" s="13"/>
    </row>
    <row r="255">
      <c r="A255" s="15"/>
      <c r="B255" s="13"/>
      <c r="E255" s="13"/>
      <c r="F255" s="13"/>
    </row>
    <row r="256">
      <c r="A256" s="13"/>
      <c r="B256" s="13"/>
      <c r="E256" s="15"/>
      <c r="F256" s="13"/>
    </row>
    <row r="257">
      <c r="A257" s="13"/>
      <c r="B257" s="13"/>
      <c r="E257" s="13"/>
      <c r="F257" s="13"/>
    </row>
    <row r="261">
      <c r="A261" s="16"/>
    </row>
    <row r="271">
      <c r="A271" s="13"/>
      <c r="B271" s="13"/>
      <c r="E271" s="15"/>
      <c r="F271" s="13"/>
    </row>
    <row r="272">
      <c r="A272" s="16"/>
    </row>
    <row r="281">
      <c r="E281" s="16"/>
    </row>
    <row r="282">
      <c r="E282" s="16"/>
    </row>
    <row r="283">
      <c r="E283" s="16"/>
    </row>
    <row r="289">
      <c r="E289" s="16"/>
    </row>
    <row r="303">
      <c r="E303" s="16"/>
    </row>
    <row r="307">
      <c r="A307" s="13"/>
      <c r="B307" s="13"/>
      <c r="E307" s="13"/>
      <c r="F307" s="13"/>
    </row>
    <row r="311">
      <c r="D311" s="18"/>
      <c r="E311" s="16"/>
    </row>
    <row r="312">
      <c r="A312" s="13"/>
      <c r="B312" s="13"/>
      <c r="E312" s="13"/>
      <c r="F312" s="13"/>
    </row>
    <row r="313">
      <c r="A313" s="13"/>
      <c r="B313" s="13"/>
      <c r="E313" s="13"/>
      <c r="F313" s="13"/>
    </row>
    <row r="314">
      <c r="A314" s="13"/>
      <c r="B314" s="13"/>
      <c r="E314" s="13"/>
      <c r="F314" s="13"/>
    </row>
    <row r="315">
      <c r="A315" s="13"/>
      <c r="B315" s="13"/>
      <c r="E315" s="13"/>
      <c r="F315" s="13"/>
    </row>
    <row r="316">
      <c r="A316" s="13"/>
      <c r="B316" s="13"/>
      <c r="E316" s="13"/>
      <c r="F316" s="13"/>
    </row>
    <row r="317">
      <c r="A317" s="13"/>
      <c r="B317" s="13"/>
      <c r="E317" s="13"/>
      <c r="F317" s="13"/>
    </row>
    <row r="328">
      <c r="J328" s="52"/>
    </row>
    <row r="341">
      <c r="E341" s="16"/>
    </row>
    <row r="343">
      <c r="A343" s="13"/>
      <c r="B343" s="13"/>
      <c r="E343" s="13"/>
      <c r="F343" s="13"/>
    </row>
    <row r="344">
      <c r="G344" s="54"/>
    </row>
    <row r="345">
      <c r="E345" s="16"/>
    </row>
    <row r="349">
      <c r="D349" s="18"/>
    </row>
    <row r="354">
      <c r="A354" s="13"/>
      <c r="B354" s="13"/>
      <c r="E354" s="13"/>
      <c r="F354" s="13"/>
    </row>
    <row r="358">
      <c r="A358" s="16"/>
    </row>
    <row r="361">
      <c r="A361" s="16"/>
    </row>
    <row r="362">
      <c r="A362" s="13"/>
      <c r="B362" s="13"/>
      <c r="E362" s="13"/>
      <c r="F362" s="13"/>
    </row>
    <row r="363">
      <c r="A363" s="16"/>
    </row>
    <row r="375">
      <c r="G375" s="54"/>
    </row>
    <row r="379">
      <c r="A379" s="13"/>
      <c r="B379" s="13"/>
      <c r="E379" s="13"/>
      <c r="F379" s="13"/>
    </row>
  </sheetData>
  <conditionalFormatting sqref="A1:H51">
    <cfRule type="cellIs" dxfId="0" priority="1" operator="equal">
      <formula>"TRUE"</formula>
    </cfRule>
  </conditionalFormatting>
  <conditionalFormatting sqref="A1:H51">
    <cfRule type="cellIs" dxfId="1" priority="2" operator="equal">
      <formula>"FALSE"</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5.75"/>
    <col customWidth="1" min="2" max="2" width="19.88"/>
    <col customWidth="1" min="3" max="3" width="30.0"/>
    <col customWidth="1" min="4" max="4" width="17.75"/>
    <col customWidth="1" min="5" max="5" width="16.38"/>
    <col customWidth="1" min="6" max="6" width="23.5"/>
  </cols>
  <sheetData>
    <row r="1">
      <c r="A1" s="13" t="s">
        <v>0</v>
      </c>
      <c r="B1" s="13" t="s">
        <v>1311</v>
      </c>
      <c r="C1" s="13"/>
      <c r="D1" s="19" t="s">
        <v>1312</v>
      </c>
      <c r="E1" s="19" t="s">
        <v>1313</v>
      </c>
      <c r="F1" s="19" t="s">
        <v>1314</v>
      </c>
      <c r="G1" s="19" t="s">
        <v>1315</v>
      </c>
    </row>
    <row r="2">
      <c r="A2" s="24" t="s">
        <v>1089</v>
      </c>
      <c r="B2" s="19" t="s">
        <v>1090</v>
      </c>
      <c r="C2" s="19" t="s">
        <v>1091</v>
      </c>
      <c r="D2" s="19" t="s">
        <v>1316</v>
      </c>
      <c r="E2" s="28"/>
      <c r="F2" s="28"/>
    </row>
    <row r="3">
      <c r="A3" s="24" t="s">
        <v>1185</v>
      </c>
      <c r="B3" s="19" t="s">
        <v>1186</v>
      </c>
      <c r="C3" s="19" t="s">
        <v>1187</v>
      </c>
      <c r="D3" s="19" t="s">
        <v>1319</v>
      </c>
      <c r="E3" s="19" t="s">
        <v>1317</v>
      </c>
      <c r="F3" s="19" t="s">
        <v>1318</v>
      </c>
    </row>
    <row r="4">
      <c r="A4" s="24" t="s">
        <v>1182</v>
      </c>
      <c r="B4" s="19" t="s">
        <v>1183</v>
      </c>
      <c r="C4" s="19" t="s">
        <v>1184</v>
      </c>
      <c r="D4" s="19" t="s">
        <v>1319</v>
      </c>
      <c r="E4" s="19" t="s">
        <v>1317</v>
      </c>
      <c r="F4" s="19" t="s">
        <v>1318</v>
      </c>
    </row>
    <row r="5">
      <c r="A5" s="21" t="s">
        <v>155</v>
      </c>
      <c r="B5" s="22" t="s">
        <v>156</v>
      </c>
      <c r="C5" s="22" t="s">
        <v>157</v>
      </c>
      <c r="D5" s="19" t="s">
        <v>1319</v>
      </c>
      <c r="E5" s="19" t="s">
        <v>1317</v>
      </c>
      <c r="F5" s="19" t="s">
        <v>1318</v>
      </c>
    </row>
    <row r="6">
      <c r="A6" s="21" t="s">
        <v>137</v>
      </c>
      <c r="B6" s="22" t="s">
        <v>138</v>
      </c>
      <c r="C6" s="22" t="s">
        <v>139</v>
      </c>
      <c r="D6" s="19" t="s">
        <v>1316</v>
      </c>
      <c r="E6" s="28"/>
      <c r="F6" s="28"/>
    </row>
    <row r="7">
      <c r="A7" s="21" t="s">
        <v>209</v>
      </c>
      <c r="B7" s="22" t="s">
        <v>210</v>
      </c>
      <c r="C7" s="22" t="s">
        <v>211</v>
      </c>
      <c r="D7" s="19" t="s">
        <v>1319</v>
      </c>
      <c r="E7" s="19" t="s">
        <v>1320</v>
      </c>
      <c r="F7" s="28"/>
      <c r="G7" s="19" t="s">
        <v>1321</v>
      </c>
    </row>
    <row r="8">
      <c r="A8" s="21" t="s">
        <v>140</v>
      </c>
      <c r="B8" s="22" t="s">
        <v>141</v>
      </c>
      <c r="C8" s="22" t="s">
        <v>142</v>
      </c>
      <c r="D8" s="19" t="s">
        <v>1322</v>
      </c>
      <c r="E8" s="19" t="s">
        <v>1317</v>
      </c>
      <c r="F8" s="19" t="s">
        <v>1323</v>
      </c>
    </row>
    <row r="9">
      <c r="A9" s="21" t="s">
        <v>32</v>
      </c>
      <c r="B9" s="22" t="s">
        <v>34</v>
      </c>
      <c r="C9" s="22" t="s">
        <v>33</v>
      </c>
      <c r="D9" s="19" t="s">
        <v>1322</v>
      </c>
      <c r="E9" s="19" t="s">
        <v>1320</v>
      </c>
      <c r="F9" s="28"/>
    </row>
    <row r="10">
      <c r="A10" s="21" t="s">
        <v>203</v>
      </c>
      <c r="B10" s="22" t="s">
        <v>204</v>
      </c>
      <c r="C10" s="22" t="s">
        <v>205</v>
      </c>
      <c r="D10" s="19" t="s">
        <v>1322</v>
      </c>
      <c r="E10" s="19" t="s">
        <v>1317</v>
      </c>
      <c r="F10" s="19" t="s">
        <v>1323</v>
      </c>
    </row>
    <row r="11">
      <c r="A11" s="21" t="s">
        <v>167</v>
      </c>
      <c r="B11" s="22" t="s">
        <v>168</v>
      </c>
      <c r="C11" s="22" t="s">
        <v>169</v>
      </c>
      <c r="D11" s="19" t="s">
        <v>1316</v>
      </c>
      <c r="E11" s="28"/>
      <c r="F11" s="28"/>
    </row>
    <row r="12">
      <c r="A12" s="24" t="s">
        <v>690</v>
      </c>
      <c r="B12" s="19" t="s">
        <v>691</v>
      </c>
      <c r="C12" s="19" t="s">
        <v>692</v>
      </c>
      <c r="D12" s="19" t="s">
        <v>1319</v>
      </c>
      <c r="E12" s="19" t="s">
        <v>1317</v>
      </c>
      <c r="F12" s="19" t="s">
        <v>1323</v>
      </c>
    </row>
    <row r="13">
      <c r="A13" s="21" t="s">
        <v>37</v>
      </c>
      <c r="B13" s="22" t="s">
        <v>39</v>
      </c>
      <c r="C13" s="22" t="s">
        <v>38</v>
      </c>
      <c r="D13" s="19" t="s">
        <v>1322</v>
      </c>
      <c r="E13" s="19" t="s">
        <v>1320</v>
      </c>
      <c r="F13" s="28"/>
    </row>
    <row r="14">
      <c r="A14" s="27" t="s">
        <v>187</v>
      </c>
      <c r="B14" s="22" t="s">
        <v>188</v>
      </c>
      <c r="C14" s="22" t="s">
        <v>189</v>
      </c>
      <c r="D14" s="19" t="s">
        <v>1322</v>
      </c>
      <c r="E14" s="19" t="s">
        <v>1317</v>
      </c>
      <c r="F14" s="19" t="s">
        <v>1323</v>
      </c>
    </row>
    <row r="15">
      <c r="A15" s="24" t="s">
        <v>1086</v>
      </c>
      <c r="B15" s="19" t="s">
        <v>1087</v>
      </c>
      <c r="C15" s="19" t="s">
        <v>1088</v>
      </c>
      <c r="D15" s="19" t="s">
        <v>1319</v>
      </c>
      <c r="E15" s="19" t="s">
        <v>1317</v>
      </c>
      <c r="F15" s="19" t="s">
        <v>1318</v>
      </c>
    </row>
    <row r="16">
      <c r="A16" s="24" t="s">
        <v>958</v>
      </c>
      <c r="B16" s="19" t="s">
        <v>959</v>
      </c>
      <c r="C16" s="19" t="s">
        <v>960</v>
      </c>
      <c r="D16" s="19" t="s">
        <v>1316</v>
      </c>
      <c r="E16" s="28"/>
      <c r="F16" s="28"/>
    </row>
    <row r="17">
      <c r="A17" s="24" t="s">
        <v>1037</v>
      </c>
      <c r="B17" s="19" t="s">
        <v>1038</v>
      </c>
      <c r="C17" s="19" t="s">
        <v>1039</v>
      </c>
      <c r="D17" s="19" t="s">
        <v>1316</v>
      </c>
      <c r="E17" s="28"/>
      <c r="F17" s="28"/>
    </row>
    <row r="18">
      <c r="A18" s="24" t="s">
        <v>946</v>
      </c>
      <c r="B18" s="19" t="s">
        <v>947</v>
      </c>
      <c r="C18" s="19" t="s">
        <v>948</v>
      </c>
      <c r="D18" s="19" t="s">
        <v>1322</v>
      </c>
      <c r="E18" s="19" t="s">
        <v>1317</v>
      </c>
      <c r="F18" s="19" t="s">
        <v>1318</v>
      </c>
    </row>
    <row r="19">
      <c r="A19" s="21" t="s">
        <v>182</v>
      </c>
      <c r="B19" s="22" t="s">
        <v>183</v>
      </c>
      <c r="C19" s="22" t="s">
        <v>184</v>
      </c>
      <c r="D19" s="19" t="s">
        <v>1316</v>
      </c>
      <c r="E19" s="28"/>
      <c r="F19" s="28"/>
    </row>
    <row r="20">
      <c r="A20" s="21" t="s">
        <v>161</v>
      </c>
      <c r="B20" s="22" t="s">
        <v>162</v>
      </c>
      <c r="C20" s="22" t="s">
        <v>163</v>
      </c>
      <c r="D20" s="19" t="s">
        <v>1316</v>
      </c>
      <c r="E20" s="28"/>
      <c r="F20" s="28"/>
    </row>
    <row r="21">
      <c r="A21" s="21" t="s">
        <v>176</v>
      </c>
      <c r="B21" s="22" t="s">
        <v>177</v>
      </c>
      <c r="C21" s="22" t="s">
        <v>178</v>
      </c>
      <c r="D21" s="19" t="s">
        <v>1319</v>
      </c>
      <c r="E21" s="19" t="s">
        <v>1317</v>
      </c>
      <c r="F21" s="19" t="s">
        <v>1323</v>
      </c>
    </row>
    <row r="22">
      <c r="A22" s="21" t="s">
        <v>143</v>
      </c>
      <c r="B22" s="22" t="s">
        <v>144</v>
      </c>
      <c r="C22" s="23" t="s">
        <v>145</v>
      </c>
      <c r="D22" s="19" t="s">
        <v>1319</v>
      </c>
      <c r="E22" s="19" t="s">
        <v>1317</v>
      </c>
      <c r="F22" s="19" t="s">
        <v>1323</v>
      </c>
    </row>
    <row r="23">
      <c r="A23" s="21" t="s">
        <v>146</v>
      </c>
      <c r="B23" s="22" t="s">
        <v>147</v>
      </c>
      <c r="C23" s="22" t="s">
        <v>148</v>
      </c>
      <c r="D23" s="19" t="s">
        <v>1316</v>
      </c>
      <c r="E23" s="28"/>
      <c r="F23" s="28"/>
    </row>
    <row r="24">
      <c r="A24" s="21" t="s">
        <v>40</v>
      </c>
      <c r="B24" s="22" t="s">
        <v>42</v>
      </c>
      <c r="C24" s="22" t="s">
        <v>41</v>
      </c>
      <c r="D24" s="19" t="s">
        <v>1316</v>
      </c>
      <c r="E24" s="28"/>
      <c r="F24" s="28"/>
    </row>
    <row r="25">
      <c r="A25" s="21" t="s">
        <v>152</v>
      </c>
      <c r="B25" s="22" t="s">
        <v>153</v>
      </c>
      <c r="C25" s="22" t="s">
        <v>154</v>
      </c>
      <c r="D25" s="19" t="s">
        <v>1322</v>
      </c>
      <c r="E25" s="19" t="s">
        <v>1317</v>
      </c>
      <c r="F25" s="19" t="s">
        <v>1323</v>
      </c>
    </row>
    <row r="26">
      <c r="A26" s="21" t="s">
        <v>173</v>
      </c>
      <c r="B26" s="22" t="s">
        <v>174</v>
      </c>
      <c r="C26" s="22" t="s">
        <v>175</v>
      </c>
      <c r="D26" s="19" t="s">
        <v>1322</v>
      </c>
      <c r="E26" s="19" t="s">
        <v>1317</v>
      </c>
      <c r="F26" s="19" t="s">
        <v>1324</v>
      </c>
    </row>
    <row r="27">
      <c r="A27" s="21" t="s">
        <v>158</v>
      </c>
      <c r="B27" s="22" t="s">
        <v>159</v>
      </c>
      <c r="C27" s="22" t="s">
        <v>160</v>
      </c>
      <c r="D27" s="19" t="s">
        <v>1316</v>
      </c>
      <c r="E27" s="28"/>
      <c r="F27" s="28"/>
    </row>
    <row r="28">
      <c r="A28" s="21" t="s">
        <v>193</v>
      </c>
      <c r="B28" s="22" t="s">
        <v>194</v>
      </c>
      <c r="C28" s="23" t="s">
        <v>195</v>
      </c>
      <c r="D28" s="19" t="s">
        <v>1319</v>
      </c>
      <c r="E28" s="19" t="s">
        <v>1317</v>
      </c>
      <c r="F28" s="19" t="s">
        <v>1323</v>
      </c>
    </row>
    <row r="29">
      <c r="A29" s="21" t="s">
        <v>134</v>
      </c>
      <c r="B29" s="22" t="s">
        <v>135</v>
      </c>
      <c r="C29" s="22" t="s">
        <v>136</v>
      </c>
      <c r="D29" s="19" t="s">
        <v>1316</v>
      </c>
      <c r="E29" s="28"/>
      <c r="F29" s="28"/>
    </row>
    <row r="30">
      <c r="A30" s="21" t="s">
        <v>131</v>
      </c>
      <c r="B30" s="22" t="s">
        <v>132</v>
      </c>
      <c r="C30" s="22" t="s">
        <v>133</v>
      </c>
      <c r="D30" s="19" t="s">
        <v>1322</v>
      </c>
      <c r="E30" s="19" t="s">
        <v>1317</v>
      </c>
      <c r="F30" s="19" t="s">
        <v>1323</v>
      </c>
    </row>
    <row r="31">
      <c r="A31" s="24" t="s">
        <v>990</v>
      </c>
      <c r="B31" s="19" t="s">
        <v>991</v>
      </c>
      <c r="C31" s="19" t="s">
        <v>992</v>
      </c>
      <c r="D31" s="19" t="s">
        <v>1319</v>
      </c>
      <c r="E31" s="19" t="s">
        <v>1317</v>
      </c>
      <c r="F31" s="19" t="s">
        <v>1318</v>
      </c>
    </row>
    <row r="32">
      <c r="A32" s="21" t="s">
        <v>200</v>
      </c>
      <c r="B32" s="22" t="s">
        <v>201</v>
      </c>
      <c r="C32" s="22" t="s">
        <v>202</v>
      </c>
      <c r="D32" s="19" t="s">
        <v>1319</v>
      </c>
      <c r="E32" s="19" t="s">
        <v>1317</v>
      </c>
      <c r="F32" s="19" t="s">
        <v>1318</v>
      </c>
    </row>
    <row r="33">
      <c r="A33" s="21" t="s">
        <v>164</v>
      </c>
      <c r="B33" s="22" t="s">
        <v>165</v>
      </c>
      <c r="C33" s="22" t="s">
        <v>166</v>
      </c>
      <c r="D33" s="19" t="s">
        <v>1322</v>
      </c>
      <c r="E33" s="19" t="s">
        <v>1317</v>
      </c>
      <c r="F33" s="19" t="s">
        <v>1323</v>
      </c>
    </row>
    <row r="34">
      <c r="A34" s="21" t="s">
        <v>149</v>
      </c>
      <c r="B34" s="22" t="s">
        <v>150</v>
      </c>
      <c r="C34" s="22" t="s">
        <v>151</v>
      </c>
      <c r="D34" s="19" t="s">
        <v>1316</v>
      </c>
      <c r="E34" s="28"/>
      <c r="F34" s="28"/>
    </row>
    <row r="35">
      <c r="A35" s="21" t="s">
        <v>206</v>
      </c>
      <c r="B35" s="22" t="s">
        <v>207</v>
      </c>
      <c r="C35" s="22" t="s">
        <v>208</v>
      </c>
      <c r="D35" s="19" t="s">
        <v>1322</v>
      </c>
      <c r="E35" s="19" t="s">
        <v>1317</v>
      </c>
      <c r="F35" s="19" t="s">
        <v>1323</v>
      </c>
    </row>
    <row r="36">
      <c r="A36" s="21" t="s">
        <v>128</v>
      </c>
      <c r="B36" s="22" t="s">
        <v>129</v>
      </c>
      <c r="C36" s="22" t="s">
        <v>130</v>
      </c>
      <c r="D36" s="19" t="s">
        <v>1319</v>
      </c>
      <c r="E36" s="19" t="s">
        <v>1317</v>
      </c>
      <c r="F36" s="19" t="s">
        <v>1318</v>
      </c>
    </row>
    <row r="37">
      <c r="A37" s="24" t="s">
        <v>234</v>
      </c>
      <c r="B37" s="19" t="s">
        <v>45</v>
      </c>
      <c r="C37" s="19" t="s">
        <v>44</v>
      </c>
      <c r="D37" s="19" t="s">
        <v>1316</v>
      </c>
      <c r="E37" s="28"/>
      <c r="F37" s="28"/>
    </row>
    <row r="38">
      <c r="A38" s="21" t="s">
        <v>43</v>
      </c>
      <c r="B38" s="22" t="s">
        <v>45</v>
      </c>
      <c r="C38" s="22" t="s">
        <v>44</v>
      </c>
      <c r="D38" s="19" t="s">
        <v>1319</v>
      </c>
      <c r="E38" s="19" t="s">
        <v>1317</v>
      </c>
      <c r="F38" s="19" t="s">
        <v>1323</v>
      </c>
    </row>
    <row r="39">
      <c r="A39" s="21" t="s">
        <v>212</v>
      </c>
      <c r="B39" s="22" t="s">
        <v>213</v>
      </c>
      <c r="C39" s="22" t="s">
        <v>214</v>
      </c>
      <c r="D39" s="19" t="s">
        <v>1322</v>
      </c>
      <c r="E39" s="19" t="s">
        <v>1317</v>
      </c>
      <c r="F39" s="19" t="s">
        <v>1323</v>
      </c>
    </row>
    <row r="40">
      <c r="A40" s="21" t="s">
        <v>170</v>
      </c>
      <c r="B40" s="22" t="s">
        <v>171</v>
      </c>
      <c r="C40" s="22" t="s">
        <v>172</v>
      </c>
      <c r="D40" s="19" t="s">
        <v>1319</v>
      </c>
      <c r="E40" s="19" t="s">
        <v>1317</v>
      </c>
      <c r="F40" s="19" t="s">
        <v>1318</v>
      </c>
    </row>
    <row r="41">
      <c r="A41" s="24" t="s">
        <v>952</v>
      </c>
      <c r="B41" s="19" t="s">
        <v>953</v>
      </c>
      <c r="C41" s="19" t="s">
        <v>954</v>
      </c>
      <c r="D41" s="19" t="s">
        <v>1319</v>
      </c>
      <c r="E41" s="19" t="s">
        <v>1317</v>
      </c>
      <c r="F41" s="19" t="s">
        <v>1318</v>
      </c>
    </row>
    <row r="42">
      <c r="A42" s="21" t="s">
        <v>179</v>
      </c>
      <c r="B42" s="22" t="s">
        <v>180</v>
      </c>
      <c r="C42" s="22" t="s">
        <v>181</v>
      </c>
      <c r="D42" s="19" t="s">
        <v>1319</v>
      </c>
      <c r="E42" s="19" t="s">
        <v>1317</v>
      </c>
      <c r="F42" s="19" t="s">
        <v>1323</v>
      </c>
      <c r="G42" s="19" t="s">
        <v>1325</v>
      </c>
    </row>
    <row r="43">
      <c r="A43" s="21" t="s">
        <v>190</v>
      </c>
      <c r="B43" s="22" t="s">
        <v>191</v>
      </c>
      <c r="C43" s="22" t="s">
        <v>192</v>
      </c>
      <c r="D43" s="19" t="s">
        <v>1319</v>
      </c>
      <c r="E43" s="19" t="s">
        <v>1317</v>
      </c>
      <c r="F43" s="19" t="s">
        <v>1323</v>
      </c>
    </row>
    <row r="44">
      <c r="A44" s="24" t="s">
        <v>702</v>
      </c>
      <c r="B44" s="19" t="s">
        <v>703</v>
      </c>
      <c r="C44" s="19" t="s">
        <v>704</v>
      </c>
      <c r="D44" s="19" t="s">
        <v>1319</v>
      </c>
      <c r="E44" s="19" t="s">
        <v>1317</v>
      </c>
      <c r="F44" s="19" t="s">
        <v>1326</v>
      </c>
    </row>
    <row r="45">
      <c r="A45" s="24" t="s">
        <v>1302</v>
      </c>
      <c r="B45" s="19" t="s">
        <v>1303</v>
      </c>
      <c r="C45" s="19" t="s">
        <v>1304</v>
      </c>
      <c r="D45" s="19" t="s">
        <v>1322</v>
      </c>
      <c r="E45" s="19" t="s">
        <v>1317</v>
      </c>
      <c r="F45" s="19" t="s">
        <v>1326</v>
      </c>
    </row>
    <row r="46">
      <c r="A46" s="24" t="s">
        <v>750</v>
      </c>
      <c r="B46" s="19" t="s">
        <v>751</v>
      </c>
      <c r="C46" s="19" t="s">
        <v>752</v>
      </c>
      <c r="D46" s="19" t="s">
        <v>1322</v>
      </c>
      <c r="E46" s="19" t="s">
        <v>1317</v>
      </c>
      <c r="F46" s="19" t="s">
        <v>1318</v>
      </c>
    </row>
    <row r="47">
      <c r="A47" s="24" t="s">
        <v>736</v>
      </c>
      <c r="B47" s="19" t="s">
        <v>737</v>
      </c>
      <c r="C47" s="19" t="s">
        <v>738</v>
      </c>
      <c r="D47" s="19" t="s">
        <v>1319</v>
      </c>
      <c r="E47" s="19" t="s">
        <v>1317</v>
      </c>
      <c r="F47" s="19" t="s">
        <v>1318</v>
      </c>
    </row>
    <row r="48">
      <c r="A48" s="24" t="s">
        <v>725</v>
      </c>
      <c r="B48" s="19" t="s">
        <v>726</v>
      </c>
      <c r="C48" s="19" t="s">
        <v>727</v>
      </c>
      <c r="D48" s="19" t="s">
        <v>1316</v>
      </c>
      <c r="E48" s="28"/>
      <c r="F48" s="28"/>
    </row>
    <row r="49">
      <c r="A49" s="24" t="s">
        <v>675</v>
      </c>
      <c r="B49" s="19" t="s">
        <v>676</v>
      </c>
      <c r="C49" s="19" t="s">
        <v>677</v>
      </c>
      <c r="D49" s="19" t="s">
        <v>1319</v>
      </c>
      <c r="E49" s="19" t="s">
        <v>1317</v>
      </c>
      <c r="F49" s="19" t="s">
        <v>1318</v>
      </c>
    </row>
    <row r="50">
      <c r="A50" s="24" t="s">
        <v>1281</v>
      </c>
      <c r="B50" s="19" t="s">
        <v>1282</v>
      </c>
      <c r="C50" s="19" t="s">
        <v>1283</v>
      </c>
      <c r="D50" s="19" t="s">
        <v>1316</v>
      </c>
      <c r="E50" s="28"/>
      <c r="F50" s="28"/>
    </row>
    <row r="51">
      <c r="A51" s="24" t="s">
        <v>1287</v>
      </c>
      <c r="B51" s="19" t="s">
        <v>1288</v>
      </c>
      <c r="C51" s="19" t="s">
        <v>1289</v>
      </c>
      <c r="D51" s="19" t="s">
        <v>1316</v>
      </c>
      <c r="E51" s="28"/>
      <c r="F51" s="28"/>
    </row>
    <row r="52">
      <c r="A52" s="24" t="s">
        <v>719</v>
      </c>
      <c r="B52" s="19" t="s">
        <v>720</v>
      </c>
      <c r="C52" s="19" t="s">
        <v>721</v>
      </c>
      <c r="D52" s="19" t="s">
        <v>1316</v>
      </c>
      <c r="E52" s="28"/>
      <c r="F52" s="28"/>
    </row>
    <row r="53">
      <c r="A53" s="24" t="s">
        <v>678</v>
      </c>
      <c r="B53" s="19" t="s">
        <v>679</v>
      </c>
      <c r="C53" s="19" t="s">
        <v>680</v>
      </c>
      <c r="D53" s="19" t="s">
        <v>1319</v>
      </c>
      <c r="E53" s="19" t="s">
        <v>1317</v>
      </c>
      <c r="F53" s="19" t="s">
        <v>1318</v>
      </c>
    </row>
    <row r="54">
      <c r="A54" s="24" t="s">
        <v>1213</v>
      </c>
      <c r="B54" s="19" t="s">
        <v>1214</v>
      </c>
      <c r="C54" s="19" t="s">
        <v>1215</v>
      </c>
      <c r="D54" s="19" t="s">
        <v>1316</v>
      </c>
      <c r="E54" s="28"/>
      <c r="F54" s="28"/>
    </row>
    <row r="55">
      <c r="A55" s="24" t="s">
        <v>1208</v>
      </c>
      <c r="B55" s="19" t="s">
        <v>1209</v>
      </c>
      <c r="C55" s="19" t="s">
        <v>1210</v>
      </c>
      <c r="D55" s="19" t="s">
        <v>1322</v>
      </c>
      <c r="E55" s="19" t="s">
        <v>1317</v>
      </c>
      <c r="F55" s="19" t="s">
        <v>1326</v>
      </c>
    </row>
    <row r="56">
      <c r="A56" s="24" t="s">
        <v>1030</v>
      </c>
      <c r="B56" s="19" t="s">
        <v>1031</v>
      </c>
      <c r="C56" s="19" t="s">
        <v>1032</v>
      </c>
      <c r="D56" s="19" t="s">
        <v>1316</v>
      </c>
      <c r="E56" s="28"/>
      <c r="F56" s="28"/>
    </row>
    <row r="57">
      <c r="A57" s="24" t="s">
        <v>1064</v>
      </c>
      <c r="B57" s="19" t="s">
        <v>1065</v>
      </c>
      <c r="C57" s="19" t="s">
        <v>1066</v>
      </c>
      <c r="D57" s="19" t="s">
        <v>1322</v>
      </c>
      <c r="E57" s="19" t="s">
        <v>1317</v>
      </c>
      <c r="F57" s="19" t="s">
        <v>1318</v>
      </c>
    </row>
    <row r="58">
      <c r="A58" s="24" t="s">
        <v>1308</v>
      </c>
      <c r="B58" s="19" t="s">
        <v>1309</v>
      </c>
      <c r="C58" s="19" t="s">
        <v>1310</v>
      </c>
      <c r="D58" s="19" t="s">
        <v>1322</v>
      </c>
      <c r="E58" s="19" t="s">
        <v>1317</v>
      </c>
      <c r="F58" s="19" t="s">
        <v>1318</v>
      </c>
    </row>
    <row r="59">
      <c r="A59" s="24" t="s">
        <v>46</v>
      </c>
      <c r="B59" s="19" t="s">
        <v>48</v>
      </c>
      <c r="C59" s="19" t="s">
        <v>47</v>
      </c>
      <c r="D59" s="19" t="s">
        <v>1322</v>
      </c>
      <c r="E59" s="19" t="s">
        <v>1317</v>
      </c>
      <c r="F59" s="19" t="s">
        <v>1323</v>
      </c>
    </row>
    <row r="60">
      <c r="A60" s="24" t="s">
        <v>1202</v>
      </c>
      <c r="B60" s="19" t="s">
        <v>1203</v>
      </c>
      <c r="C60" s="19" t="s">
        <v>1204</v>
      </c>
      <c r="D60" s="19" t="s">
        <v>1322</v>
      </c>
      <c r="E60" s="19" t="s">
        <v>1317</v>
      </c>
      <c r="F60" s="19" t="s">
        <v>1326</v>
      </c>
    </row>
    <row r="61">
      <c r="A61" s="24" t="s">
        <v>1216</v>
      </c>
      <c r="B61" s="19" t="s">
        <v>1217</v>
      </c>
      <c r="C61" s="19" t="s">
        <v>1218</v>
      </c>
      <c r="D61" s="19" t="s">
        <v>1322</v>
      </c>
      <c r="E61" s="19" t="s">
        <v>1317</v>
      </c>
      <c r="F61" s="19" t="s">
        <v>1318</v>
      </c>
    </row>
    <row r="62">
      <c r="A62" s="24" t="s">
        <v>714</v>
      </c>
      <c r="B62" s="19" t="s">
        <v>715</v>
      </c>
      <c r="C62" s="19" t="s">
        <v>707</v>
      </c>
      <c r="D62" s="19" t="s">
        <v>1316</v>
      </c>
      <c r="E62" s="28"/>
      <c r="F62" s="28"/>
    </row>
    <row r="63">
      <c r="A63" s="24" t="s">
        <v>1067</v>
      </c>
      <c r="B63" s="19" t="s">
        <v>1068</v>
      </c>
      <c r="C63" s="19" t="s">
        <v>1069</v>
      </c>
      <c r="D63" s="19" t="s">
        <v>1316</v>
      </c>
      <c r="E63" s="28"/>
      <c r="F63" s="28"/>
    </row>
    <row r="64">
      <c r="A64" s="24" t="s">
        <v>1193</v>
      </c>
      <c r="B64" s="19" t="s">
        <v>1194</v>
      </c>
      <c r="C64" s="19" t="s">
        <v>1195</v>
      </c>
      <c r="D64" s="19" t="s">
        <v>1322</v>
      </c>
      <c r="E64" s="19" t="s">
        <v>1317</v>
      </c>
      <c r="F64" s="19" t="s">
        <v>1326</v>
      </c>
    </row>
    <row r="65">
      <c r="A65" s="24" t="s">
        <v>1147</v>
      </c>
      <c r="B65" s="19" t="s">
        <v>1148</v>
      </c>
      <c r="C65" s="19" t="s">
        <v>1149</v>
      </c>
      <c r="D65" s="19" t="s">
        <v>1322</v>
      </c>
      <c r="E65" s="19" t="s">
        <v>1317</v>
      </c>
      <c r="F65" s="19" t="s">
        <v>1326</v>
      </c>
    </row>
    <row r="66">
      <c r="A66" s="24" t="s">
        <v>745</v>
      </c>
      <c r="B66" s="19" t="s">
        <v>746</v>
      </c>
      <c r="C66" s="19" t="s">
        <v>747</v>
      </c>
      <c r="D66" s="19" t="s">
        <v>1316</v>
      </c>
      <c r="E66" s="28"/>
      <c r="F66" s="28"/>
    </row>
    <row r="67">
      <c r="A67" s="24" t="s">
        <v>1275</v>
      </c>
      <c r="B67" s="19" t="s">
        <v>1276</v>
      </c>
      <c r="C67" s="19" t="s">
        <v>1277</v>
      </c>
      <c r="D67" s="19" t="s">
        <v>1319</v>
      </c>
      <c r="E67" s="19" t="s">
        <v>1317</v>
      </c>
      <c r="F67" s="19" t="s">
        <v>1326</v>
      </c>
    </row>
    <row r="68">
      <c r="A68" s="24" t="s">
        <v>1144</v>
      </c>
      <c r="B68" s="19" t="s">
        <v>1145</v>
      </c>
      <c r="C68" s="19" t="s">
        <v>1146</v>
      </c>
      <c r="D68" s="19" t="s">
        <v>1322</v>
      </c>
      <c r="E68" s="19" t="s">
        <v>1317</v>
      </c>
      <c r="F68" s="19" t="s">
        <v>1318</v>
      </c>
    </row>
    <row r="69">
      <c r="A69" s="24" t="s">
        <v>711</v>
      </c>
      <c r="B69" s="19" t="s">
        <v>712</v>
      </c>
      <c r="C69" s="19" t="s">
        <v>713</v>
      </c>
      <c r="D69" s="19" t="s">
        <v>1319</v>
      </c>
      <c r="E69" s="19" t="s">
        <v>1317</v>
      </c>
      <c r="F69" s="19" t="s">
        <v>1318</v>
      </c>
    </row>
    <row r="70">
      <c r="A70" s="24" t="s">
        <v>1131</v>
      </c>
      <c r="B70" s="19" t="s">
        <v>1132</v>
      </c>
      <c r="C70" s="19" t="s">
        <v>1133</v>
      </c>
      <c r="D70" s="19" t="s">
        <v>1322</v>
      </c>
      <c r="E70" s="19" t="s">
        <v>1317</v>
      </c>
      <c r="F70" s="19" t="s">
        <v>1318</v>
      </c>
    </row>
    <row r="71">
      <c r="A71" s="24" t="s">
        <v>1188</v>
      </c>
      <c r="B71" s="19" t="s">
        <v>1189</v>
      </c>
      <c r="C71" s="19" t="s">
        <v>1190</v>
      </c>
      <c r="D71" s="19" t="s">
        <v>1319</v>
      </c>
      <c r="E71" s="19" t="s">
        <v>1317</v>
      </c>
      <c r="F71" s="19" t="s">
        <v>1318</v>
      </c>
    </row>
    <row r="72">
      <c r="A72" s="24" t="s">
        <v>1199</v>
      </c>
      <c r="B72" s="19" t="s">
        <v>1200</v>
      </c>
      <c r="C72" s="19" t="s">
        <v>1201</v>
      </c>
      <c r="D72" s="19" t="s">
        <v>1316</v>
      </c>
      <c r="E72" s="28"/>
      <c r="F72" s="28"/>
    </row>
    <row r="73">
      <c r="A73" s="24" t="s">
        <v>1179</v>
      </c>
      <c r="B73" s="19" t="s">
        <v>1180</v>
      </c>
      <c r="C73" s="19" t="s">
        <v>1181</v>
      </c>
      <c r="D73" s="19" t="s">
        <v>1322</v>
      </c>
      <c r="E73" s="19" t="s">
        <v>1317</v>
      </c>
      <c r="F73" s="19" t="s">
        <v>1326</v>
      </c>
    </row>
    <row r="74">
      <c r="A74" s="24" t="s">
        <v>1173</v>
      </c>
      <c r="B74" s="19" t="s">
        <v>1174</v>
      </c>
      <c r="C74" s="19" t="s">
        <v>1175</v>
      </c>
      <c r="D74" s="19" t="s">
        <v>1322</v>
      </c>
      <c r="E74" s="19" t="s">
        <v>1317</v>
      </c>
      <c r="F74" s="19" t="s">
        <v>1318</v>
      </c>
    </row>
    <row r="75">
      <c r="A75" s="24" t="s">
        <v>1196</v>
      </c>
      <c r="B75" s="19" t="s">
        <v>1197</v>
      </c>
      <c r="C75" s="19" t="s">
        <v>1198</v>
      </c>
      <c r="D75" s="19" t="s">
        <v>1322</v>
      </c>
      <c r="E75" s="19" t="s">
        <v>1317</v>
      </c>
      <c r="F75" s="19" t="s">
        <v>1318</v>
      </c>
    </row>
    <row r="76">
      <c r="A76" s="24" t="s">
        <v>1107</v>
      </c>
      <c r="B76" s="19" t="s">
        <v>1108</v>
      </c>
      <c r="C76" s="19" t="s">
        <v>1109</v>
      </c>
      <c r="D76" s="19" t="s">
        <v>1319</v>
      </c>
      <c r="E76" s="19" t="s">
        <v>1317</v>
      </c>
      <c r="F76" s="19" t="s">
        <v>1318</v>
      </c>
    </row>
    <row r="77">
      <c r="A77" s="24" t="s">
        <v>1122</v>
      </c>
      <c r="B77" s="19" t="s">
        <v>1123</v>
      </c>
      <c r="C77" s="19" t="s">
        <v>1124</v>
      </c>
      <c r="D77" s="19" t="s">
        <v>1319</v>
      </c>
      <c r="E77" s="19" t="s">
        <v>1317</v>
      </c>
      <c r="F77" s="19" t="s">
        <v>1318</v>
      </c>
    </row>
    <row r="78">
      <c r="A78" s="24" t="s">
        <v>1092</v>
      </c>
      <c r="B78" s="19" t="s">
        <v>1093</v>
      </c>
      <c r="C78" s="19" t="s">
        <v>1094</v>
      </c>
      <c r="D78" s="19" t="s">
        <v>1316</v>
      </c>
      <c r="E78" s="28"/>
      <c r="F78" s="28"/>
    </row>
    <row r="79">
      <c r="A79" s="24" t="s">
        <v>1191</v>
      </c>
      <c r="B79" s="19" t="s">
        <v>1192</v>
      </c>
      <c r="C79" s="19" t="s">
        <v>1011</v>
      </c>
      <c r="D79" s="19" t="s">
        <v>1322</v>
      </c>
      <c r="E79" s="19" t="s">
        <v>1317</v>
      </c>
      <c r="F79" s="19" t="s">
        <v>1318</v>
      </c>
    </row>
    <row r="80">
      <c r="A80" s="24" t="s">
        <v>1070</v>
      </c>
      <c r="B80" s="19" t="s">
        <v>1071</v>
      </c>
      <c r="C80" s="19" t="s">
        <v>1072</v>
      </c>
      <c r="D80" s="19" t="s">
        <v>1322</v>
      </c>
      <c r="E80" s="19" t="s">
        <v>1317</v>
      </c>
      <c r="F80" s="19" t="s">
        <v>1318</v>
      </c>
    </row>
    <row r="81">
      <c r="A81" s="24" t="s">
        <v>1119</v>
      </c>
      <c r="B81" s="19" t="s">
        <v>1120</v>
      </c>
      <c r="C81" s="19" t="s">
        <v>1121</v>
      </c>
      <c r="D81" s="19" t="s">
        <v>1319</v>
      </c>
      <c r="E81" s="19" t="s">
        <v>1317</v>
      </c>
      <c r="F81" s="19" t="s">
        <v>1318</v>
      </c>
    </row>
    <row r="82">
      <c r="A82" s="24" t="s">
        <v>1170</v>
      </c>
      <c r="B82" s="19" t="s">
        <v>1171</v>
      </c>
      <c r="C82" s="19" t="s">
        <v>1172</v>
      </c>
      <c r="D82" s="19" t="s">
        <v>1322</v>
      </c>
      <c r="E82" s="19" t="s">
        <v>1317</v>
      </c>
      <c r="F82" s="19" t="s">
        <v>1318</v>
      </c>
    </row>
    <row r="83">
      <c r="A83" s="24" t="s">
        <v>708</v>
      </c>
      <c r="B83" s="19" t="s">
        <v>709</v>
      </c>
      <c r="C83" s="19" t="s">
        <v>710</v>
      </c>
      <c r="D83" s="19" t="s">
        <v>1322</v>
      </c>
      <c r="E83" s="19" t="s">
        <v>1317</v>
      </c>
      <c r="F83" s="19" t="s">
        <v>1323</v>
      </c>
    </row>
    <row r="84">
      <c r="A84" s="24" t="s">
        <v>716</v>
      </c>
      <c r="B84" s="19" t="s">
        <v>717</v>
      </c>
      <c r="C84" s="19" t="s">
        <v>718</v>
      </c>
      <c r="D84" s="19" t="s">
        <v>1319</v>
      </c>
      <c r="E84" s="19" t="s">
        <v>1317</v>
      </c>
      <c r="F84" s="19" t="s">
        <v>1318</v>
      </c>
    </row>
    <row r="85">
      <c r="A85" s="24" t="s">
        <v>705</v>
      </c>
      <c r="B85" s="19" t="s">
        <v>706</v>
      </c>
      <c r="C85" s="19" t="s">
        <v>707</v>
      </c>
      <c r="D85" s="19" t="s">
        <v>1322</v>
      </c>
      <c r="E85" s="19" t="s">
        <v>1317</v>
      </c>
      <c r="F85" s="19" t="s">
        <v>1318</v>
      </c>
    </row>
    <row r="86">
      <c r="A86" s="24" t="s">
        <v>1243</v>
      </c>
      <c r="B86" s="19" t="s">
        <v>1244</v>
      </c>
      <c r="C86" s="19" t="s">
        <v>1245</v>
      </c>
      <c r="D86" s="19" t="s">
        <v>1319</v>
      </c>
      <c r="E86" s="19" t="s">
        <v>1317</v>
      </c>
      <c r="F86" s="19" t="s">
        <v>1318</v>
      </c>
    </row>
    <row r="87">
      <c r="A87" s="24" t="s">
        <v>699</v>
      </c>
      <c r="B87" s="19" t="s">
        <v>700</v>
      </c>
      <c r="C87" s="19" t="s">
        <v>701</v>
      </c>
      <c r="D87" s="19" t="s">
        <v>1316</v>
      </c>
      <c r="E87" s="28"/>
      <c r="F87" s="28"/>
    </row>
    <row r="88">
      <c r="A88" s="24" t="s">
        <v>1006</v>
      </c>
      <c r="B88" s="19" t="s">
        <v>1007</v>
      </c>
      <c r="C88" s="19" t="s">
        <v>1008</v>
      </c>
      <c r="D88" s="19" t="s">
        <v>1322</v>
      </c>
      <c r="E88" s="19" t="s">
        <v>1317</v>
      </c>
      <c r="F88" s="19" t="s">
        <v>1318</v>
      </c>
    </row>
    <row r="89">
      <c r="A89" s="24" t="s">
        <v>1176</v>
      </c>
      <c r="B89" s="19" t="s">
        <v>1177</v>
      </c>
      <c r="C89" s="19" t="s">
        <v>1178</v>
      </c>
      <c r="D89" s="19" t="s">
        <v>1322</v>
      </c>
      <c r="E89" s="19" t="s">
        <v>1317</v>
      </c>
      <c r="F89" s="19" t="s">
        <v>1326</v>
      </c>
    </row>
    <row r="90">
      <c r="A90" s="24" t="s">
        <v>1080</v>
      </c>
      <c r="B90" s="19" t="s">
        <v>1081</v>
      </c>
      <c r="C90" s="19" t="s">
        <v>1082</v>
      </c>
      <c r="D90" s="19" t="s">
        <v>1322</v>
      </c>
      <c r="E90" s="19" t="s">
        <v>1317</v>
      </c>
      <c r="F90" s="19" t="s">
        <v>1318</v>
      </c>
    </row>
    <row r="91">
      <c r="A91" s="24" t="s">
        <v>1264</v>
      </c>
      <c r="B91" s="19" t="s">
        <v>1265</v>
      </c>
      <c r="C91" s="19" t="s">
        <v>1266</v>
      </c>
      <c r="D91" s="19" t="s">
        <v>1319</v>
      </c>
      <c r="E91" s="19" t="s">
        <v>1317</v>
      </c>
      <c r="F91" s="19" t="s">
        <v>1318</v>
      </c>
    </row>
    <row r="92">
      <c r="A92" s="24" t="s">
        <v>1095</v>
      </c>
      <c r="B92" s="19" t="s">
        <v>1096</v>
      </c>
      <c r="C92" s="19" t="s">
        <v>1097</v>
      </c>
      <c r="D92" s="19" t="s">
        <v>1316</v>
      </c>
      <c r="E92" s="28"/>
      <c r="F92" s="28"/>
    </row>
    <row r="93">
      <c r="A93" s="24" t="s">
        <v>1162</v>
      </c>
      <c r="B93" s="19" t="s">
        <v>1163</v>
      </c>
      <c r="C93" s="19" t="s">
        <v>1164</v>
      </c>
      <c r="D93" s="19" t="s">
        <v>1322</v>
      </c>
      <c r="E93" s="19" t="s">
        <v>1317</v>
      </c>
      <c r="F93" s="19" t="s">
        <v>1318</v>
      </c>
    </row>
    <row r="94">
      <c r="A94" s="24" t="s">
        <v>1116</v>
      </c>
      <c r="B94" s="19" t="s">
        <v>1117</v>
      </c>
      <c r="C94" s="19" t="s">
        <v>1118</v>
      </c>
      <c r="D94" s="19" t="s">
        <v>1316</v>
      </c>
      <c r="E94" s="28"/>
      <c r="F94" s="28"/>
    </row>
    <row r="95">
      <c r="A95" s="24" t="s">
        <v>999</v>
      </c>
      <c r="B95" s="19" t="s">
        <v>1000</v>
      </c>
      <c r="C95" s="19" t="s">
        <v>1001</v>
      </c>
      <c r="D95" s="19" t="s">
        <v>1316</v>
      </c>
      <c r="E95" s="28"/>
      <c r="F95" s="28"/>
    </row>
    <row r="96">
      <c r="A96" s="24" t="s">
        <v>1033</v>
      </c>
      <c r="B96" s="19" t="s">
        <v>1034</v>
      </c>
      <c r="C96" s="19" t="s">
        <v>1035</v>
      </c>
      <c r="D96" s="19" t="s">
        <v>1316</v>
      </c>
      <c r="E96" s="28"/>
      <c r="F96" s="28"/>
    </row>
    <row r="97">
      <c r="A97" s="24" t="s">
        <v>1012</v>
      </c>
      <c r="B97" s="19" t="s">
        <v>1013</v>
      </c>
      <c r="C97" s="19" t="s">
        <v>1014</v>
      </c>
      <c r="D97" s="19" t="s">
        <v>1316</v>
      </c>
      <c r="E97" s="28"/>
      <c r="F97" s="28"/>
    </row>
    <row r="98">
      <c r="A98" s="24" t="s">
        <v>1159</v>
      </c>
      <c r="B98" s="19" t="s">
        <v>1160</v>
      </c>
      <c r="C98" s="19" t="s">
        <v>1161</v>
      </c>
      <c r="D98" s="19" t="s">
        <v>1319</v>
      </c>
      <c r="E98" s="19" t="s">
        <v>1317</v>
      </c>
      <c r="F98" s="19" t="s">
        <v>1318</v>
      </c>
    </row>
    <row r="99">
      <c r="A99" s="24" t="s">
        <v>1156</v>
      </c>
      <c r="B99" s="19" t="s">
        <v>1157</v>
      </c>
      <c r="C99" s="19" t="s">
        <v>1158</v>
      </c>
      <c r="D99" s="19" t="s">
        <v>1322</v>
      </c>
      <c r="E99" s="19" t="s">
        <v>1317</v>
      </c>
      <c r="F99" s="19" t="s">
        <v>1318</v>
      </c>
    </row>
    <row r="100">
      <c r="A100" s="24" t="s">
        <v>696</v>
      </c>
      <c r="B100" s="19" t="s">
        <v>697</v>
      </c>
      <c r="C100" s="19" t="s">
        <v>698</v>
      </c>
      <c r="D100" s="19" t="s">
        <v>1322</v>
      </c>
      <c r="E100" s="19" t="s">
        <v>1317</v>
      </c>
      <c r="F100" s="19" t="s">
        <v>1318</v>
      </c>
    </row>
    <row r="101">
      <c r="A101" s="24" t="s">
        <v>1138</v>
      </c>
      <c r="B101" s="19" t="s">
        <v>1139</v>
      </c>
      <c r="C101" s="19" t="s">
        <v>1140</v>
      </c>
      <c r="D101" s="19" t="s">
        <v>1316</v>
      </c>
      <c r="E101" s="28"/>
      <c r="F101" s="28"/>
    </row>
    <row r="102">
      <c r="A102" s="24" t="s">
        <v>1074</v>
      </c>
      <c r="B102" s="19" t="s">
        <v>1075</v>
      </c>
      <c r="C102" s="19" t="s">
        <v>1076</v>
      </c>
      <c r="D102" s="19" t="s">
        <v>1322</v>
      </c>
      <c r="E102" s="19" t="s">
        <v>1317</v>
      </c>
      <c r="F102" s="19" t="s">
        <v>1318</v>
      </c>
    </row>
    <row r="103">
      <c r="A103" s="24" t="s">
        <v>1150</v>
      </c>
      <c r="B103" s="19" t="s">
        <v>1151</v>
      </c>
      <c r="C103" s="19" t="s">
        <v>1152</v>
      </c>
      <c r="D103" s="19" t="s">
        <v>1322</v>
      </c>
      <c r="E103" s="19" t="s">
        <v>1317</v>
      </c>
      <c r="F103" s="19" t="s">
        <v>1318</v>
      </c>
    </row>
    <row r="104">
      <c r="A104" s="24" t="s">
        <v>1083</v>
      </c>
      <c r="B104" s="19" t="s">
        <v>1084</v>
      </c>
      <c r="C104" s="19" t="s">
        <v>1085</v>
      </c>
      <c r="D104" s="19" t="s">
        <v>1319</v>
      </c>
      <c r="E104" s="19" t="s">
        <v>1317</v>
      </c>
      <c r="F104" s="19" t="s">
        <v>1318</v>
      </c>
    </row>
    <row r="105">
      <c r="A105" s="24" t="s">
        <v>1261</v>
      </c>
      <c r="B105" s="19" t="s">
        <v>1262</v>
      </c>
      <c r="C105" s="19" t="s">
        <v>1263</v>
      </c>
      <c r="D105" s="19" t="s">
        <v>1322</v>
      </c>
      <c r="E105" s="19" t="s">
        <v>1317</v>
      </c>
      <c r="F105" s="19" t="s">
        <v>1318</v>
      </c>
    </row>
    <row r="106">
      <c r="A106" s="24" t="s">
        <v>1077</v>
      </c>
      <c r="B106" s="19" t="s">
        <v>1078</v>
      </c>
      <c r="C106" s="19" t="s">
        <v>1079</v>
      </c>
      <c r="D106" s="19" t="s">
        <v>1322</v>
      </c>
      <c r="E106" s="19" t="s">
        <v>1317</v>
      </c>
      <c r="F106" s="19" t="s">
        <v>1318</v>
      </c>
    </row>
    <row r="107">
      <c r="A107" s="24" t="s">
        <v>1153</v>
      </c>
      <c r="B107" s="19" t="s">
        <v>1154</v>
      </c>
      <c r="C107" s="19" t="s">
        <v>1155</v>
      </c>
      <c r="D107" s="19" t="s">
        <v>1322</v>
      </c>
      <c r="E107" s="19" t="s">
        <v>1317</v>
      </c>
      <c r="F107" s="19" t="s">
        <v>1318</v>
      </c>
    </row>
    <row r="108">
      <c r="A108" s="24" t="s">
        <v>1128</v>
      </c>
      <c r="B108" s="19" t="s">
        <v>1129</v>
      </c>
      <c r="C108" s="19" t="s">
        <v>1130</v>
      </c>
      <c r="D108" s="19" t="s">
        <v>1316</v>
      </c>
      <c r="E108" s="28"/>
      <c r="F108" s="28"/>
    </row>
    <row r="109">
      <c r="A109" s="24" t="s">
        <v>1142</v>
      </c>
      <c r="B109" s="19" t="s">
        <v>1143</v>
      </c>
      <c r="C109" s="19" t="s">
        <v>1136</v>
      </c>
      <c r="D109" s="19" t="s">
        <v>1319</v>
      </c>
      <c r="E109" s="19" t="s">
        <v>1317</v>
      </c>
      <c r="F109" s="19" t="s">
        <v>1318</v>
      </c>
    </row>
    <row r="110">
      <c r="A110" s="24" t="s">
        <v>1043</v>
      </c>
      <c r="B110" s="19" t="s">
        <v>1044</v>
      </c>
      <c r="C110" s="19" t="s">
        <v>1045</v>
      </c>
      <c r="D110" s="19" t="s">
        <v>1316</v>
      </c>
      <c r="E110" s="28"/>
      <c r="F110" s="28"/>
    </row>
    <row r="111">
      <c r="A111" s="24" t="s">
        <v>1134</v>
      </c>
      <c r="B111" s="19" t="s">
        <v>1135</v>
      </c>
      <c r="C111" s="19" t="s">
        <v>1136</v>
      </c>
      <c r="D111" s="19" t="s">
        <v>1322</v>
      </c>
      <c r="E111" s="19" t="s">
        <v>1317</v>
      </c>
      <c r="F111" s="19" t="s">
        <v>1318</v>
      </c>
    </row>
    <row r="112">
      <c r="A112" s="24" t="s">
        <v>1058</v>
      </c>
      <c r="B112" s="19" t="s">
        <v>1059</v>
      </c>
      <c r="C112" s="19" t="s">
        <v>1060</v>
      </c>
      <c r="D112" s="19" t="s">
        <v>1322</v>
      </c>
      <c r="E112" s="19" t="s">
        <v>1317</v>
      </c>
      <c r="F112" s="19" t="s">
        <v>1318</v>
      </c>
    </row>
    <row r="113">
      <c r="A113" s="24" t="s">
        <v>1258</v>
      </c>
      <c r="B113" s="19" t="s">
        <v>1259</v>
      </c>
      <c r="C113" s="19" t="s">
        <v>1260</v>
      </c>
      <c r="D113" s="19" t="s">
        <v>1322</v>
      </c>
      <c r="E113" s="19" t="s">
        <v>1317</v>
      </c>
      <c r="F113" s="19" t="s">
        <v>1326</v>
      </c>
    </row>
    <row r="114">
      <c r="A114" s="24" t="s">
        <v>955</v>
      </c>
      <c r="B114" s="19" t="s">
        <v>956</v>
      </c>
      <c r="C114" s="19" t="s">
        <v>957</v>
      </c>
      <c r="D114" s="19" t="s">
        <v>1319</v>
      </c>
      <c r="E114" s="19" t="s">
        <v>1317</v>
      </c>
      <c r="F114" s="19" t="s">
        <v>1318</v>
      </c>
    </row>
    <row r="115">
      <c r="A115" s="24" t="s">
        <v>949</v>
      </c>
      <c r="B115" s="19" t="s">
        <v>950</v>
      </c>
      <c r="C115" s="19" t="s">
        <v>951</v>
      </c>
      <c r="D115" s="19" t="s">
        <v>1322</v>
      </c>
      <c r="E115" s="19" t="s">
        <v>1317</v>
      </c>
      <c r="F115" s="19" t="s">
        <v>1318</v>
      </c>
    </row>
    <row r="116">
      <c r="A116" s="24" t="s">
        <v>1049</v>
      </c>
      <c r="B116" s="19" t="s">
        <v>1050</v>
      </c>
      <c r="C116" s="19" t="s">
        <v>1051</v>
      </c>
      <c r="D116" s="19" t="s">
        <v>1322</v>
      </c>
      <c r="E116" s="19" t="s">
        <v>1317</v>
      </c>
      <c r="F116" s="19" t="s">
        <v>1318</v>
      </c>
    </row>
    <row r="117">
      <c r="A117" s="24" t="s">
        <v>1040</v>
      </c>
      <c r="B117" s="19" t="s">
        <v>1041</v>
      </c>
      <c r="C117" s="19" t="s">
        <v>1042</v>
      </c>
      <c r="D117" s="19" t="s">
        <v>1322</v>
      </c>
      <c r="E117" s="19" t="s">
        <v>1317</v>
      </c>
      <c r="F117" s="19" t="s">
        <v>1318</v>
      </c>
    </row>
    <row r="118">
      <c r="A118" s="24" t="s">
        <v>1098</v>
      </c>
      <c r="B118" s="19" t="s">
        <v>1099</v>
      </c>
      <c r="C118" s="19" t="s">
        <v>1100</v>
      </c>
      <c r="D118" s="19" t="s">
        <v>1322</v>
      </c>
      <c r="E118" s="19" t="s">
        <v>1317</v>
      </c>
      <c r="F118" s="19" t="s">
        <v>1318</v>
      </c>
    </row>
    <row r="119">
      <c r="A119" s="24" t="s">
        <v>902</v>
      </c>
      <c r="B119" s="19" t="s">
        <v>903</v>
      </c>
      <c r="C119" s="19" t="s">
        <v>904</v>
      </c>
      <c r="D119" s="19" t="s">
        <v>1319</v>
      </c>
      <c r="E119" s="19" t="s">
        <v>1317</v>
      </c>
      <c r="F119" s="19" t="s">
        <v>1318</v>
      </c>
    </row>
    <row r="120">
      <c r="A120" s="24" t="s">
        <v>1125</v>
      </c>
      <c r="B120" s="19" t="s">
        <v>1126</v>
      </c>
      <c r="C120" s="19" t="s">
        <v>1127</v>
      </c>
      <c r="D120" s="19" t="s">
        <v>1319</v>
      </c>
      <c r="E120" s="19" t="s">
        <v>1317</v>
      </c>
      <c r="F120" s="19" t="s">
        <v>1318</v>
      </c>
    </row>
    <row r="121">
      <c r="A121" s="24" t="s">
        <v>1113</v>
      </c>
      <c r="B121" s="19" t="s">
        <v>1114</v>
      </c>
      <c r="C121" s="19" t="s">
        <v>1115</v>
      </c>
      <c r="D121" s="19" t="s">
        <v>1322</v>
      </c>
      <c r="E121" s="19" t="s">
        <v>1317</v>
      </c>
      <c r="F121" s="19" t="s">
        <v>1318</v>
      </c>
    </row>
    <row r="122">
      <c r="A122" s="24" t="s">
        <v>1110</v>
      </c>
      <c r="B122" s="19" t="s">
        <v>1111</v>
      </c>
      <c r="C122" s="19" t="s">
        <v>1112</v>
      </c>
      <c r="D122" s="19" t="s">
        <v>1316</v>
      </c>
      <c r="E122" s="28"/>
      <c r="F122" s="28"/>
    </row>
    <row r="123">
      <c r="A123" s="24" t="s">
        <v>923</v>
      </c>
      <c r="B123" s="19" t="s">
        <v>924</v>
      </c>
      <c r="C123" s="19" t="s">
        <v>925</v>
      </c>
      <c r="D123" s="19" t="s">
        <v>1316</v>
      </c>
      <c r="E123" s="28"/>
      <c r="F123" s="28"/>
    </row>
    <row r="124">
      <c r="A124" s="24" t="s">
        <v>937</v>
      </c>
      <c r="B124" s="19" t="s">
        <v>938</v>
      </c>
      <c r="C124" s="19" t="s">
        <v>939</v>
      </c>
      <c r="D124" s="19" t="s">
        <v>1319</v>
      </c>
      <c r="E124" s="19" t="s">
        <v>1317</v>
      </c>
      <c r="F124" s="19" t="s">
        <v>1318</v>
      </c>
    </row>
    <row r="125">
      <c r="A125" s="24" t="s">
        <v>1101</v>
      </c>
      <c r="B125" s="19" t="s">
        <v>1102</v>
      </c>
      <c r="C125" s="19" t="s">
        <v>1103</v>
      </c>
      <c r="D125" s="19" t="s">
        <v>1319</v>
      </c>
      <c r="E125" s="19" t="s">
        <v>1317</v>
      </c>
      <c r="F125" s="19" t="s">
        <v>1318</v>
      </c>
    </row>
    <row r="126">
      <c r="A126" s="24" t="s">
        <v>1234</v>
      </c>
      <c r="B126" s="19" t="s">
        <v>1235</v>
      </c>
      <c r="C126" s="19" t="s">
        <v>1236</v>
      </c>
      <c r="D126" s="19" t="s">
        <v>1319</v>
      </c>
      <c r="E126" s="19" t="s">
        <v>1317</v>
      </c>
      <c r="F126" s="19" t="s">
        <v>1318</v>
      </c>
    </row>
    <row r="127">
      <c r="A127" s="24" t="s">
        <v>993</v>
      </c>
      <c r="B127" s="19" t="s">
        <v>994</v>
      </c>
      <c r="C127" s="19" t="s">
        <v>995</v>
      </c>
      <c r="D127" s="19" t="s">
        <v>1319</v>
      </c>
      <c r="E127" s="19" t="s">
        <v>1317</v>
      </c>
      <c r="F127" s="19" t="s">
        <v>1318</v>
      </c>
    </row>
    <row r="128">
      <c r="A128" s="24" t="s">
        <v>1046</v>
      </c>
      <c r="B128" s="19" t="s">
        <v>1047</v>
      </c>
      <c r="C128" s="19" t="s">
        <v>1048</v>
      </c>
      <c r="D128" s="19" t="s">
        <v>1322</v>
      </c>
      <c r="E128" s="19" t="s">
        <v>1317</v>
      </c>
      <c r="F128" s="19" t="s">
        <v>1318</v>
      </c>
    </row>
    <row r="129">
      <c r="A129" s="24" t="s">
        <v>1252</v>
      </c>
      <c r="B129" s="19" t="s">
        <v>1253</v>
      </c>
      <c r="C129" s="19" t="s">
        <v>1254</v>
      </c>
      <c r="D129" s="19" t="s">
        <v>1322</v>
      </c>
      <c r="E129" s="19" t="s">
        <v>1317</v>
      </c>
      <c r="F129" s="19" t="s">
        <v>1318</v>
      </c>
    </row>
    <row r="130">
      <c r="A130" s="24" t="s">
        <v>970</v>
      </c>
      <c r="B130" s="19" t="s">
        <v>971</v>
      </c>
      <c r="C130" s="19" t="s">
        <v>972</v>
      </c>
      <c r="D130" s="19" t="s">
        <v>1322</v>
      </c>
      <c r="E130" s="19" t="s">
        <v>1317</v>
      </c>
      <c r="F130" s="19" t="s">
        <v>1326</v>
      </c>
    </row>
    <row r="131">
      <c r="A131" s="24" t="s">
        <v>1061</v>
      </c>
      <c r="B131" s="19" t="s">
        <v>1062</v>
      </c>
      <c r="C131" s="19" t="s">
        <v>1063</v>
      </c>
      <c r="D131" s="19" t="s">
        <v>1316</v>
      </c>
      <c r="E131" s="28"/>
      <c r="F131" s="28"/>
    </row>
    <row r="132">
      <c r="A132" s="24" t="s">
        <v>1025</v>
      </c>
      <c r="B132" s="19" t="s">
        <v>1026</v>
      </c>
      <c r="C132" s="19" t="s">
        <v>1027</v>
      </c>
      <c r="D132" s="19" t="s">
        <v>1316</v>
      </c>
      <c r="E132" s="28"/>
      <c r="F132" s="28"/>
    </row>
    <row r="133">
      <c r="A133" s="24" t="s">
        <v>1015</v>
      </c>
      <c r="B133" s="19" t="s">
        <v>1016</v>
      </c>
      <c r="C133" s="19" t="s">
        <v>1017</v>
      </c>
      <c r="D133" s="19" t="s">
        <v>1316</v>
      </c>
      <c r="E133" s="28"/>
      <c r="F133" s="28"/>
    </row>
    <row r="134">
      <c r="A134" s="24" t="s">
        <v>927</v>
      </c>
      <c r="B134" s="19" t="s">
        <v>928</v>
      </c>
      <c r="C134" s="19" t="s">
        <v>929</v>
      </c>
      <c r="D134" s="19" t="s">
        <v>1319</v>
      </c>
      <c r="E134" s="19" t="s">
        <v>1317</v>
      </c>
      <c r="F134" s="19" t="s">
        <v>1318</v>
      </c>
    </row>
    <row r="135">
      <c r="A135" s="24" t="s">
        <v>961</v>
      </c>
      <c r="B135" s="19" t="s">
        <v>962</v>
      </c>
      <c r="C135" s="19" t="s">
        <v>963</v>
      </c>
      <c r="D135" s="19" t="s">
        <v>1322</v>
      </c>
      <c r="E135" s="19" t="s">
        <v>1317</v>
      </c>
      <c r="F135" s="19" t="s">
        <v>1326</v>
      </c>
    </row>
    <row r="136">
      <c r="A136" s="24" t="s">
        <v>739</v>
      </c>
      <c r="B136" s="19" t="s">
        <v>740</v>
      </c>
      <c r="C136" s="19" t="s">
        <v>741</v>
      </c>
      <c r="D136" s="19" t="s">
        <v>1322</v>
      </c>
      <c r="E136" s="19" t="s">
        <v>1317</v>
      </c>
      <c r="F136" s="19" t="s">
        <v>1318</v>
      </c>
    </row>
    <row r="137">
      <c r="A137" s="24" t="s">
        <v>1055</v>
      </c>
      <c r="B137" s="19" t="s">
        <v>1056</v>
      </c>
      <c r="C137" s="19" t="s">
        <v>1057</v>
      </c>
      <c r="D137" s="19" t="s">
        <v>1316</v>
      </c>
      <c r="E137" s="28"/>
      <c r="F137" s="28"/>
    </row>
    <row r="138">
      <c r="A138" s="24" t="s">
        <v>1052</v>
      </c>
      <c r="B138" s="19" t="s">
        <v>1053</v>
      </c>
      <c r="C138" s="19" t="s">
        <v>1054</v>
      </c>
      <c r="D138" s="19" t="s">
        <v>1322</v>
      </c>
      <c r="E138" s="19" t="s">
        <v>1317</v>
      </c>
      <c r="F138" s="19" t="s">
        <v>1318</v>
      </c>
    </row>
    <row r="139">
      <c r="A139" s="24" t="s">
        <v>1009</v>
      </c>
      <c r="B139" s="19" t="s">
        <v>1010</v>
      </c>
      <c r="C139" s="19" t="s">
        <v>1011</v>
      </c>
      <c r="D139" s="19" t="s">
        <v>1322</v>
      </c>
      <c r="E139" s="19" t="s">
        <v>1317</v>
      </c>
      <c r="F139" s="19" t="s">
        <v>1318</v>
      </c>
    </row>
    <row r="140">
      <c r="A140" s="24" t="s">
        <v>1022</v>
      </c>
      <c r="B140" s="19" t="s">
        <v>1023</v>
      </c>
      <c r="C140" s="19" t="s">
        <v>1024</v>
      </c>
      <c r="D140" s="19" t="s">
        <v>1319</v>
      </c>
      <c r="E140" s="19" t="s">
        <v>1317</v>
      </c>
      <c r="F140" s="19" t="s">
        <v>1318</v>
      </c>
    </row>
    <row r="141">
      <c r="A141" s="24" t="s">
        <v>940</v>
      </c>
      <c r="B141" s="19" t="s">
        <v>941</v>
      </c>
      <c r="C141" s="19" t="s">
        <v>942</v>
      </c>
      <c r="D141" s="19" t="s">
        <v>1322</v>
      </c>
      <c r="E141" s="19" t="s">
        <v>1317</v>
      </c>
      <c r="F141" s="19" t="s">
        <v>1318</v>
      </c>
    </row>
    <row r="142">
      <c r="A142" s="24" t="s">
        <v>1019</v>
      </c>
      <c r="B142" s="19" t="s">
        <v>1020</v>
      </c>
      <c r="C142" s="19" t="s">
        <v>1021</v>
      </c>
      <c r="D142" s="19" t="s">
        <v>1322</v>
      </c>
      <c r="E142" s="19" t="s">
        <v>1317</v>
      </c>
      <c r="F142" s="19" t="s">
        <v>1318</v>
      </c>
    </row>
    <row r="143">
      <c r="A143" s="24" t="s">
        <v>1003</v>
      </c>
      <c r="B143" s="19" t="s">
        <v>1004</v>
      </c>
      <c r="C143" s="19" t="s">
        <v>1005</v>
      </c>
      <c r="D143" s="19" t="s">
        <v>1319</v>
      </c>
      <c r="E143" s="19" t="s">
        <v>1317</v>
      </c>
      <c r="F143" s="19" t="s">
        <v>1318</v>
      </c>
    </row>
    <row r="144">
      <c r="A144" s="24" t="s">
        <v>1296</v>
      </c>
      <c r="B144" s="19" t="s">
        <v>1297</v>
      </c>
      <c r="C144" s="19" t="s">
        <v>1298</v>
      </c>
      <c r="D144" s="19" t="s">
        <v>1319</v>
      </c>
      <c r="E144" s="19" t="s">
        <v>1317</v>
      </c>
      <c r="F144" s="19" t="s">
        <v>1318</v>
      </c>
    </row>
    <row r="145">
      <c r="A145" s="24" t="s">
        <v>981</v>
      </c>
      <c r="B145" s="19" t="s">
        <v>982</v>
      </c>
      <c r="C145" s="19" t="s">
        <v>983</v>
      </c>
      <c r="D145" s="19" t="s">
        <v>1316</v>
      </c>
      <c r="E145" s="28"/>
      <c r="F145" s="28"/>
    </row>
    <row r="146">
      <c r="A146" s="24" t="s">
        <v>996</v>
      </c>
      <c r="B146" s="19" t="s">
        <v>997</v>
      </c>
      <c r="C146" s="19" t="s">
        <v>998</v>
      </c>
      <c r="D146" s="19" t="s">
        <v>1319</v>
      </c>
      <c r="E146" s="19" t="s">
        <v>1317</v>
      </c>
      <c r="F146" s="19" t="s">
        <v>1318</v>
      </c>
    </row>
    <row r="147">
      <c r="A147" s="24" t="s">
        <v>977</v>
      </c>
      <c r="B147" s="19" t="s">
        <v>978</v>
      </c>
      <c r="C147" s="19" t="s">
        <v>979</v>
      </c>
      <c r="D147" s="19" t="s">
        <v>1322</v>
      </c>
      <c r="E147" s="19" t="s">
        <v>1317</v>
      </c>
      <c r="F147" s="19" t="s">
        <v>1318</v>
      </c>
    </row>
    <row r="148">
      <c r="A148" s="24" t="s">
        <v>1246</v>
      </c>
      <c r="B148" s="19" t="s">
        <v>1247</v>
      </c>
      <c r="C148" s="19" t="s">
        <v>1248</v>
      </c>
      <c r="D148" s="19" t="s">
        <v>1319</v>
      </c>
      <c r="E148" s="19" t="s">
        <v>1317</v>
      </c>
      <c r="F148" s="19" t="s">
        <v>1318</v>
      </c>
    </row>
    <row r="149">
      <c r="A149" s="24" t="s">
        <v>967</v>
      </c>
      <c r="B149" s="19" t="s">
        <v>968</v>
      </c>
      <c r="C149" s="19" t="s">
        <v>969</v>
      </c>
      <c r="D149" s="19" t="s">
        <v>1319</v>
      </c>
      <c r="E149" s="19" t="s">
        <v>1317</v>
      </c>
      <c r="F149" s="19" t="s">
        <v>1318</v>
      </c>
    </row>
    <row r="150">
      <c r="A150" s="24" t="s">
        <v>930</v>
      </c>
      <c r="B150" s="19" t="s">
        <v>931</v>
      </c>
      <c r="C150" s="19" t="s">
        <v>932</v>
      </c>
      <c r="D150" s="19" t="s">
        <v>1322</v>
      </c>
      <c r="E150" s="19" t="s">
        <v>1317</v>
      </c>
      <c r="F150" s="19" t="s">
        <v>1318</v>
      </c>
    </row>
    <row r="151">
      <c r="A151" s="24" t="s">
        <v>987</v>
      </c>
      <c r="B151" s="19" t="s">
        <v>988</v>
      </c>
      <c r="C151" s="19" t="s">
        <v>989</v>
      </c>
      <c r="D151" s="19" t="s">
        <v>1322</v>
      </c>
      <c r="E151" s="19" t="s">
        <v>1317</v>
      </c>
      <c r="F151" s="19" t="s">
        <v>1318</v>
      </c>
    </row>
    <row r="152">
      <c r="A152" s="24" t="s">
        <v>685</v>
      </c>
      <c r="B152" s="19" t="s">
        <v>686</v>
      </c>
      <c r="C152" s="19" t="s">
        <v>687</v>
      </c>
      <c r="D152" s="19" t="s">
        <v>1316</v>
      </c>
      <c r="E152" s="28"/>
      <c r="F152" s="28"/>
    </row>
    <row r="153">
      <c r="A153" s="24" t="s">
        <v>964</v>
      </c>
      <c r="B153" s="19" t="s">
        <v>965</v>
      </c>
      <c r="C153" s="19" t="s">
        <v>966</v>
      </c>
      <c r="D153" s="19" t="s">
        <v>1319</v>
      </c>
      <c r="E153" s="19" t="s">
        <v>1317</v>
      </c>
      <c r="F153" s="19" t="s">
        <v>1318</v>
      </c>
    </row>
    <row r="154">
      <c r="A154" s="24" t="s">
        <v>905</v>
      </c>
      <c r="B154" s="19" t="s">
        <v>906</v>
      </c>
      <c r="C154" s="19" t="s">
        <v>907</v>
      </c>
      <c r="D154" s="19" t="s">
        <v>1316</v>
      </c>
      <c r="E154" s="28"/>
      <c r="F154" s="28"/>
    </row>
    <row r="155">
      <c r="A155" s="24" t="s">
        <v>973</v>
      </c>
      <c r="B155" s="19" t="s">
        <v>974</v>
      </c>
      <c r="C155" s="19" t="s">
        <v>975</v>
      </c>
      <c r="D155" s="19" t="s">
        <v>1322</v>
      </c>
      <c r="E155" s="19" t="s">
        <v>1317</v>
      </c>
      <c r="F155" s="19" t="s">
        <v>1318</v>
      </c>
    </row>
    <row r="156">
      <c r="A156" s="24" t="s">
        <v>756</v>
      </c>
      <c r="B156" s="19" t="s">
        <v>757</v>
      </c>
      <c r="C156" s="19" t="s">
        <v>758</v>
      </c>
      <c r="D156" s="19" t="s">
        <v>1322</v>
      </c>
      <c r="E156" s="19" t="s">
        <v>1317</v>
      </c>
      <c r="F156" s="19" t="s">
        <v>1326</v>
      </c>
    </row>
    <row r="157">
      <c r="A157" s="24" t="s">
        <v>943</v>
      </c>
      <c r="B157" s="19" t="s">
        <v>944</v>
      </c>
      <c r="C157" s="19" t="s">
        <v>945</v>
      </c>
      <c r="D157" s="19" t="s">
        <v>1319</v>
      </c>
      <c r="E157" s="19" t="s">
        <v>1317</v>
      </c>
      <c r="F157" s="19" t="s">
        <v>1318</v>
      </c>
    </row>
    <row r="158">
      <c r="A158" s="24" t="s">
        <v>1249</v>
      </c>
      <c r="B158" s="19" t="s">
        <v>1250</v>
      </c>
      <c r="C158" s="19" t="s">
        <v>1251</v>
      </c>
      <c r="D158" s="19" t="s">
        <v>1319</v>
      </c>
      <c r="E158" s="19" t="s">
        <v>1317</v>
      </c>
      <c r="F158" s="19" t="s">
        <v>1318</v>
      </c>
    </row>
    <row r="159">
      <c r="A159" s="24" t="s">
        <v>893</v>
      </c>
      <c r="B159" s="19" t="s">
        <v>894</v>
      </c>
      <c r="C159" s="19" t="s">
        <v>895</v>
      </c>
      <c r="D159" s="19" t="s">
        <v>1322</v>
      </c>
      <c r="E159" s="19" t="s">
        <v>1317</v>
      </c>
      <c r="F159" s="19" t="s">
        <v>1318</v>
      </c>
    </row>
    <row r="160">
      <c r="A160" s="24" t="s">
        <v>881</v>
      </c>
      <c r="B160" s="19" t="s">
        <v>882</v>
      </c>
      <c r="C160" s="19" t="s">
        <v>883</v>
      </c>
      <c r="D160" s="19" t="s">
        <v>1319</v>
      </c>
      <c r="E160" s="19" t="s">
        <v>1317</v>
      </c>
      <c r="F160" s="19" t="s">
        <v>1318</v>
      </c>
    </row>
    <row r="161">
      <c r="A161" s="24" t="s">
        <v>908</v>
      </c>
      <c r="B161" s="19" t="s">
        <v>909</v>
      </c>
      <c r="C161" s="19" t="s">
        <v>910</v>
      </c>
      <c r="D161" s="19" t="s">
        <v>1322</v>
      </c>
      <c r="E161" s="19" t="s">
        <v>1317</v>
      </c>
      <c r="F161" s="19" t="s">
        <v>1318</v>
      </c>
    </row>
    <row r="162">
      <c r="A162" s="24" t="s">
        <v>917</v>
      </c>
      <c r="B162" s="19" t="s">
        <v>918</v>
      </c>
      <c r="C162" s="19" t="s">
        <v>919</v>
      </c>
      <c r="D162" s="19" t="s">
        <v>1316</v>
      </c>
      <c r="E162" s="28"/>
      <c r="F162" s="28"/>
    </row>
    <row r="163">
      <c r="A163" s="24" t="s">
        <v>920</v>
      </c>
      <c r="B163" s="19" t="s">
        <v>921</v>
      </c>
      <c r="C163" s="19" t="s">
        <v>922</v>
      </c>
      <c r="D163" s="19" t="s">
        <v>1322</v>
      </c>
      <c r="E163" s="19" t="s">
        <v>1317</v>
      </c>
      <c r="F163" s="19" t="s">
        <v>1318</v>
      </c>
    </row>
    <row r="164">
      <c r="A164" s="24" t="s">
        <v>911</v>
      </c>
      <c r="B164" s="19" t="s">
        <v>912</v>
      </c>
      <c r="C164" s="19" t="s">
        <v>913</v>
      </c>
      <c r="D164" s="19" t="s">
        <v>1319</v>
      </c>
      <c r="E164" s="19" t="s">
        <v>1317</v>
      </c>
      <c r="F164" s="19" t="s">
        <v>1318</v>
      </c>
    </row>
    <row r="165">
      <c r="A165" s="24" t="s">
        <v>872</v>
      </c>
      <c r="B165" s="19" t="s">
        <v>873</v>
      </c>
      <c r="C165" s="19" t="s">
        <v>874</v>
      </c>
      <c r="D165" s="19" t="s">
        <v>1319</v>
      </c>
      <c r="E165" s="19" t="s">
        <v>1317</v>
      </c>
      <c r="F165" s="19" t="s">
        <v>1323</v>
      </c>
    </row>
    <row r="166">
      <c r="A166" s="24" t="s">
        <v>866</v>
      </c>
      <c r="B166" s="19" t="s">
        <v>867</v>
      </c>
      <c r="C166" s="19" t="s">
        <v>868</v>
      </c>
      <c r="D166" s="19" t="s">
        <v>1322</v>
      </c>
      <c r="E166" s="19" t="s">
        <v>1317</v>
      </c>
      <c r="F166" s="19" t="s">
        <v>1318</v>
      </c>
    </row>
    <row r="167">
      <c r="A167" s="24" t="s">
        <v>899</v>
      </c>
      <c r="B167" s="19" t="s">
        <v>900</v>
      </c>
      <c r="C167" s="19" t="s">
        <v>901</v>
      </c>
      <c r="D167" s="19" t="s">
        <v>1322</v>
      </c>
      <c r="E167" s="19" t="s">
        <v>1317</v>
      </c>
      <c r="F167" s="19" t="s">
        <v>1323</v>
      </c>
    </row>
    <row r="168">
      <c r="A168" s="24" t="s">
        <v>884</v>
      </c>
      <c r="B168" s="19" t="s">
        <v>885</v>
      </c>
      <c r="C168" s="19" t="s">
        <v>886</v>
      </c>
      <c r="D168" s="19" t="s">
        <v>1319</v>
      </c>
      <c r="E168" s="19" t="s">
        <v>1317</v>
      </c>
      <c r="F168" s="19" t="s">
        <v>1318</v>
      </c>
    </row>
    <row r="169">
      <c r="A169" s="24" t="s">
        <v>731</v>
      </c>
      <c r="B169" s="19" t="s">
        <v>732</v>
      </c>
      <c r="C169" s="19" t="s">
        <v>733</v>
      </c>
      <c r="D169" s="19" t="s">
        <v>1319</v>
      </c>
      <c r="E169" s="19" t="s">
        <v>1317</v>
      </c>
      <c r="F169" s="19" t="s">
        <v>1318</v>
      </c>
    </row>
    <row r="170">
      <c r="A170" s="24" t="s">
        <v>896</v>
      </c>
      <c r="B170" s="19" t="s">
        <v>897</v>
      </c>
      <c r="C170" s="19" t="s">
        <v>898</v>
      </c>
      <c r="D170" s="19" t="s">
        <v>1322</v>
      </c>
      <c r="E170" s="19" t="s">
        <v>1317</v>
      </c>
      <c r="F170" s="19" t="s">
        <v>1318</v>
      </c>
    </row>
    <row r="171">
      <c r="A171" s="24" t="s">
        <v>1255</v>
      </c>
      <c r="B171" s="19" t="s">
        <v>1256</v>
      </c>
      <c r="C171" s="19" t="s">
        <v>1257</v>
      </c>
      <c r="D171" s="19" t="s">
        <v>1322</v>
      </c>
      <c r="E171" s="19" t="s">
        <v>1317</v>
      </c>
      <c r="F171" s="19" t="s">
        <v>1326</v>
      </c>
    </row>
    <row r="172">
      <c r="A172" s="24" t="s">
        <v>753</v>
      </c>
      <c r="B172" s="19" t="s">
        <v>754</v>
      </c>
      <c r="C172" s="19" t="s">
        <v>755</v>
      </c>
      <c r="D172" s="19" t="s">
        <v>1322</v>
      </c>
      <c r="E172" s="19" t="s">
        <v>1317</v>
      </c>
      <c r="F172" s="19" t="s">
        <v>1323</v>
      </c>
    </row>
    <row r="173">
      <c r="A173" s="24" t="s">
        <v>890</v>
      </c>
      <c r="B173" s="19" t="s">
        <v>891</v>
      </c>
      <c r="C173" s="19" t="s">
        <v>892</v>
      </c>
      <c r="D173" s="19" t="s">
        <v>1322</v>
      </c>
      <c r="E173" s="19" t="s">
        <v>1317</v>
      </c>
      <c r="F173" s="19" t="s">
        <v>1323</v>
      </c>
    </row>
    <row r="174">
      <c r="A174" s="24" t="s">
        <v>887</v>
      </c>
      <c r="B174" s="19" t="s">
        <v>888</v>
      </c>
      <c r="C174" s="19" t="s">
        <v>889</v>
      </c>
      <c r="D174" s="19" t="s">
        <v>1316</v>
      </c>
      <c r="E174" s="28"/>
      <c r="F174" s="28"/>
    </row>
    <row r="175">
      <c r="A175" s="24" t="s">
        <v>854</v>
      </c>
      <c r="B175" s="19" t="s">
        <v>855</v>
      </c>
      <c r="C175" s="19" t="s">
        <v>856</v>
      </c>
      <c r="D175" s="19" t="s">
        <v>1322</v>
      </c>
      <c r="E175" s="19" t="s">
        <v>1317</v>
      </c>
      <c r="F175" s="19" t="s">
        <v>1318</v>
      </c>
    </row>
    <row r="176">
      <c r="A176" s="24" t="s">
        <v>875</v>
      </c>
      <c r="B176" s="19" t="s">
        <v>876</v>
      </c>
      <c r="C176" s="19" t="s">
        <v>877</v>
      </c>
      <c r="D176" s="19" t="s">
        <v>1316</v>
      </c>
      <c r="E176" s="28"/>
      <c r="F176" s="28"/>
    </row>
    <row r="177">
      <c r="A177" s="24" t="s">
        <v>878</v>
      </c>
      <c r="B177" s="19" t="s">
        <v>879</v>
      </c>
      <c r="C177" s="19" t="s">
        <v>880</v>
      </c>
      <c r="D177" s="19" t="s">
        <v>1319</v>
      </c>
      <c r="E177" s="19" t="s">
        <v>1317</v>
      </c>
      <c r="F177" s="19" t="s">
        <v>1318</v>
      </c>
    </row>
    <row r="178">
      <c r="A178" s="24" t="s">
        <v>1219</v>
      </c>
      <c r="B178" s="19" t="s">
        <v>1220</v>
      </c>
      <c r="C178" s="19" t="s">
        <v>1221</v>
      </c>
      <c r="D178" s="19" t="s">
        <v>1316</v>
      </c>
      <c r="E178" s="28"/>
      <c r="F178" s="28"/>
    </row>
    <row r="179">
      <c r="A179" s="24" t="s">
        <v>863</v>
      </c>
      <c r="B179" s="19" t="s">
        <v>864</v>
      </c>
      <c r="C179" s="19" t="s">
        <v>865</v>
      </c>
      <c r="D179" s="19" t="s">
        <v>1316</v>
      </c>
      <c r="E179" s="28"/>
      <c r="F179" s="28"/>
    </row>
    <row r="180">
      <c r="A180" s="24" t="s">
        <v>839</v>
      </c>
      <c r="B180" s="19" t="s">
        <v>840</v>
      </c>
      <c r="C180" s="19" t="s">
        <v>841</v>
      </c>
      <c r="D180" s="19" t="s">
        <v>1322</v>
      </c>
      <c r="E180" s="19" t="s">
        <v>1317</v>
      </c>
      <c r="F180" s="19" t="s">
        <v>1326</v>
      </c>
    </row>
    <row r="181">
      <c r="A181" s="24" t="s">
        <v>869</v>
      </c>
      <c r="B181" s="19" t="s">
        <v>870</v>
      </c>
      <c r="C181" s="19" t="s">
        <v>871</v>
      </c>
      <c r="D181" s="19" t="s">
        <v>1322</v>
      </c>
      <c r="E181" s="19" t="s">
        <v>1317</v>
      </c>
      <c r="F181" s="19" t="s">
        <v>1318</v>
      </c>
    </row>
    <row r="182">
      <c r="A182" s="24" t="s">
        <v>816</v>
      </c>
      <c r="B182" s="19" t="s">
        <v>817</v>
      </c>
      <c r="C182" s="19" t="s">
        <v>818</v>
      </c>
      <c r="D182" s="19" t="s">
        <v>1319</v>
      </c>
      <c r="E182" s="19" t="s">
        <v>1317</v>
      </c>
      <c r="F182" s="19" t="s">
        <v>1318</v>
      </c>
    </row>
    <row r="183">
      <c r="A183" s="24" t="s">
        <v>857</v>
      </c>
      <c r="B183" s="19" t="s">
        <v>858</v>
      </c>
      <c r="C183" s="19" t="s">
        <v>859</v>
      </c>
      <c r="D183" s="19" t="s">
        <v>1322</v>
      </c>
      <c r="E183" s="19" t="s">
        <v>1317</v>
      </c>
      <c r="F183" s="19" t="s">
        <v>1318</v>
      </c>
    </row>
    <row r="184">
      <c r="A184" s="24" t="s">
        <v>693</v>
      </c>
      <c r="B184" s="19" t="s">
        <v>694</v>
      </c>
      <c r="C184" s="19" t="s">
        <v>695</v>
      </c>
      <c r="D184" s="19" t="s">
        <v>1316</v>
      </c>
      <c r="E184" s="28"/>
      <c r="F184" s="28"/>
    </row>
    <row r="185">
      <c r="A185" s="24" t="s">
        <v>668</v>
      </c>
      <c r="B185" s="19" t="s">
        <v>669</v>
      </c>
      <c r="C185" s="19" t="s">
        <v>670</v>
      </c>
      <c r="D185" s="19" t="s">
        <v>1319</v>
      </c>
      <c r="E185" s="19" t="s">
        <v>1317</v>
      </c>
      <c r="F185" s="19" t="s">
        <v>1318</v>
      </c>
    </row>
    <row r="186">
      <c r="A186" s="24" t="s">
        <v>845</v>
      </c>
      <c r="B186" s="19" t="s">
        <v>846</v>
      </c>
      <c r="C186" s="19" t="s">
        <v>847</v>
      </c>
      <c r="D186" s="19" t="s">
        <v>1322</v>
      </c>
      <c r="E186" s="19" t="s">
        <v>1317</v>
      </c>
      <c r="F186" s="19" t="s">
        <v>1326</v>
      </c>
    </row>
    <row r="187">
      <c r="A187" s="24" t="s">
        <v>842</v>
      </c>
      <c r="B187" s="19" t="s">
        <v>843</v>
      </c>
      <c r="C187" s="19" t="s">
        <v>844</v>
      </c>
      <c r="D187" s="19" t="s">
        <v>1316</v>
      </c>
      <c r="E187" s="28"/>
      <c r="F187" s="28"/>
    </row>
    <row r="188">
      <c r="A188" s="24" t="s">
        <v>848</v>
      </c>
      <c r="B188" s="19" t="s">
        <v>849</v>
      </c>
      <c r="C188" s="19" t="s">
        <v>850</v>
      </c>
      <c r="D188" s="19" t="s">
        <v>1322</v>
      </c>
      <c r="E188" s="19" t="s">
        <v>1317</v>
      </c>
      <c r="F188" s="19" t="s">
        <v>1323</v>
      </c>
    </row>
    <row r="189">
      <c r="A189" s="24" t="s">
        <v>851</v>
      </c>
      <c r="B189" s="19" t="s">
        <v>852</v>
      </c>
      <c r="C189" s="19" t="s">
        <v>853</v>
      </c>
      <c r="D189" s="19" t="s">
        <v>1319</v>
      </c>
      <c r="E189" s="19" t="s">
        <v>1317</v>
      </c>
      <c r="F189" s="19" t="s">
        <v>1318</v>
      </c>
    </row>
    <row r="190">
      <c r="A190" s="24" t="s">
        <v>807</v>
      </c>
      <c r="B190" s="19" t="s">
        <v>808</v>
      </c>
      <c r="C190" s="19" t="s">
        <v>809</v>
      </c>
      <c r="D190" s="19" t="s">
        <v>1319</v>
      </c>
      <c r="E190" s="19" t="s">
        <v>1317</v>
      </c>
      <c r="F190" s="19" t="s">
        <v>1318</v>
      </c>
    </row>
    <row r="191">
      <c r="A191" s="24" t="s">
        <v>1278</v>
      </c>
      <c r="B191" s="19" t="s">
        <v>1279</v>
      </c>
      <c r="C191" s="19" t="s">
        <v>1280</v>
      </c>
      <c r="D191" s="19" t="s">
        <v>1319</v>
      </c>
      <c r="E191" s="19" t="s">
        <v>1317</v>
      </c>
      <c r="F191" s="19" t="s">
        <v>1326</v>
      </c>
    </row>
    <row r="192">
      <c r="A192" s="24" t="s">
        <v>821</v>
      </c>
      <c r="B192" s="19" t="s">
        <v>822</v>
      </c>
      <c r="C192" s="19" t="s">
        <v>823</v>
      </c>
      <c r="D192" s="19" t="s">
        <v>1316</v>
      </c>
      <c r="E192" s="28"/>
      <c r="F192" s="28"/>
    </row>
    <row r="193">
      <c r="A193" s="24" t="s">
        <v>802</v>
      </c>
      <c r="B193" s="19" t="s">
        <v>803</v>
      </c>
      <c r="C193" s="19" t="s">
        <v>804</v>
      </c>
      <c r="D193" s="19" t="s">
        <v>1316</v>
      </c>
      <c r="E193" s="28"/>
      <c r="F193" s="28"/>
    </row>
    <row r="194">
      <c r="A194" s="24" t="s">
        <v>662</v>
      </c>
      <c r="B194" s="19" t="s">
        <v>663</v>
      </c>
      <c r="C194" s="19" t="s">
        <v>664</v>
      </c>
      <c r="D194" s="19" t="s">
        <v>1316</v>
      </c>
      <c r="E194" s="28"/>
      <c r="F194" s="28"/>
    </row>
    <row r="195">
      <c r="A195" s="24" t="s">
        <v>836</v>
      </c>
      <c r="B195" s="19" t="s">
        <v>837</v>
      </c>
      <c r="C195" s="19" t="s">
        <v>838</v>
      </c>
      <c r="D195" s="19" t="s">
        <v>1319</v>
      </c>
      <c r="E195" s="19" t="s">
        <v>1317</v>
      </c>
      <c r="F195" s="19" t="s">
        <v>1318</v>
      </c>
    </row>
    <row r="196">
      <c r="A196" s="24" t="s">
        <v>653</v>
      </c>
      <c r="B196" s="19" t="s">
        <v>654</v>
      </c>
      <c r="C196" s="19" t="s">
        <v>655</v>
      </c>
      <c r="D196" s="19" t="s">
        <v>1322</v>
      </c>
      <c r="E196" s="19" t="s">
        <v>1317</v>
      </c>
      <c r="F196" s="19" t="s">
        <v>1318</v>
      </c>
    </row>
    <row r="197">
      <c r="A197" s="24" t="s">
        <v>793</v>
      </c>
      <c r="B197" s="19" t="s">
        <v>794</v>
      </c>
      <c r="C197" s="19" t="s">
        <v>795</v>
      </c>
      <c r="D197" s="19" t="s">
        <v>1316</v>
      </c>
      <c r="E197" s="28"/>
      <c r="F197" s="28"/>
    </row>
    <row r="198">
      <c r="A198" s="24" t="s">
        <v>545</v>
      </c>
      <c r="B198" s="19" t="s">
        <v>546</v>
      </c>
      <c r="C198" s="19" t="s">
        <v>547</v>
      </c>
      <c r="D198" s="19" t="s">
        <v>1322</v>
      </c>
      <c r="E198" s="19" t="s">
        <v>1317</v>
      </c>
      <c r="F198" s="19" t="s">
        <v>1318</v>
      </c>
    </row>
    <row r="199">
      <c r="A199" s="24" t="s">
        <v>332</v>
      </c>
      <c r="B199" s="19" t="s">
        <v>333</v>
      </c>
      <c r="C199" s="19" t="s">
        <v>334</v>
      </c>
      <c r="D199" s="19" t="s">
        <v>1322</v>
      </c>
      <c r="E199" s="19" t="s">
        <v>1317</v>
      </c>
      <c r="F199" s="19" t="s">
        <v>1323</v>
      </c>
    </row>
    <row r="200">
      <c r="A200" s="24" t="s">
        <v>576</v>
      </c>
      <c r="B200" s="19" t="s">
        <v>577</v>
      </c>
      <c r="C200" s="19" t="s">
        <v>578</v>
      </c>
      <c r="D200" s="19" t="s">
        <v>1316</v>
      </c>
      <c r="E200" s="28"/>
      <c r="F200" s="28"/>
    </row>
    <row r="201">
      <c r="A201" s="24" t="s">
        <v>665</v>
      </c>
      <c r="B201" s="19" t="s">
        <v>666</v>
      </c>
      <c r="C201" s="19" t="s">
        <v>667</v>
      </c>
      <c r="D201" s="19" t="s">
        <v>1319</v>
      </c>
      <c r="E201" s="19" t="s">
        <v>1317</v>
      </c>
      <c r="F201" s="19" t="s">
        <v>1323</v>
      </c>
    </row>
    <row r="202">
      <c r="A202" s="24" t="s">
        <v>825</v>
      </c>
      <c r="B202" s="19" t="s">
        <v>826</v>
      </c>
      <c r="C202" s="19" t="s">
        <v>827</v>
      </c>
      <c r="D202" s="19" t="s">
        <v>1319</v>
      </c>
      <c r="E202" s="19" t="s">
        <v>1317</v>
      </c>
      <c r="F202" s="19" t="s">
        <v>1326</v>
      </c>
    </row>
    <row r="203">
      <c r="A203" s="24" t="s">
        <v>568</v>
      </c>
      <c r="B203" s="19" t="s">
        <v>569</v>
      </c>
      <c r="C203" s="19" t="s">
        <v>570</v>
      </c>
      <c r="D203" s="19" t="s">
        <v>1322</v>
      </c>
      <c r="E203" s="19" t="s">
        <v>1317</v>
      </c>
      <c r="F203" s="19" t="s">
        <v>1323</v>
      </c>
    </row>
    <row r="204">
      <c r="A204" s="24" t="s">
        <v>656</v>
      </c>
      <c r="B204" s="19" t="s">
        <v>657</v>
      </c>
      <c r="C204" s="19" t="s">
        <v>658</v>
      </c>
      <c r="D204" s="19" t="s">
        <v>1319</v>
      </c>
      <c r="E204" s="19" t="s">
        <v>1317</v>
      </c>
      <c r="F204" s="19" t="s">
        <v>1330</v>
      </c>
    </row>
    <row r="205">
      <c r="A205" s="24" t="s">
        <v>341</v>
      </c>
      <c r="B205" s="19" t="s">
        <v>342</v>
      </c>
      <c r="C205" s="19" t="s">
        <v>343</v>
      </c>
      <c r="D205" s="19" t="s">
        <v>1319</v>
      </c>
      <c r="E205" s="19" t="s">
        <v>1317</v>
      </c>
      <c r="F205" s="19" t="s">
        <v>1323</v>
      </c>
    </row>
    <row r="206">
      <c r="A206" s="24" t="s">
        <v>796</v>
      </c>
      <c r="B206" s="19" t="s">
        <v>797</v>
      </c>
      <c r="C206" s="19" t="s">
        <v>798</v>
      </c>
      <c r="D206" s="19" t="s">
        <v>1322</v>
      </c>
      <c r="E206" s="19" t="s">
        <v>1317</v>
      </c>
      <c r="F206" s="19" t="s">
        <v>1318</v>
      </c>
    </row>
    <row r="207">
      <c r="A207" s="24" t="s">
        <v>828</v>
      </c>
      <c r="B207" s="19" t="s">
        <v>829</v>
      </c>
      <c r="C207" s="19" t="s">
        <v>830</v>
      </c>
      <c r="D207" s="19" t="s">
        <v>1316</v>
      </c>
      <c r="E207" s="28"/>
      <c r="F207" s="28"/>
    </row>
    <row r="208">
      <c r="A208" s="24" t="s">
        <v>526</v>
      </c>
      <c r="B208" s="19" t="s">
        <v>527</v>
      </c>
      <c r="C208" s="19" t="s">
        <v>528</v>
      </c>
      <c r="D208" s="19" t="s">
        <v>1316</v>
      </c>
      <c r="E208" s="28"/>
      <c r="F208" s="28"/>
    </row>
    <row r="209">
      <c r="A209" s="24" t="s">
        <v>767</v>
      </c>
      <c r="B209" s="19" t="s">
        <v>768</v>
      </c>
      <c r="C209" s="19" t="s">
        <v>769</v>
      </c>
      <c r="D209" s="19" t="s">
        <v>1319</v>
      </c>
      <c r="E209" s="19" t="s">
        <v>1317</v>
      </c>
      <c r="F209" s="19" t="s">
        <v>1318</v>
      </c>
    </row>
    <row r="210">
      <c r="A210" s="24" t="s">
        <v>49</v>
      </c>
      <c r="B210" s="19" t="s">
        <v>51</v>
      </c>
      <c r="C210" s="19" t="s">
        <v>50</v>
      </c>
      <c r="D210" s="19" t="s">
        <v>1322</v>
      </c>
      <c r="E210" s="19" t="s">
        <v>1320</v>
      </c>
      <c r="F210" s="19"/>
    </row>
    <row r="211">
      <c r="A211" s="24" t="s">
        <v>52</v>
      </c>
      <c r="B211" s="19" t="s">
        <v>54</v>
      </c>
      <c r="C211" s="19" t="s">
        <v>53</v>
      </c>
      <c r="D211" s="19" t="s">
        <v>1316</v>
      </c>
      <c r="E211" s="28"/>
      <c r="F211" s="28"/>
    </row>
    <row r="212">
      <c r="A212" s="24" t="s">
        <v>451</v>
      </c>
      <c r="B212" s="19" t="s">
        <v>452</v>
      </c>
      <c r="C212" s="19" t="s">
        <v>453</v>
      </c>
      <c r="D212" s="19" t="s">
        <v>1319</v>
      </c>
      <c r="E212" s="19" t="s">
        <v>1317</v>
      </c>
      <c r="F212" s="19" t="s">
        <v>1323</v>
      </c>
    </row>
    <row r="213">
      <c r="A213" s="24" t="s">
        <v>505</v>
      </c>
      <c r="B213" s="19" t="s">
        <v>506</v>
      </c>
      <c r="C213" s="19" t="s">
        <v>507</v>
      </c>
      <c r="D213" s="19" t="s">
        <v>1322</v>
      </c>
      <c r="E213" s="19" t="s">
        <v>1317</v>
      </c>
      <c r="F213" s="19" t="s">
        <v>1323</v>
      </c>
    </row>
    <row r="214">
      <c r="A214" s="24" t="s">
        <v>722</v>
      </c>
      <c r="B214" s="19" t="s">
        <v>723</v>
      </c>
      <c r="C214" s="19" t="s">
        <v>724</v>
      </c>
      <c r="D214" s="19" t="s">
        <v>1319</v>
      </c>
      <c r="E214" s="19" t="s">
        <v>1317</v>
      </c>
      <c r="F214" s="19" t="s">
        <v>1318</v>
      </c>
    </row>
    <row r="215">
      <c r="A215" s="24" t="s">
        <v>813</v>
      </c>
      <c r="B215" s="19" t="s">
        <v>814</v>
      </c>
      <c r="C215" s="19" t="s">
        <v>815</v>
      </c>
      <c r="D215" s="19" t="s">
        <v>1319</v>
      </c>
      <c r="E215" s="19" t="s">
        <v>1317</v>
      </c>
      <c r="F215" s="19" t="s">
        <v>1318</v>
      </c>
    </row>
    <row r="216">
      <c r="A216" s="24" t="s">
        <v>275</v>
      </c>
      <c r="B216" s="19" t="s">
        <v>276</v>
      </c>
      <c r="C216" s="19" t="s">
        <v>277</v>
      </c>
      <c r="D216" s="19" t="s">
        <v>1319</v>
      </c>
      <c r="E216" s="19" t="s">
        <v>1317</v>
      </c>
      <c r="F216" s="19" t="s">
        <v>1323</v>
      </c>
    </row>
    <row r="217">
      <c r="A217" s="24" t="s">
        <v>55</v>
      </c>
      <c r="B217" s="19" t="s">
        <v>57</v>
      </c>
      <c r="C217" s="19" t="s">
        <v>56</v>
      </c>
      <c r="D217" s="19" t="s">
        <v>1322</v>
      </c>
      <c r="E217" s="19" t="s">
        <v>1320</v>
      </c>
      <c r="F217" s="19"/>
    </row>
    <row r="218">
      <c r="A218" s="24" t="s">
        <v>597</v>
      </c>
      <c r="B218" s="19" t="s">
        <v>598</v>
      </c>
      <c r="C218" s="19" t="s">
        <v>599</v>
      </c>
      <c r="D218" s="19" t="s">
        <v>1316</v>
      </c>
      <c r="E218" s="28"/>
      <c r="F218" s="28"/>
    </row>
    <row r="219">
      <c r="A219" s="24" t="s">
        <v>542</v>
      </c>
      <c r="B219" s="19" t="s">
        <v>543</v>
      </c>
      <c r="C219" s="19" t="s">
        <v>544</v>
      </c>
      <c r="D219" s="19" t="s">
        <v>1316</v>
      </c>
      <c r="E219" s="28"/>
      <c r="F219" s="28"/>
    </row>
    <row r="220">
      <c r="A220" s="24" t="s">
        <v>289</v>
      </c>
      <c r="B220" s="19" t="s">
        <v>290</v>
      </c>
      <c r="C220" s="19" t="s">
        <v>291</v>
      </c>
      <c r="D220" s="19" t="s">
        <v>1319</v>
      </c>
      <c r="E220" s="19" t="s">
        <v>1317</v>
      </c>
      <c r="F220" s="19" t="s">
        <v>1323</v>
      </c>
    </row>
    <row r="221">
      <c r="A221" s="24" t="s">
        <v>433</v>
      </c>
      <c r="B221" s="19" t="s">
        <v>434</v>
      </c>
      <c r="C221" s="19" t="s">
        <v>435</v>
      </c>
      <c r="D221" s="19" t="s">
        <v>1322</v>
      </c>
      <c r="E221" s="19" t="s">
        <v>1317</v>
      </c>
      <c r="F221" s="19" t="s">
        <v>1323</v>
      </c>
    </row>
    <row r="222">
      <c r="A222" s="24" t="s">
        <v>470</v>
      </c>
      <c r="B222" s="19" t="s">
        <v>471</v>
      </c>
      <c r="C222" s="19" t="s">
        <v>472</v>
      </c>
      <c r="D222" s="19" t="s">
        <v>1322</v>
      </c>
      <c r="E222" s="19" t="s">
        <v>1320</v>
      </c>
      <c r="F222" s="28"/>
    </row>
    <row r="223">
      <c r="A223" s="24" t="s">
        <v>650</v>
      </c>
      <c r="B223" s="19" t="s">
        <v>651</v>
      </c>
      <c r="C223" s="19" t="s">
        <v>652</v>
      </c>
      <c r="D223" s="19" t="s">
        <v>1319</v>
      </c>
      <c r="E223" s="19" t="s">
        <v>1317</v>
      </c>
      <c r="F223" s="19" t="s">
        <v>1323</v>
      </c>
    </row>
    <row r="224">
      <c r="A224" s="24" t="s">
        <v>445</v>
      </c>
      <c r="B224" s="19" t="s">
        <v>446</v>
      </c>
      <c r="C224" s="19" t="s">
        <v>447</v>
      </c>
      <c r="D224" s="19" t="s">
        <v>1316</v>
      </c>
      <c r="E224" s="28"/>
      <c r="F224" s="28"/>
    </row>
    <row r="225">
      <c r="A225" s="24" t="s">
        <v>58</v>
      </c>
      <c r="B225" s="19" t="s">
        <v>60</v>
      </c>
      <c r="C225" s="19" t="s">
        <v>59</v>
      </c>
      <c r="D225" s="19" t="s">
        <v>1319</v>
      </c>
      <c r="E225" s="19" t="s">
        <v>1317</v>
      </c>
      <c r="F225" s="19" t="s">
        <v>1323</v>
      </c>
    </row>
    <row r="226">
      <c r="A226" s="24" t="s">
        <v>476</v>
      </c>
      <c r="B226" s="19" t="s">
        <v>477</v>
      </c>
      <c r="C226" s="19" t="s">
        <v>478</v>
      </c>
      <c r="D226" s="19" t="s">
        <v>1316</v>
      </c>
      <c r="E226" s="28"/>
      <c r="F226" s="28"/>
    </row>
    <row r="227">
      <c r="A227" s="24" t="s">
        <v>278</v>
      </c>
      <c r="B227" s="19" t="s">
        <v>279</v>
      </c>
      <c r="C227" s="19" t="s">
        <v>280</v>
      </c>
      <c r="D227" s="19" t="s">
        <v>1322</v>
      </c>
      <c r="E227" s="19" t="s">
        <v>1317</v>
      </c>
      <c r="F227" s="19" t="s">
        <v>1323</v>
      </c>
    </row>
    <row r="228">
      <c r="A228" s="24" t="s">
        <v>401</v>
      </c>
      <c r="B228" s="19" t="s">
        <v>402</v>
      </c>
      <c r="C228" s="19" t="s">
        <v>403</v>
      </c>
      <c r="D228" s="19" t="s">
        <v>1322</v>
      </c>
      <c r="E228" s="19" t="s">
        <v>1317</v>
      </c>
      <c r="F228" s="19" t="s">
        <v>1326</v>
      </c>
    </row>
    <row r="229">
      <c r="A229" s="24" t="s">
        <v>307</v>
      </c>
      <c r="B229" s="19" t="s">
        <v>308</v>
      </c>
      <c r="C229" s="19" t="s">
        <v>309</v>
      </c>
      <c r="D229" s="19" t="s">
        <v>1319</v>
      </c>
      <c r="E229" s="19" t="s">
        <v>1317</v>
      </c>
      <c r="F229" s="19" t="s">
        <v>1323</v>
      </c>
    </row>
    <row r="230">
      <c r="A230" s="24" t="s">
        <v>235</v>
      </c>
      <c r="B230" s="19" t="s">
        <v>236</v>
      </c>
      <c r="C230" s="19" t="s">
        <v>237</v>
      </c>
      <c r="D230" s="19" t="s">
        <v>1316</v>
      </c>
      <c r="E230" s="28"/>
      <c r="F230" s="28"/>
    </row>
    <row r="231">
      <c r="A231" s="24" t="s">
        <v>310</v>
      </c>
      <c r="B231" s="19" t="s">
        <v>311</v>
      </c>
      <c r="C231" s="19" t="s">
        <v>312</v>
      </c>
      <c r="D231" s="19" t="s">
        <v>1316</v>
      </c>
      <c r="E231" s="28"/>
      <c r="F231" s="28"/>
    </row>
    <row r="232">
      <c r="A232" s="24" t="s">
        <v>643</v>
      </c>
      <c r="B232" s="19" t="s">
        <v>644</v>
      </c>
      <c r="C232" s="19" t="s">
        <v>645</v>
      </c>
      <c r="D232" s="19" t="s">
        <v>1316</v>
      </c>
      <c r="E232" s="28"/>
      <c r="F232" s="28"/>
    </row>
    <row r="233">
      <c r="A233" s="24" t="s">
        <v>61</v>
      </c>
      <c r="B233" s="19" t="s">
        <v>63</v>
      </c>
      <c r="C233" s="19" t="s">
        <v>62</v>
      </c>
      <c r="D233" s="19" t="s">
        <v>1316</v>
      </c>
      <c r="E233" s="28"/>
      <c r="F233" s="28"/>
    </row>
    <row r="234">
      <c r="A234" s="24" t="s">
        <v>585</v>
      </c>
      <c r="B234" s="19" t="s">
        <v>586</v>
      </c>
      <c r="C234" s="19" t="s">
        <v>587</v>
      </c>
      <c r="D234" s="19" t="s">
        <v>1316</v>
      </c>
      <c r="E234" s="28"/>
      <c r="F234" s="28"/>
    </row>
    <row r="235">
      <c r="A235" s="24" t="s">
        <v>490</v>
      </c>
      <c r="B235" s="19" t="s">
        <v>491</v>
      </c>
      <c r="C235" s="19" t="s">
        <v>492</v>
      </c>
      <c r="D235" s="19" t="s">
        <v>1322</v>
      </c>
      <c r="E235" s="19" t="s">
        <v>1320</v>
      </c>
      <c r="F235" s="28"/>
    </row>
    <row r="236">
      <c r="A236" s="24" t="s">
        <v>638</v>
      </c>
      <c r="B236" s="19" t="s">
        <v>639</v>
      </c>
      <c r="C236" s="19" t="s">
        <v>640</v>
      </c>
      <c r="D236" s="19" t="s">
        <v>1322</v>
      </c>
      <c r="E236" s="19" t="s">
        <v>1317</v>
      </c>
      <c r="F236" s="19" t="s">
        <v>1323</v>
      </c>
    </row>
    <row r="237">
      <c r="A237" s="24" t="s">
        <v>773</v>
      </c>
      <c r="B237" s="19" t="s">
        <v>774</v>
      </c>
      <c r="C237" s="19" t="s">
        <v>775</v>
      </c>
      <c r="D237" s="19" t="s">
        <v>1322</v>
      </c>
      <c r="E237" s="19" t="s">
        <v>1317</v>
      </c>
      <c r="F237" s="19" t="s">
        <v>1323</v>
      </c>
    </row>
    <row r="238">
      <c r="A238" s="24" t="s">
        <v>313</v>
      </c>
      <c r="B238" s="19" t="s">
        <v>314</v>
      </c>
      <c r="C238" s="19" t="s">
        <v>315</v>
      </c>
      <c r="D238" s="19" t="s">
        <v>1316</v>
      </c>
      <c r="E238" s="28"/>
      <c r="F238" s="28"/>
    </row>
    <row r="239">
      <c r="A239" s="24" t="s">
        <v>64</v>
      </c>
      <c r="B239" s="19" t="s">
        <v>66</v>
      </c>
      <c r="C239" s="19" t="s">
        <v>65</v>
      </c>
      <c r="D239" s="19" t="s">
        <v>1322</v>
      </c>
      <c r="E239" s="19" t="s">
        <v>1320</v>
      </c>
      <c r="F239" s="28"/>
    </row>
    <row r="240">
      <c r="A240" s="24" t="s">
        <v>532</v>
      </c>
      <c r="B240" s="19" t="s">
        <v>533</v>
      </c>
      <c r="C240" s="19" t="s">
        <v>534</v>
      </c>
      <c r="D240" s="19" t="s">
        <v>1319</v>
      </c>
      <c r="E240" s="19" t="s">
        <v>1317</v>
      </c>
      <c r="F240" s="19" t="s">
        <v>1323</v>
      </c>
    </row>
    <row r="241">
      <c r="A241" s="24" t="s">
        <v>67</v>
      </c>
      <c r="B241" s="19" t="s">
        <v>69</v>
      </c>
      <c r="C241" s="19" t="s">
        <v>68</v>
      </c>
      <c r="D241" s="19" t="s">
        <v>1322</v>
      </c>
      <c r="E241" s="19" t="s">
        <v>1320</v>
      </c>
      <c r="F241" s="28"/>
    </row>
    <row r="242">
      <c r="A242" s="24" t="s">
        <v>361</v>
      </c>
      <c r="B242" s="19" t="s">
        <v>362</v>
      </c>
      <c r="C242" s="19" t="s">
        <v>363</v>
      </c>
      <c r="D242" s="19" t="s">
        <v>1319</v>
      </c>
      <c r="E242" s="19" t="s">
        <v>1317</v>
      </c>
      <c r="F242" s="19" t="s">
        <v>1326</v>
      </c>
    </row>
    <row r="243">
      <c r="A243" s="24" t="s">
        <v>600</v>
      </c>
      <c r="B243" s="19" t="s">
        <v>601</v>
      </c>
      <c r="C243" s="19" t="s">
        <v>602</v>
      </c>
      <c r="D243" s="19" t="s">
        <v>1319</v>
      </c>
      <c r="E243" s="19" t="s">
        <v>1317</v>
      </c>
      <c r="F243" s="19" t="s">
        <v>1323</v>
      </c>
    </row>
    <row r="244">
      <c r="A244" s="24" t="s">
        <v>810</v>
      </c>
      <c r="B244" s="19" t="s">
        <v>811</v>
      </c>
      <c r="C244" s="19" t="s">
        <v>812</v>
      </c>
      <c r="D244" s="19" t="s">
        <v>1319</v>
      </c>
      <c r="E244" s="19" t="s">
        <v>1317</v>
      </c>
      <c r="F244" s="19" t="s">
        <v>1318</v>
      </c>
    </row>
    <row r="245">
      <c r="A245" s="24" t="s">
        <v>781</v>
      </c>
      <c r="B245" s="19" t="s">
        <v>782</v>
      </c>
      <c r="C245" s="19" t="s">
        <v>783</v>
      </c>
      <c r="D245" s="19" t="s">
        <v>1316</v>
      </c>
      <c r="E245" s="28"/>
      <c r="F245" s="28"/>
    </row>
    <row r="246">
      <c r="A246" s="24" t="s">
        <v>759</v>
      </c>
      <c r="B246" s="19" t="s">
        <v>760</v>
      </c>
      <c r="C246" s="19" t="s">
        <v>761</v>
      </c>
      <c r="D246" s="19" t="s">
        <v>1319</v>
      </c>
      <c r="E246" s="19" t="s">
        <v>1317</v>
      </c>
      <c r="F246" s="19" t="s">
        <v>1326</v>
      </c>
    </row>
    <row r="247">
      <c r="A247" s="24" t="s">
        <v>473</v>
      </c>
      <c r="B247" s="19" t="s">
        <v>474</v>
      </c>
      <c r="C247" s="19" t="s">
        <v>475</v>
      </c>
      <c r="D247" s="19" t="s">
        <v>1316</v>
      </c>
      <c r="E247" s="28"/>
      <c r="F247" s="28"/>
    </row>
    <row r="248">
      <c r="A248" s="24" t="s">
        <v>479</v>
      </c>
      <c r="B248" s="19" t="s">
        <v>480</v>
      </c>
      <c r="C248" s="19" t="s">
        <v>481</v>
      </c>
      <c r="D248" s="19" t="s">
        <v>1319</v>
      </c>
      <c r="E248" s="19" t="s">
        <v>1317</v>
      </c>
      <c r="F248" s="19" t="s">
        <v>1323</v>
      </c>
    </row>
    <row r="249">
      <c r="A249" s="24" t="s">
        <v>248</v>
      </c>
      <c r="B249" s="19" t="s">
        <v>249</v>
      </c>
      <c r="C249" s="19" t="s">
        <v>250</v>
      </c>
      <c r="D249" s="19" t="s">
        <v>1316</v>
      </c>
      <c r="E249" s="28"/>
      <c r="F249" s="28"/>
    </row>
    <row r="250">
      <c r="A250" s="24" t="s">
        <v>539</v>
      </c>
      <c r="B250" s="19" t="s">
        <v>540</v>
      </c>
      <c r="C250" s="19" t="s">
        <v>541</v>
      </c>
      <c r="D250" s="19" t="s">
        <v>1322</v>
      </c>
      <c r="E250" s="19" t="s">
        <v>1320</v>
      </c>
      <c r="F250" s="28"/>
    </row>
    <row r="251">
      <c r="A251" s="24" t="s">
        <v>70</v>
      </c>
      <c r="B251" s="19" t="s">
        <v>72</v>
      </c>
      <c r="C251" s="19" t="s">
        <v>71</v>
      </c>
      <c r="D251" s="19" t="s">
        <v>1316</v>
      </c>
      <c r="E251" s="28"/>
      <c r="F251" s="28"/>
    </row>
    <row r="252">
      <c r="A252" s="24" t="s">
        <v>764</v>
      </c>
      <c r="B252" s="19" t="s">
        <v>765</v>
      </c>
      <c r="C252" s="19" t="s">
        <v>766</v>
      </c>
      <c r="D252" s="19" t="s">
        <v>1322</v>
      </c>
      <c r="E252" s="19" t="s">
        <v>1317</v>
      </c>
      <c r="F252" s="19" t="s">
        <v>1323</v>
      </c>
    </row>
    <row r="253">
      <c r="A253" s="24" t="s">
        <v>367</v>
      </c>
      <c r="B253" s="19" t="s">
        <v>368</v>
      </c>
      <c r="C253" s="19" t="s">
        <v>369</v>
      </c>
      <c r="D253" s="19" t="s">
        <v>1319</v>
      </c>
      <c r="E253" s="19" t="s">
        <v>1317</v>
      </c>
      <c r="F253" s="19" t="s">
        <v>1323</v>
      </c>
    </row>
    <row r="254">
      <c r="A254" s="24" t="s">
        <v>556</v>
      </c>
      <c r="B254" s="19" t="s">
        <v>557</v>
      </c>
      <c r="C254" s="19" t="s">
        <v>558</v>
      </c>
      <c r="D254" s="19" t="s">
        <v>1319</v>
      </c>
      <c r="E254" s="19" t="s">
        <v>1317</v>
      </c>
      <c r="F254" s="19" t="s">
        <v>1323</v>
      </c>
    </row>
    <row r="255">
      <c r="A255" s="24" t="s">
        <v>303</v>
      </c>
      <c r="B255" s="19" t="s">
        <v>304</v>
      </c>
      <c r="C255" s="19" t="s">
        <v>305</v>
      </c>
      <c r="D255" s="19" t="s">
        <v>1319</v>
      </c>
      <c r="E255" s="19" t="s">
        <v>1317</v>
      </c>
      <c r="F255" s="19" t="s">
        <v>1323</v>
      </c>
    </row>
    <row r="256">
      <c r="A256" s="24" t="s">
        <v>392</v>
      </c>
      <c r="B256" s="19" t="s">
        <v>393</v>
      </c>
      <c r="C256" s="19" t="s">
        <v>394</v>
      </c>
      <c r="D256" s="19" t="s">
        <v>1319</v>
      </c>
      <c r="E256" s="19" t="s">
        <v>1317</v>
      </c>
      <c r="F256" s="19" t="s">
        <v>1323</v>
      </c>
    </row>
    <row r="257">
      <c r="A257" s="24" t="s">
        <v>73</v>
      </c>
      <c r="B257" s="19" t="s">
        <v>75</v>
      </c>
      <c r="C257" s="19" t="s">
        <v>74</v>
      </c>
      <c r="D257" s="19" t="s">
        <v>1316</v>
      </c>
      <c r="E257" s="28"/>
      <c r="F257" s="28"/>
    </row>
    <row r="258">
      <c r="A258" s="24" t="s">
        <v>624</v>
      </c>
      <c r="B258" s="19" t="s">
        <v>625</v>
      </c>
      <c r="C258" s="19" t="s">
        <v>626</v>
      </c>
      <c r="D258" s="19" t="s">
        <v>1316</v>
      </c>
      <c r="E258" s="28"/>
      <c r="F258" s="28"/>
    </row>
    <row r="259">
      <c r="A259" s="24" t="s">
        <v>76</v>
      </c>
      <c r="B259" s="19" t="s">
        <v>78</v>
      </c>
      <c r="C259" s="19" t="s">
        <v>77</v>
      </c>
      <c r="D259" s="19" t="s">
        <v>1322</v>
      </c>
      <c r="E259" s="19" t="s">
        <v>1320</v>
      </c>
      <c r="F259" s="28"/>
    </row>
    <row r="260">
      <c r="A260" s="24" t="s">
        <v>457</v>
      </c>
      <c r="B260" s="19" t="s">
        <v>458</v>
      </c>
      <c r="C260" s="19" t="s">
        <v>459</v>
      </c>
      <c r="D260" s="19" t="s">
        <v>1316</v>
      </c>
      <c r="E260" s="28"/>
      <c r="F260" s="28"/>
    </row>
    <row r="261">
      <c r="A261" s="24" t="s">
        <v>436</v>
      </c>
      <c r="B261" s="19" t="s">
        <v>437</v>
      </c>
      <c r="C261" s="19" t="s">
        <v>438</v>
      </c>
      <c r="D261" s="19" t="s">
        <v>1322</v>
      </c>
      <c r="E261" s="19" t="s">
        <v>1317</v>
      </c>
      <c r="F261" s="19" t="s">
        <v>1323</v>
      </c>
    </row>
    <row r="262">
      <c r="A262" s="24" t="s">
        <v>260</v>
      </c>
      <c r="B262" s="19" t="s">
        <v>261</v>
      </c>
      <c r="C262" s="19" t="s">
        <v>262</v>
      </c>
      <c r="D262" s="19" t="s">
        <v>1319</v>
      </c>
      <c r="E262" s="19" t="s">
        <v>1317</v>
      </c>
      <c r="F262" s="19" t="s">
        <v>1323</v>
      </c>
    </row>
    <row r="263">
      <c r="A263" s="24" t="s">
        <v>463</v>
      </c>
      <c r="B263" s="19" t="s">
        <v>464</v>
      </c>
      <c r="C263" s="19" t="s">
        <v>465</v>
      </c>
      <c r="D263" s="19" t="s">
        <v>1316</v>
      </c>
      <c r="E263" s="28"/>
      <c r="F263" s="28"/>
    </row>
    <row r="264">
      <c r="A264" s="24" t="s">
        <v>659</v>
      </c>
      <c r="B264" s="19" t="s">
        <v>660</v>
      </c>
      <c r="C264" s="19" t="s">
        <v>661</v>
      </c>
      <c r="D264" s="19" t="s">
        <v>1322</v>
      </c>
      <c r="E264" s="19" t="s">
        <v>1317</v>
      </c>
      <c r="F264" s="19" t="s">
        <v>1318</v>
      </c>
    </row>
    <row r="265">
      <c r="A265" s="24" t="s">
        <v>1237</v>
      </c>
      <c r="B265" s="19" t="s">
        <v>1238</v>
      </c>
      <c r="C265" s="19" t="s">
        <v>1239</v>
      </c>
      <c r="D265" s="19" t="s">
        <v>1322</v>
      </c>
      <c r="E265" s="19" t="s">
        <v>1317</v>
      </c>
      <c r="F265" s="19" t="s">
        <v>1326</v>
      </c>
    </row>
    <row r="266">
      <c r="A266" s="24" t="s">
        <v>493</v>
      </c>
      <c r="B266" s="19" t="s">
        <v>494</v>
      </c>
      <c r="C266" s="19" t="s">
        <v>495</v>
      </c>
      <c r="D266" s="19" t="s">
        <v>1322</v>
      </c>
      <c r="E266" s="19" t="s">
        <v>1317</v>
      </c>
      <c r="F266" s="19" t="s">
        <v>1324</v>
      </c>
    </row>
    <row r="267">
      <c r="A267" s="24" t="s">
        <v>606</v>
      </c>
      <c r="B267" s="19" t="s">
        <v>607</v>
      </c>
      <c r="C267" s="19" t="s">
        <v>608</v>
      </c>
      <c r="D267" s="19" t="s">
        <v>1322</v>
      </c>
      <c r="E267" s="19" t="s">
        <v>1317</v>
      </c>
      <c r="F267" s="19" t="s">
        <v>1323</v>
      </c>
    </row>
    <row r="268">
      <c r="A268" s="24" t="s">
        <v>460</v>
      </c>
      <c r="B268" s="19" t="s">
        <v>461</v>
      </c>
      <c r="C268" s="19" t="s">
        <v>462</v>
      </c>
      <c r="D268" s="19" t="s">
        <v>1316</v>
      </c>
      <c r="E268" s="28"/>
      <c r="F268" s="28"/>
    </row>
    <row r="269">
      <c r="A269" s="24" t="s">
        <v>621</v>
      </c>
      <c r="B269" s="19" t="s">
        <v>622</v>
      </c>
      <c r="C269" s="19" t="s">
        <v>623</v>
      </c>
      <c r="D269" s="19" t="s">
        <v>1322</v>
      </c>
      <c r="E269" s="19" t="s">
        <v>1317</v>
      </c>
      <c r="F269" s="19" t="s">
        <v>1323</v>
      </c>
    </row>
    <row r="270">
      <c r="A270" s="24" t="s">
        <v>427</v>
      </c>
      <c r="B270" s="19" t="s">
        <v>428</v>
      </c>
      <c r="C270" s="19" t="s">
        <v>429</v>
      </c>
      <c r="D270" s="19" t="s">
        <v>1319</v>
      </c>
      <c r="E270" s="19" t="s">
        <v>1317</v>
      </c>
      <c r="F270" s="19" t="s">
        <v>1323</v>
      </c>
      <c r="G270" s="19" t="s">
        <v>1333</v>
      </c>
    </row>
    <row r="271">
      <c r="A271" s="24" t="s">
        <v>770</v>
      </c>
      <c r="B271" s="19" t="s">
        <v>771</v>
      </c>
      <c r="C271" s="19" t="s">
        <v>772</v>
      </c>
      <c r="D271" s="19" t="s">
        <v>1322</v>
      </c>
      <c r="E271" s="19" t="s">
        <v>1317</v>
      </c>
      <c r="F271" s="19" t="s">
        <v>1318</v>
      </c>
    </row>
    <row r="272">
      <c r="A272" s="24" t="s">
        <v>514</v>
      </c>
      <c r="B272" s="19" t="s">
        <v>515</v>
      </c>
      <c r="C272" s="19" t="s">
        <v>516</v>
      </c>
      <c r="D272" s="19" t="s">
        <v>1316</v>
      </c>
      <c r="E272" s="28"/>
      <c r="F272" s="28"/>
    </row>
    <row r="273">
      <c r="A273" s="24" t="s">
        <v>681</v>
      </c>
      <c r="B273" s="19" t="s">
        <v>682</v>
      </c>
      <c r="C273" s="19" t="s">
        <v>683</v>
      </c>
      <c r="D273" s="19" t="s">
        <v>1316</v>
      </c>
      <c r="E273" s="28"/>
      <c r="F273" s="28"/>
    </row>
    <row r="274">
      <c r="A274" s="24" t="s">
        <v>352</v>
      </c>
      <c r="B274" s="19" t="s">
        <v>353</v>
      </c>
      <c r="C274" s="19" t="s">
        <v>354</v>
      </c>
      <c r="D274" s="19" t="s">
        <v>1319</v>
      </c>
      <c r="E274" s="19" t="s">
        <v>1317</v>
      </c>
      <c r="F274" s="19" t="s">
        <v>1335</v>
      </c>
      <c r="G274" s="19" t="s">
        <v>1336</v>
      </c>
    </row>
    <row r="275">
      <c r="A275" s="24" t="s">
        <v>355</v>
      </c>
      <c r="B275" s="19" t="s">
        <v>356</v>
      </c>
      <c r="C275" s="19" t="s">
        <v>357</v>
      </c>
      <c r="D275" s="19" t="s">
        <v>1322</v>
      </c>
      <c r="E275" s="19" t="s">
        <v>1317</v>
      </c>
      <c r="F275" s="19" t="s">
        <v>1323</v>
      </c>
    </row>
    <row r="276">
      <c r="A276" s="24" t="s">
        <v>257</v>
      </c>
      <c r="B276" s="19" t="s">
        <v>258</v>
      </c>
      <c r="C276" s="19" t="s">
        <v>259</v>
      </c>
      <c r="D276" s="19" t="s">
        <v>1316</v>
      </c>
      <c r="E276" s="28"/>
      <c r="F276" s="28"/>
    </row>
    <row r="277">
      <c r="A277" s="24" t="s">
        <v>787</v>
      </c>
      <c r="B277" s="19" t="s">
        <v>788</v>
      </c>
      <c r="C277" s="19" t="s">
        <v>789</v>
      </c>
      <c r="D277" s="19" t="s">
        <v>1319</v>
      </c>
      <c r="E277" s="19" t="s">
        <v>1317</v>
      </c>
      <c r="F277" s="19" t="s">
        <v>1318</v>
      </c>
    </row>
    <row r="278">
      <c r="A278" s="24" t="s">
        <v>790</v>
      </c>
      <c r="B278" s="19" t="s">
        <v>791</v>
      </c>
      <c r="C278" s="19" t="s">
        <v>792</v>
      </c>
      <c r="D278" s="19" t="s">
        <v>1319</v>
      </c>
      <c r="E278" s="19" t="s">
        <v>1317</v>
      </c>
      <c r="F278" s="19" t="s">
        <v>1318</v>
      </c>
    </row>
    <row r="279">
      <c r="A279" s="24" t="s">
        <v>517</v>
      </c>
      <c r="B279" s="19" t="s">
        <v>518</v>
      </c>
      <c r="C279" s="19" t="s">
        <v>519</v>
      </c>
      <c r="D279" s="19" t="s">
        <v>1319</v>
      </c>
      <c r="E279" s="19" t="s">
        <v>1317</v>
      </c>
      <c r="F279" s="19" t="s">
        <v>1323</v>
      </c>
    </row>
    <row r="280">
      <c r="A280" s="24" t="s">
        <v>615</v>
      </c>
      <c r="B280" s="19" t="s">
        <v>616</v>
      </c>
      <c r="C280" s="19" t="s">
        <v>617</v>
      </c>
      <c r="D280" s="19" t="s">
        <v>1319</v>
      </c>
      <c r="E280" s="19" t="s">
        <v>1317</v>
      </c>
      <c r="F280" s="19" t="s">
        <v>1323</v>
      </c>
    </row>
    <row r="281">
      <c r="A281" s="24" t="s">
        <v>338</v>
      </c>
      <c r="B281" s="19" t="s">
        <v>339</v>
      </c>
      <c r="C281" s="19" t="s">
        <v>340</v>
      </c>
      <c r="D281" s="19" t="s">
        <v>1316</v>
      </c>
      <c r="E281" s="28"/>
      <c r="F281" s="28"/>
    </row>
    <row r="282">
      <c r="A282" s="24" t="s">
        <v>508</v>
      </c>
      <c r="B282" s="19" t="s">
        <v>509</v>
      </c>
      <c r="C282" s="19" t="s">
        <v>510</v>
      </c>
      <c r="D282" s="19" t="s">
        <v>1319</v>
      </c>
      <c r="E282" s="19" t="s">
        <v>1317</v>
      </c>
      <c r="F282" s="19" t="s">
        <v>1323</v>
      </c>
      <c r="G282" s="19" t="s">
        <v>1337</v>
      </c>
    </row>
    <row r="283">
      <c r="A283" s="24" t="s">
        <v>612</v>
      </c>
      <c r="B283" s="19" t="s">
        <v>613</v>
      </c>
      <c r="C283" s="19" t="s">
        <v>614</v>
      </c>
      <c r="D283" s="19" t="s">
        <v>1319</v>
      </c>
      <c r="E283" s="19" t="s">
        <v>1317</v>
      </c>
      <c r="F283" s="19" t="s">
        <v>1326</v>
      </c>
    </row>
    <row r="284">
      <c r="A284" s="24" t="s">
        <v>499</v>
      </c>
      <c r="B284" s="19" t="s">
        <v>500</v>
      </c>
      <c r="C284" s="19" t="s">
        <v>501</v>
      </c>
      <c r="D284" s="19" t="s">
        <v>1316</v>
      </c>
      <c r="E284" s="28"/>
      <c r="F284" s="28"/>
    </row>
    <row r="285">
      <c r="A285" s="24" t="s">
        <v>238</v>
      </c>
      <c r="B285" s="19" t="s">
        <v>239</v>
      </c>
      <c r="C285" s="19" t="s">
        <v>240</v>
      </c>
      <c r="D285" s="19" t="s">
        <v>1316</v>
      </c>
      <c r="E285" s="28"/>
      <c r="F285" s="28"/>
    </row>
    <row r="286">
      <c r="A286" s="24" t="s">
        <v>487</v>
      </c>
      <c r="B286" s="19" t="s">
        <v>488</v>
      </c>
      <c r="C286" s="19" t="s">
        <v>489</v>
      </c>
      <c r="D286" s="19" t="s">
        <v>1319</v>
      </c>
      <c r="E286" s="19" t="s">
        <v>1317</v>
      </c>
      <c r="F286" s="19" t="s">
        <v>1323</v>
      </c>
    </row>
    <row r="287">
      <c r="A287" s="24" t="s">
        <v>548</v>
      </c>
      <c r="B287" s="19" t="s">
        <v>549</v>
      </c>
      <c r="C287" s="19" t="s">
        <v>550</v>
      </c>
      <c r="D287" s="19" t="s">
        <v>1319</v>
      </c>
      <c r="E287" s="19" t="s">
        <v>1317</v>
      </c>
      <c r="F287" s="19" t="s">
        <v>1323</v>
      </c>
    </row>
    <row r="288">
      <c r="A288" s="24" t="s">
        <v>579</v>
      </c>
      <c r="B288" s="19" t="s">
        <v>580</v>
      </c>
      <c r="C288" s="19" t="s">
        <v>581</v>
      </c>
      <c r="D288" s="19" t="s">
        <v>1322</v>
      </c>
      <c r="E288" s="19" t="s">
        <v>1320</v>
      </c>
      <c r="F288" s="28"/>
    </row>
    <row r="289">
      <c r="A289" s="24" t="s">
        <v>316</v>
      </c>
      <c r="B289" s="19" t="s">
        <v>317</v>
      </c>
      <c r="C289" s="19" t="s">
        <v>318</v>
      </c>
      <c r="D289" s="19" t="s">
        <v>1316</v>
      </c>
      <c r="E289" s="28"/>
      <c r="F289" s="28"/>
    </row>
    <row r="290">
      <c r="A290" s="24" t="s">
        <v>582</v>
      </c>
      <c r="B290" s="19" t="s">
        <v>583</v>
      </c>
      <c r="C290" s="19" t="s">
        <v>584</v>
      </c>
      <c r="D290" s="19" t="s">
        <v>1319</v>
      </c>
      <c r="E290" s="19" t="s">
        <v>1317</v>
      </c>
      <c r="F290" s="19" t="s">
        <v>1323</v>
      </c>
    </row>
    <row r="291">
      <c r="A291" s="24" t="s">
        <v>79</v>
      </c>
      <c r="B291" s="19" t="s">
        <v>81</v>
      </c>
      <c r="C291" s="19" t="s">
        <v>80</v>
      </c>
      <c r="D291" s="19" t="s">
        <v>1319</v>
      </c>
      <c r="E291" s="19" t="s">
        <v>1317</v>
      </c>
      <c r="F291" s="19" t="s">
        <v>1323</v>
      </c>
      <c r="G291" s="19" t="s">
        <v>1691</v>
      </c>
    </row>
    <row r="292">
      <c r="A292" s="24" t="s">
        <v>430</v>
      </c>
      <c r="B292" s="19" t="s">
        <v>431</v>
      </c>
      <c r="C292" s="19" t="s">
        <v>432</v>
      </c>
      <c r="D292" s="19" t="s">
        <v>1316</v>
      </c>
      <c r="E292" s="28"/>
      <c r="F292" s="28"/>
    </row>
    <row r="293">
      <c r="A293" s="24" t="s">
        <v>565</v>
      </c>
      <c r="B293" s="19" t="s">
        <v>566</v>
      </c>
      <c r="C293" s="19" t="s">
        <v>567</v>
      </c>
      <c r="D293" s="19" t="s">
        <v>1319</v>
      </c>
      <c r="E293" s="19" t="s">
        <v>1317</v>
      </c>
      <c r="F293" s="19" t="s">
        <v>1323</v>
      </c>
    </row>
    <row r="294">
      <c r="A294" s="24" t="s">
        <v>370</v>
      </c>
      <c r="B294" s="19" t="s">
        <v>371</v>
      </c>
      <c r="C294" s="19" t="s">
        <v>372</v>
      </c>
      <c r="D294" s="19" t="s">
        <v>1316</v>
      </c>
      <c r="E294" s="28"/>
      <c r="F294" s="28"/>
    </row>
    <row r="295">
      <c r="A295" s="24" t="s">
        <v>588</v>
      </c>
      <c r="B295" s="19" t="s">
        <v>589</v>
      </c>
      <c r="C295" s="19" t="s">
        <v>590</v>
      </c>
      <c r="D295" s="19" t="s">
        <v>1316</v>
      </c>
      <c r="E295" s="28"/>
      <c r="F295" s="28"/>
    </row>
    <row r="296">
      <c r="A296" s="24" t="s">
        <v>349</v>
      </c>
      <c r="B296" s="19" t="s">
        <v>350</v>
      </c>
      <c r="C296" s="19" t="s">
        <v>351</v>
      </c>
      <c r="D296" s="19" t="s">
        <v>1319</v>
      </c>
      <c r="E296" s="19" t="s">
        <v>1317</v>
      </c>
      <c r="F296" s="19" t="s">
        <v>1323</v>
      </c>
      <c r="G296" s="19" t="s">
        <v>1338</v>
      </c>
    </row>
    <row r="297">
      <c r="A297" s="24" t="s">
        <v>784</v>
      </c>
      <c r="B297" s="19" t="s">
        <v>785</v>
      </c>
      <c r="C297" s="19" t="s">
        <v>786</v>
      </c>
      <c r="D297" s="19" t="s">
        <v>1316</v>
      </c>
      <c r="E297" s="28"/>
      <c r="F297" s="28"/>
    </row>
    <row r="298">
      <c r="A298" s="24" t="s">
        <v>398</v>
      </c>
      <c r="B298" s="19" t="s">
        <v>399</v>
      </c>
      <c r="C298" s="19" t="s">
        <v>400</v>
      </c>
      <c r="D298" s="19" t="s">
        <v>1322</v>
      </c>
      <c r="E298" s="19" t="s">
        <v>1320</v>
      </c>
      <c r="F298" s="28"/>
    </row>
    <row r="299">
      <c r="A299" s="24" t="s">
        <v>229</v>
      </c>
      <c r="B299" s="19" t="s">
        <v>230</v>
      </c>
      <c r="C299" s="19" t="s">
        <v>231</v>
      </c>
      <c r="D299" s="19" t="s">
        <v>1316</v>
      </c>
      <c r="E299" s="28"/>
      <c r="F299" s="28"/>
    </row>
    <row r="300">
      <c r="A300" s="24" t="s">
        <v>373</v>
      </c>
      <c r="B300" s="19" t="s">
        <v>374</v>
      </c>
      <c r="C300" s="19" t="s">
        <v>375</v>
      </c>
      <c r="D300" s="19" t="s">
        <v>1319</v>
      </c>
      <c r="E300" s="19" t="s">
        <v>1317</v>
      </c>
      <c r="F300" s="19" t="s">
        <v>1323</v>
      </c>
    </row>
    <row r="301">
      <c r="A301" s="24" t="s">
        <v>559</v>
      </c>
      <c r="B301" s="19" t="s">
        <v>560</v>
      </c>
      <c r="C301" s="19" t="s">
        <v>561</v>
      </c>
      <c r="D301" s="19" t="s">
        <v>1316</v>
      </c>
      <c r="E301" s="28"/>
      <c r="F301" s="28"/>
    </row>
    <row r="302">
      <c r="A302" s="24" t="s">
        <v>387</v>
      </c>
      <c r="B302" s="19" t="s">
        <v>388</v>
      </c>
      <c r="C302" s="19" t="s">
        <v>389</v>
      </c>
      <c r="D302" s="19" t="s">
        <v>1316</v>
      </c>
      <c r="E302" s="28"/>
      <c r="F302" s="28"/>
    </row>
    <row r="303">
      <c r="A303" s="24" t="s">
        <v>82</v>
      </c>
      <c r="B303" s="19" t="s">
        <v>84</v>
      </c>
      <c r="C303" s="19" t="s">
        <v>83</v>
      </c>
      <c r="D303" s="19" t="s">
        <v>1316</v>
      </c>
      <c r="E303" s="28"/>
      <c r="F303" s="28"/>
    </row>
    <row r="304">
      <c r="A304" s="24" t="s">
        <v>778</v>
      </c>
      <c r="B304" s="19" t="s">
        <v>779</v>
      </c>
      <c r="C304" s="19" t="s">
        <v>780</v>
      </c>
      <c r="D304" s="19" t="s">
        <v>1316</v>
      </c>
      <c r="E304" s="28"/>
      <c r="F304" s="28"/>
    </row>
    <row r="305">
      <c r="A305" s="24" t="s">
        <v>536</v>
      </c>
      <c r="B305" s="19" t="s">
        <v>537</v>
      </c>
      <c r="C305" s="25" t="s">
        <v>538</v>
      </c>
      <c r="D305" s="19" t="s">
        <v>1319</v>
      </c>
      <c r="E305" s="19" t="s">
        <v>1317</v>
      </c>
      <c r="F305" s="19" t="s">
        <v>1323</v>
      </c>
    </row>
    <row r="306">
      <c r="A306" s="24" t="s">
        <v>364</v>
      </c>
      <c r="B306" s="19" t="s">
        <v>365</v>
      </c>
      <c r="C306" s="19" t="s">
        <v>366</v>
      </c>
      <c r="D306" s="19" t="s">
        <v>1319</v>
      </c>
      <c r="E306" s="19" t="s">
        <v>1317</v>
      </c>
      <c r="F306" s="19" t="s">
        <v>1323</v>
      </c>
    </row>
    <row r="307">
      <c r="A307" s="29" t="s">
        <v>85</v>
      </c>
      <c r="B307" s="19" t="s">
        <v>87</v>
      </c>
      <c r="C307" s="19" t="s">
        <v>86</v>
      </c>
      <c r="D307" s="19" t="s">
        <v>1322</v>
      </c>
      <c r="E307" s="19" t="s">
        <v>1320</v>
      </c>
      <c r="F307" s="28"/>
    </row>
    <row r="308">
      <c r="A308" s="24" t="s">
        <v>88</v>
      </c>
      <c r="B308" s="19" t="s">
        <v>90</v>
      </c>
      <c r="C308" s="19" t="s">
        <v>89</v>
      </c>
      <c r="D308" s="19" t="s">
        <v>1316</v>
      </c>
      <c r="E308" s="28"/>
      <c r="F308" s="28"/>
    </row>
    <row r="309">
      <c r="A309" s="24" t="s">
        <v>91</v>
      </c>
      <c r="B309" s="19" t="s">
        <v>93</v>
      </c>
      <c r="C309" s="19" t="s">
        <v>92</v>
      </c>
      <c r="D309" s="19" t="s">
        <v>1322</v>
      </c>
      <c r="E309" s="19" t="s">
        <v>1320</v>
      </c>
      <c r="F309" s="28"/>
    </row>
    <row r="310">
      <c r="A310" s="24" t="s">
        <v>618</v>
      </c>
      <c r="B310" s="19" t="s">
        <v>619</v>
      </c>
      <c r="C310" s="19" t="s">
        <v>620</v>
      </c>
      <c r="D310" s="19" t="s">
        <v>1322</v>
      </c>
      <c r="E310" s="19" t="s">
        <v>1317</v>
      </c>
      <c r="F310" s="19" t="s">
        <v>1323</v>
      </c>
    </row>
    <row r="311">
      <c r="A311" s="24" t="s">
        <v>94</v>
      </c>
      <c r="B311" s="19" t="s">
        <v>96</v>
      </c>
      <c r="C311" s="19" t="s">
        <v>95</v>
      </c>
      <c r="D311" s="19" t="s">
        <v>1319</v>
      </c>
      <c r="E311" s="19" t="s">
        <v>1320</v>
      </c>
      <c r="F311" s="28"/>
      <c r="G311" s="19" t="s">
        <v>1340</v>
      </c>
    </row>
    <row r="312">
      <c r="A312" s="24" t="s">
        <v>412</v>
      </c>
      <c r="B312" s="19" t="s">
        <v>413</v>
      </c>
      <c r="C312" s="19" t="s">
        <v>414</v>
      </c>
      <c r="D312" s="19" t="s">
        <v>1316</v>
      </c>
      <c r="E312" s="28"/>
      <c r="F312" s="28"/>
    </row>
    <row r="313">
      <c r="A313" s="24" t="s">
        <v>297</v>
      </c>
      <c r="B313" s="19" t="s">
        <v>298</v>
      </c>
      <c r="C313" s="19" t="s">
        <v>299</v>
      </c>
      <c r="D313" s="19" t="s">
        <v>1316</v>
      </c>
      <c r="E313" s="28"/>
      <c r="F313" s="28"/>
    </row>
    <row r="314">
      <c r="A314" s="24" t="s">
        <v>97</v>
      </c>
      <c r="B314" s="19" t="s">
        <v>99</v>
      </c>
      <c r="C314" s="19" t="s">
        <v>98</v>
      </c>
      <c r="D314" s="19" t="s">
        <v>1316</v>
      </c>
      <c r="E314" s="28"/>
      <c r="F314" s="28"/>
    </row>
    <row r="315">
      <c r="A315" s="24" t="s">
        <v>591</v>
      </c>
      <c r="B315" s="19" t="s">
        <v>592</v>
      </c>
      <c r="C315" s="19" t="s">
        <v>593</v>
      </c>
      <c r="D315" s="19" t="s">
        <v>1319</v>
      </c>
      <c r="E315" s="19" t="s">
        <v>1317</v>
      </c>
      <c r="F315" s="19" t="s">
        <v>1323</v>
      </c>
    </row>
    <row r="316">
      <c r="A316" s="24" t="s">
        <v>484</v>
      </c>
      <c r="B316" s="19" t="s">
        <v>485</v>
      </c>
      <c r="C316" s="19" t="s">
        <v>486</v>
      </c>
      <c r="D316" s="19" t="s">
        <v>1316</v>
      </c>
      <c r="E316" s="28"/>
      <c r="F316" s="28"/>
    </row>
    <row r="317">
      <c r="A317" s="24" t="s">
        <v>379</v>
      </c>
      <c r="B317" s="19" t="s">
        <v>380</v>
      </c>
      <c r="C317" s="19" t="s">
        <v>381</v>
      </c>
      <c r="D317" s="19" t="s">
        <v>1322</v>
      </c>
      <c r="E317" s="19" t="s">
        <v>1320</v>
      </c>
      <c r="F317" s="28"/>
    </row>
    <row r="318">
      <c r="A318" s="24" t="s">
        <v>281</v>
      </c>
      <c r="B318" s="19" t="s">
        <v>282</v>
      </c>
      <c r="C318" s="19" t="s">
        <v>283</v>
      </c>
      <c r="D318" s="19" t="s">
        <v>1322</v>
      </c>
      <c r="E318" s="19" t="s">
        <v>1320</v>
      </c>
      <c r="F318" s="28"/>
    </row>
    <row r="319">
      <c r="A319" s="24" t="s">
        <v>529</v>
      </c>
      <c r="B319" s="19" t="s">
        <v>530</v>
      </c>
      <c r="C319" s="19" t="s">
        <v>531</v>
      </c>
      <c r="D319" s="19" t="s">
        <v>1316</v>
      </c>
      <c r="E319" s="28"/>
      <c r="F319" s="28"/>
    </row>
    <row r="320">
      <c r="A320" s="24" t="s">
        <v>269</v>
      </c>
      <c r="B320" s="19" t="s">
        <v>270</v>
      </c>
      <c r="C320" s="19" t="s">
        <v>271</v>
      </c>
      <c r="D320" s="19" t="s">
        <v>1322</v>
      </c>
      <c r="E320" s="19" t="s">
        <v>1320</v>
      </c>
      <c r="F320" s="28"/>
    </row>
    <row r="321">
      <c r="A321" s="24" t="s">
        <v>523</v>
      </c>
      <c r="B321" s="19" t="s">
        <v>524</v>
      </c>
      <c r="C321" s="19" t="s">
        <v>525</v>
      </c>
      <c r="D321" s="19" t="s">
        <v>1322</v>
      </c>
      <c r="E321" s="19" t="s">
        <v>1317</v>
      </c>
      <c r="F321" s="19" t="s">
        <v>1323</v>
      </c>
    </row>
    <row r="322">
      <c r="A322" s="24" t="s">
        <v>551</v>
      </c>
      <c r="B322" s="19" t="s">
        <v>552</v>
      </c>
      <c r="C322" s="19" t="s">
        <v>553</v>
      </c>
      <c r="D322" s="19" t="s">
        <v>1316</v>
      </c>
      <c r="E322" s="28"/>
      <c r="F322" s="28"/>
    </row>
    <row r="323">
      <c r="A323" s="24" t="s">
        <v>594</v>
      </c>
      <c r="B323" s="19" t="s">
        <v>595</v>
      </c>
      <c r="C323" s="19" t="s">
        <v>596</v>
      </c>
      <c r="D323" s="19" t="s">
        <v>1319</v>
      </c>
      <c r="E323" s="19" t="s">
        <v>1317</v>
      </c>
      <c r="F323" s="19" t="s">
        <v>1323</v>
      </c>
    </row>
    <row r="324">
      <c r="A324" s="24" t="s">
        <v>635</v>
      </c>
      <c r="B324" s="19" t="s">
        <v>636</v>
      </c>
      <c r="C324" s="19" t="s">
        <v>637</v>
      </c>
      <c r="D324" s="19" t="s">
        <v>1322</v>
      </c>
      <c r="E324" s="19" t="s">
        <v>1317</v>
      </c>
      <c r="F324" s="19" t="s">
        <v>1323</v>
      </c>
    </row>
    <row r="325">
      <c r="A325" s="24" t="s">
        <v>406</v>
      </c>
      <c r="B325" s="19" t="s">
        <v>407</v>
      </c>
      <c r="C325" s="19" t="s">
        <v>408</v>
      </c>
      <c r="D325" s="19" t="s">
        <v>1319</v>
      </c>
      <c r="E325" s="19" t="s">
        <v>1317</v>
      </c>
      <c r="F325" s="19" t="s">
        <v>1323</v>
      </c>
    </row>
    <row r="326">
      <c r="A326" s="24" t="s">
        <v>251</v>
      </c>
      <c r="B326" s="19" t="s">
        <v>252</v>
      </c>
      <c r="C326" s="19" t="s">
        <v>253</v>
      </c>
      <c r="D326" s="19" t="s">
        <v>1316</v>
      </c>
      <c r="E326" s="28"/>
      <c r="F326" s="28"/>
    </row>
    <row r="327">
      <c r="A327" s="24" t="s">
        <v>358</v>
      </c>
      <c r="B327" s="19" t="s">
        <v>359</v>
      </c>
      <c r="C327" s="19" t="s">
        <v>360</v>
      </c>
      <c r="D327" s="19" t="s">
        <v>1316</v>
      </c>
      <c r="E327" s="28"/>
      <c r="F327" s="28"/>
    </row>
    <row r="328">
      <c r="A328" s="24" t="s">
        <v>646</v>
      </c>
      <c r="B328" s="19" t="s">
        <v>647</v>
      </c>
      <c r="C328" s="19" t="s">
        <v>648</v>
      </c>
      <c r="D328" s="19" t="s">
        <v>1316</v>
      </c>
      <c r="E328" s="28"/>
      <c r="F328" s="28"/>
    </row>
    <row r="329">
      <c r="A329" s="24" t="s">
        <v>100</v>
      </c>
      <c r="B329" s="19" t="s">
        <v>102</v>
      </c>
      <c r="C329" s="19" t="s">
        <v>101</v>
      </c>
      <c r="D329" s="19" t="s">
        <v>1316</v>
      </c>
      <c r="E329" s="28"/>
      <c r="F329" s="28"/>
    </row>
    <row r="330">
      <c r="A330" s="24" t="s">
        <v>562</v>
      </c>
      <c r="B330" s="19" t="s">
        <v>563</v>
      </c>
      <c r="C330" s="19" t="s">
        <v>564</v>
      </c>
      <c r="D330" s="19" t="s">
        <v>1316</v>
      </c>
      <c r="E330" s="28"/>
      <c r="F330" s="28"/>
    </row>
    <row r="331">
      <c r="A331" s="24" t="s">
        <v>103</v>
      </c>
      <c r="B331" s="19" t="s">
        <v>105</v>
      </c>
      <c r="C331" s="19" t="s">
        <v>104</v>
      </c>
      <c r="D331" s="19" t="s">
        <v>1322</v>
      </c>
      <c r="E331" s="19" t="s">
        <v>1320</v>
      </c>
      <c r="F331" s="28"/>
    </row>
    <row r="332">
      <c r="A332" s="24" t="s">
        <v>609</v>
      </c>
      <c r="B332" s="19" t="s">
        <v>610</v>
      </c>
      <c r="C332" s="19" t="s">
        <v>611</v>
      </c>
      <c r="D332" s="19" t="s">
        <v>1319</v>
      </c>
      <c r="E332" s="19" t="s">
        <v>1317</v>
      </c>
      <c r="F332" s="19" t="s">
        <v>1323</v>
      </c>
    </row>
    <row r="333">
      <c r="A333" s="24" t="s">
        <v>263</v>
      </c>
      <c r="B333" s="19" t="s">
        <v>264</v>
      </c>
      <c r="C333" s="19" t="s">
        <v>265</v>
      </c>
      <c r="D333" s="19" t="s">
        <v>1316</v>
      </c>
      <c r="E333" s="28"/>
      <c r="F333" s="28"/>
    </row>
    <row r="334">
      <c r="A334" s="24" t="s">
        <v>418</v>
      </c>
      <c r="B334" s="19" t="s">
        <v>419</v>
      </c>
      <c r="C334" s="19" t="s">
        <v>420</v>
      </c>
      <c r="D334" s="19" t="s">
        <v>1319</v>
      </c>
      <c r="E334" s="19" t="s">
        <v>1317</v>
      </c>
      <c r="F334" s="19" t="s">
        <v>1335</v>
      </c>
      <c r="G334" s="19" t="s">
        <v>1336</v>
      </c>
    </row>
    <row r="335">
      <c r="A335" s="24" t="s">
        <v>286</v>
      </c>
      <c r="B335" s="19" t="s">
        <v>287</v>
      </c>
      <c r="C335" s="19" t="s">
        <v>288</v>
      </c>
      <c r="D335" s="19" t="s">
        <v>1316</v>
      </c>
      <c r="E335" s="28"/>
      <c r="F335" s="28"/>
    </row>
    <row r="336">
      <c r="A336" s="24" t="s">
        <v>421</v>
      </c>
      <c r="B336" s="19" t="s">
        <v>422</v>
      </c>
      <c r="C336" s="19" t="s">
        <v>423</v>
      </c>
      <c r="D336" s="19" t="s">
        <v>1322</v>
      </c>
      <c r="E336" s="19" t="s">
        <v>1320</v>
      </c>
      <c r="F336" s="28"/>
    </row>
    <row r="337">
      <c r="A337" s="24" t="s">
        <v>319</v>
      </c>
      <c r="B337" s="19" t="s">
        <v>320</v>
      </c>
      <c r="C337" s="19" t="s">
        <v>321</v>
      </c>
      <c r="D337" s="19" t="s">
        <v>1316</v>
      </c>
      <c r="E337" s="28"/>
      <c r="F337" s="28"/>
    </row>
    <row r="338">
      <c r="A338" s="24" t="s">
        <v>241</v>
      </c>
      <c r="B338" s="19" t="s">
        <v>242</v>
      </c>
      <c r="C338" s="19" t="s">
        <v>243</v>
      </c>
      <c r="D338" s="19" t="s">
        <v>1319</v>
      </c>
      <c r="E338" s="19" t="s">
        <v>1317</v>
      </c>
      <c r="F338" s="19" t="s">
        <v>1326</v>
      </c>
    </row>
    <row r="339">
      <c r="A339" s="24" t="s">
        <v>467</v>
      </c>
      <c r="B339" s="19" t="s">
        <v>468</v>
      </c>
      <c r="C339" s="19" t="s">
        <v>469</v>
      </c>
      <c r="D339" s="19" t="s">
        <v>1319</v>
      </c>
      <c r="E339" s="19" t="s">
        <v>1317</v>
      </c>
      <c r="F339" s="19" t="s">
        <v>1326</v>
      </c>
    </row>
    <row r="340">
      <c r="A340" s="24" t="s">
        <v>439</v>
      </c>
      <c r="B340" s="19" t="s">
        <v>440</v>
      </c>
      <c r="C340" s="19" t="s">
        <v>441</v>
      </c>
      <c r="D340" s="19" t="s">
        <v>1316</v>
      </c>
      <c r="E340" s="28"/>
      <c r="F340" s="28"/>
    </row>
    <row r="341">
      <c r="A341" s="24" t="s">
        <v>219</v>
      </c>
      <c r="B341" s="19" t="s">
        <v>220</v>
      </c>
      <c r="C341" s="19" t="s">
        <v>221</v>
      </c>
      <c r="D341" s="19" t="s">
        <v>1316</v>
      </c>
      <c r="E341" s="28"/>
      <c r="F341" s="28"/>
    </row>
    <row r="342">
      <c r="A342" s="24" t="s">
        <v>216</v>
      </c>
      <c r="B342" s="19" t="s">
        <v>217</v>
      </c>
      <c r="C342" s="19" t="s">
        <v>218</v>
      </c>
      <c r="D342" s="19" t="s">
        <v>1316</v>
      </c>
      <c r="E342" s="28"/>
      <c r="F342" s="28"/>
    </row>
    <row r="343">
      <c r="A343" s="24" t="s">
        <v>346</v>
      </c>
      <c r="B343" s="19" t="s">
        <v>347</v>
      </c>
      <c r="C343" s="19" t="s">
        <v>348</v>
      </c>
      <c r="D343" s="19" t="s">
        <v>1316</v>
      </c>
      <c r="E343" s="28"/>
      <c r="F343" s="28"/>
    </row>
    <row r="344">
      <c r="A344" s="24" t="s">
        <v>106</v>
      </c>
      <c r="B344" s="19" t="s">
        <v>108</v>
      </c>
      <c r="C344" s="19" t="s">
        <v>107</v>
      </c>
      <c r="D344" s="19" t="s">
        <v>1322</v>
      </c>
      <c r="E344" s="19" t="s">
        <v>1320</v>
      </c>
      <c r="F344" s="28"/>
    </row>
    <row r="345">
      <c r="A345" s="24" t="s">
        <v>329</v>
      </c>
      <c r="B345" s="19" t="s">
        <v>330</v>
      </c>
      <c r="C345" s="19" t="s">
        <v>331</v>
      </c>
      <c r="D345" s="19" t="s">
        <v>1319</v>
      </c>
      <c r="E345" s="19" t="s">
        <v>1317</v>
      </c>
      <c r="F345" s="19" t="s">
        <v>1326</v>
      </c>
    </row>
    <row r="346">
      <c r="A346" s="24" t="s">
        <v>424</v>
      </c>
      <c r="B346" s="19" t="s">
        <v>425</v>
      </c>
      <c r="C346" s="19" t="s">
        <v>426</v>
      </c>
      <c r="D346" s="19" t="s">
        <v>1322</v>
      </c>
      <c r="E346" s="19" t="s">
        <v>1317</v>
      </c>
      <c r="F346" s="19" t="s">
        <v>1326</v>
      </c>
    </row>
    <row r="347">
      <c r="A347" s="24" t="s">
        <v>222</v>
      </c>
      <c r="B347" s="19" t="s">
        <v>223</v>
      </c>
      <c r="C347" s="19" t="s">
        <v>224</v>
      </c>
      <c r="D347" s="19" t="s">
        <v>1319</v>
      </c>
      <c r="E347" s="19" t="s">
        <v>1317</v>
      </c>
      <c r="F347" s="19" t="s">
        <v>1326</v>
      </c>
    </row>
    <row r="348">
      <c r="A348" s="24" t="s">
        <v>335</v>
      </c>
      <c r="B348" s="19" t="s">
        <v>336</v>
      </c>
      <c r="C348" s="19" t="s">
        <v>337</v>
      </c>
      <c r="D348" s="19" t="s">
        <v>1319</v>
      </c>
      <c r="E348" s="19" t="s">
        <v>1317</v>
      </c>
      <c r="F348" s="19" t="s">
        <v>1326</v>
      </c>
    </row>
    <row r="349">
      <c r="A349" s="24" t="s">
        <v>226</v>
      </c>
      <c r="B349" s="19" t="s">
        <v>227</v>
      </c>
      <c r="C349" s="19" t="s">
        <v>228</v>
      </c>
      <c r="D349" s="19" t="s">
        <v>1319</v>
      </c>
      <c r="E349" s="19" t="s">
        <v>1317</v>
      </c>
      <c r="F349" s="19" t="s">
        <v>1326</v>
      </c>
    </row>
    <row r="350">
      <c r="A350" s="24" t="s">
        <v>109</v>
      </c>
      <c r="B350" s="19" t="s">
        <v>111</v>
      </c>
      <c r="C350" s="19" t="s">
        <v>110</v>
      </c>
      <c r="D350" s="19" t="s">
        <v>1322</v>
      </c>
      <c r="E350" s="19" t="s">
        <v>1320</v>
      </c>
      <c r="F350" s="28"/>
    </row>
    <row r="351">
      <c r="A351" s="24" t="s">
        <v>112</v>
      </c>
      <c r="B351" s="19" t="s">
        <v>114</v>
      </c>
      <c r="C351" s="19" t="s">
        <v>113</v>
      </c>
      <c r="D351" s="19" t="s">
        <v>1322</v>
      </c>
      <c r="E351" s="19" t="s">
        <v>1320</v>
      </c>
      <c r="F351" s="28"/>
    </row>
    <row r="352">
      <c r="A352" s="24" t="s">
        <v>502</v>
      </c>
      <c r="B352" s="19" t="s">
        <v>503</v>
      </c>
      <c r="C352" s="19" t="s">
        <v>504</v>
      </c>
      <c r="D352" s="19" t="s">
        <v>1322</v>
      </c>
      <c r="E352" s="19" t="s">
        <v>1317</v>
      </c>
      <c r="F352" s="19" t="s">
        <v>1335</v>
      </c>
      <c r="G352" s="19" t="s">
        <v>1342</v>
      </c>
    </row>
    <row r="353">
      <c r="A353" s="24" t="s">
        <v>266</v>
      </c>
      <c r="B353" s="19" t="s">
        <v>267</v>
      </c>
      <c r="C353" s="19" t="s">
        <v>268</v>
      </c>
      <c r="D353" s="19" t="s">
        <v>1316</v>
      </c>
      <c r="E353" s="28"/>
      <c r="F353" s="28"/>
    </row>
    <row r="354">
      <c r="A354" s="24" t="s">
        <v>115</v>
      </c>
      <c r="B354" s="19" t="s">
        <v>117</v>
      </c>
      <c r="C354" s="19" t="s">
        <v>116</v>
      </c>
      <c r="D354" s="19" t="s">
        <v>1322</v>
      </c>
      <c r="E354" s="19" t="s">
        <v>1320</v>
      </c>
      <c r="F354" s="28"/>
    </row>
    <row r="355">
      <c r="A355" s="24" t="s">
        <v>603</v>
      </c>
      <c r="B355" s="19" t="s">
        <v>604</v>
      </c>
      <c r="C355" s="19" t="s">
        <v>605</v>
      </c>
      <c r="D355" s="19" t="s">
        <v>1322</v>
      </c>
      <c r="E355" s="19" t="s">
        <v>1317</v>
      </c>
      <c r="F355" s="19" t="s">
        <v>1323</v>
      </c>
    </row>
    <row r="356">
      <c r="A356" s="24" t="s">
        <v>627</v>
      </c>
      <c r="B356" s="19" t="s">
        <v>628</v>
      </c>
      <c r="C356" s="19" t="s">
        <v>629</v>
      </c>
      <c r="D356" s="19" t="s">
        <v>1316</v>
      </c>
      <c r="E356" s="28"/>
      <c r="F356" s="28"/>
    </row>
    <row r="357">
      <c r="A357" s="24" t="s">
        <v>325</v>
      </c>
      <c r="B357" s="19" t="s">
        <v>326</v>
      </c>
      <c r="C357" s="19" t="s">
        <v>327</v>
      </c>
      <c r="D357" s="19" t="s">
        <v>1316</v>
      </c>
      <c r="E357" s="28"/>
      <c r="F357" s="28"/>
    </row>
    <row r="358">
      <c r="A358" s="24" t="s">
        <v>409</v>
      </c>
      <c r="B358" s="19" t="s">
        <v>410</v>
      </c>
      <c r="C358" s="19" t="s">
        <v>411</v>
      </c>
      <c r="D358" s="19" t="s">
        <v>1322</v>
      </c>
      <c r="E358" s="19" t="s">
        <v>1317</v>
      </c>
      <c r="F358" s="19" t="s">
        <v>1323</v>
      </c>
    </row>
    <row r="359">
      <c r="A359" s="24" t="s">
        <v>118</v>
      </c>
      <c r="B359" s="19" t="s">
        <v>120</v>
      </c>
      <c r="C359" s="19" t="s">
        <v>119</v>
      </c>
      <c r="D359" s="19" t="s">
        <v>1316</v>
      </c>
      <c r="E359" s="28"/>
      <c r="F359" s="28"/>
    </row>
    <row r="360">
      <c r="A360" s="24" t="s">
        <v>415</v>
      </c>
      <c r="B360" s="19" t="s">
        <v>416</v>
      </c>
      <c r="C360" s="19" t="s">
        <v>417</v>
      </c>
      <c r="D360" s="19" t="s">
        <v>1316</v>
      </c>
      <c r="E360" s="28"/>
      <c r="F360" s="28"/>
    </row>
    <row r="361">
      <c r="A361" s="24" t="s">
        <v>121</v>
      </c>
      <c r="B361" s="19" t="s">
        <v>123</v>
      </c>
      <c r="C361" s="19" t="s">
        <v>122</v>
      </c>
      <c r="D361" s="19" t="s">
        <v>1316</v>
      </c>
      <c r="E361" s="28"/>
      <c r="F361" s="28"/>
    </row>
    <row r="362">
      <c r="A362" s="24" t="s">
        <v>124</v>
      </c>
      <c r="B362" s="19" t="s">
        <v>126</v>
      </c>
      <c r="C362" s="19" t="s">
        <v>125</v>
      </c>
      <c r="D362" s="19" t="s">
        <v>1319</v>
      </c>
      <c r="E362" s="19" t="s">
        <v>1317</v>
      </c>
      <c r="F362" s="19" t="s">
        <v>1323</v>
      </c>
    </row>
    <row r="363">
      <c r="A363" s="24" t="s">
        <v>442</v>
      </c>
      <c r="B363" s="19" t="s">
        <v>443</v>
      </c>
      <c r="C363" s="19" t="s">
        <v>444</v>
      </c>
      <c r="D363" s="19" t="s">
        <v>1316</v>
      </c>
      <c r="E363" s="28"/>
      <c r="F363" s="28"/>
    </row>
    <row r="364">
      <c r="A364" s="24" t="s">
        <v>292</v>
      </c>
      <c r="B364" s="19" t="s">
        <v>293</v>
      </c>
      <c r="C364" s="19" t="s">
        <v>294</v>
      </c>
      <c r="D364" s="19" t="s">
        <v>1316</v>
      </c>
      <c r="E364" s="28"/>
      <c r="F364" s="28"/>
    </row>
    <row r="365">
      <c r="A365" s="24" t="s">
        <v>395</v>
      </c>
      <c r="B365" s="19" t="s">
        <v>396</v>
      </c>
      <c r="C365" s="19" t="s">
        <v>397</v>
      </c>
      <c r="D365" s="19" t="s">
        <v>1319</v>
      </c>
      <c r="E365" s="19" t="s">
        <v>1317</v>
      </c>
      <c r="F365" s="19" t="s">
        <v>1323</v>
      </c>
    </row>
    <row r="366">
      <c r="A366" s="24" t="s">
        <v>448</v>
      </c>
      <c r="B366" s="19" t="s">
        <v>449</v>
      </c>
      <c r="C366" s="19" t="s">
        <v>450</v>
      </c>
      <c r="D366" s="19" t="s">
        <v>1319</v>
      </c>
      <c r="E366" s="19" t="s">
        <v>1317</v>
      </c>
      <c r="F366" s="19" t="s">
        <v>1323</v>
      </c>
    </row>
    <row r="367">
      <c r="A367" s="24" t="s">
        <v>454</v>
      </c>
      <c r="B367" s="19" t="s">
        <v>455</v>
      </c>
      <c r="C367" s="19" t="s">
        <v>456</v>
      </c>
      <c r="D367" s="19" t="s">
        <v>1319</v>
      </c>
      <c r="E367" s="19" t="s">
        <v>1317</v>
      </c>
      <c r="F367" s="19" t="s">
        <v>1326</v>
      </c>
    </row>
    <row r="368">
      <c r="A368" s="24" t="s">
        <v>300</v>
      </c>
      <c r="B368" s="19" t="s">
        <v>301</v>
      </c>
      <c r="C368" s="19" t="s">
        <v>302</v>
      </c>
      <c r="D368" s="19" t="s">
        <v>1322</v>
      </c>
      <c r="E368" s="19" t="s">
        <v>1317</v>
      </c>
      <c r="F368" s="19" t="s">
        <v>1326</v>
      </c>
    </row>
    <row r="369">
      <c r="A369" s="24" t="s">
        <v>322</v>
      </c>
      <c r="B369" s="19" t="s">
        <v>323</v>
      </c>
      <c r="C369" s="19" t="s">
        <v>324</v>
      </c>
      <c r="D369" s="19" t="s">
        <v>1316</v>
      </c>
      <c r="E369" s="28"/>
      <c r="F369" s="28"/>
    </row>
    <row r="370">
      <c r="A370" s="24" t="s">
        <v>496</v>
      </c>
      <c r="B370" s="19" t="s">
        <v>497</v>
      </c>
      <c r="C370" s="19" t="s">
        <v>498</v>
      </c>
      <c r="D370" s="19" t="s">
        <v>1316</v>
      </c>
      <c r="E370" s="28"/>
      <c r="F370" s="28"/>
    </row>
    <row r="371">
      <c r="A371" s="24" t="s">
        <v>382</v>
      </c>
      <c r="B371" s="19" t="s">
        <v>383</v>
      </c>
      <c r="C371" s="19" t="s">
        <v>384</v>
      </c>
      <c r="D371" s="19" t="s">
        <v>1319</v>
      </c>
      <c r="E371" s="19" t="s">
        <v>1317</v>
      </c>
      <c r="F371" s="19" t="s">
        <v>1326</v>
      </c>
    </row>
    <row r="372">
      <c r="A372" s="24" t="s">
        <v>1272</v>
      </c>
      <c r="B372" s="19" t="s">
        <v>1273</v>
      </c>
      <c r="C372" s="19" t="s">
        <v>1274</v>
      </c>
      <c r="D372" s="19" t="s">
        <v>1316</v>
      </c>
      <c r="E372" s="28"/>
      <c r="F372" s="28"/>
    </row>
    <row r="373">
      <c r="A373" s="24" t="s">
        <v>1205</v>
      </c>
      <c r="B373" s="19" t="s">
        <v>1206</v>
      </c>
      <c r="C373" s="19" t="s">
        <v>1207</v>
      </c>
      <c r="D373" s="19" t="s">
        <v>1316</v>
      </c>
      <c r="E373" s="28"/>
      <c r="F373" s="28"/>
    </row>
    <row r="374">
      <c r="A374" s="24" t="s">
        <v>1228</v>
      </c>
      <c r="B374" s="19" t="s">
        <v>1229</v>
      </c>
      <c r="C374" s="19" t="s">
        <v>1230</v>
      </c>
      <c r="D374" s="19" t="s">
        <v>1316</v>
      </c>
      <c r="E374" s="28"/>
      <c r="F374" s="28"/>
    </row>
    <row r="375">
      <c r="A375" s="24" t="s">
        <v>1290</v>
      </c>
      <c r="B375" s="19" t="s">
        <v>1291</v>
      </c>
      <c r="C375" s="19" t="s">
        <v>1292</v>
      </c>
      <c r="D375" s="19" t="s">
        <v>1319</v>
      </c>
      <c r="E375" s="19" t="s">
        <v>1317</v>
      </c>
      <c r="F375" s="19" t="s">
        <v>1318</v>
      </c>
    </row>
    <row r="376">
      <c r="A376" s="24" t="s">
        <v>1299</v>
      </c>
      <c r="B376" s="19" t="s">
        <v>1300</v>
      </c>
      <c r="C376" s="19" t="s">
        <v>1301</v>
      </c>
      <c r="D376" s="19" t="s">
        <v>1319</v>
      </c>
      <c r="E376" s="19" t="s">
        <v>1317</v>
      </c>
      <c r="F376" s="19" t="s">
        <v>1318</v>
      </c>
    </row>
    <row r="377">
      <c r="A377" s="24" t="s">
        <v>1231</v>
      </c>
      <c r="B377" s="19" t="s">
        <v>1232</v>
      </c>
      <c r="C377" s="19" t="s">
        <v>1233</v>
      </c>
      <c r="D377" s="19" t="s">
        <v>1319</v>
      </c>
      <c r="E377" s="19" t="s">
        <v>1317</v>
      </c>
      <c r="F377" s="19" t="s">
        <v>1318</v>
      </c>
    </row>
    <row r="378">
      <c r="A378" s="24" t="s">
        <v>728</v>
      </c>
      <c r="B378" s="19" t="s">
        <v>729</v>
      </c>
      <c r="C378" s="19" t="s">
        <v>730</v>
      </c>
      <c r="D378" s="19" t="s">
        <v>1319</v>
      </c>
      <c r="E378" s="19" t="s">
        <v>1317</v>
      </c>
      <c r="F378" s="19" t="s">
        <v>1318</v>
      </c>
    </row>
    <row r="379">
      <c r="A379" s="24" t="s">
        <v>573</v>
      </c>
      <c r="B379" s="19" t="s">
        <v>574</v>
      </c>
      <c r="C379" s="19" t="s">
        <v>575</v>
      </c>
      <c r="D379" s="19" t="s">
        <v>1319</v>
      </c>
      <c r="E379" s="19" t="s">
        <v>1317</v>
      </c>
      <c r="F379" s="19" t="s">
        <v>1323</v>
      </c>
    </row>
    <row r="380">
      <c r="A380" s="24" t="s">
        <v>1104</v>
      </c>
      <c r="B380" s="19" t="s">
        <v>1105</v>
      </c>
      <c r="C380" s="19" t="s">
        <v>1106</v>
      </c>
      <c r="D380" s="19" t="s">
        <v>1316</v>
      </c>
      <c r="E380" s="28"/>
      <c r="F380" s="28"/>
    </row>
    <row r="381">
      <c r="A381" s="24" t="s">
        <v>1165</v>
      </c>
      <c r="B381" s="19" t="s">
        <v>1166</v>
      </c>
      <c r="C381" s="19" t="s">
        <v>1167</v>
      </c>
      <c r="D381" s="19" t="s">
        <v>1316</v>
      </c>
      <c r="E381" s="28"/>
      <c r="F381" s="28"/>
    </row>
    <row r="382">
      <c r="A382" s="24" t="s">
        <v>914</v>
      </c>
      <c r="B382" s="19" t="s">
        <v>915</v>
      </c>
      <c r="C382" s="19" t="s">
        <v>916</v>
      </c>
      <c r="D382" s="19" t="s">
        <v>1319</v>
      </c>
      <c r="E382" s="19" t="s">
        <v>1317</v>
      </c>
      <c r="F382" s="19" t="s">
        <v>1318</v>
      </c>
    </row>
    <row r="383">
      <c r="A383" s="24" t="s">
        <v>984</v>
      </c>
      <c r="B383" s="19" t="s">
        <v>985</v>
      </c>
      <c r="C383" s="19" t="s">
        <v>986</v>
      </c>
      <c r="D383" s="19" t="s">
        <v>1319</v>
      </c>
      <c r="E383" s="19" t="s">
        <v>1317</v>
      </c>
      <c r="F383" s="19" t="s">
        <v>1318</v>
      </c>
    </row>
    <row r="384">
      <c r="A384" s="24" t="s">
        <v>860</v>
      </c>
      <c r="B384" s="19" t="s">
        <v>861</v>
      </c>
      <c r="C384" s="19" t="s">
        <v>862</v>
      </c>
      <c r="D384" s="19" t="s">
        <v>1316</v>
      </c>
      <c r="E384" s="28"/>
      <c r="F384" s="28"/>
    </row>
    <row r="385">
      <c r="A385" s="24" t="s">
        <v>511</v>
      </c>
      <c r="B385" s="19" t="s">
        <v>512</v>
      </c>
      <c r="C385" s="19" t="s">
        <v>513</v>
      </c>
      <c r="D385" s="19" t="s">
        <v>1316</v>
      </c>
      <c r="E385" s="28"/>
      <c r="F385" s="28"/>
    </row>
    <row r="386">
      <c r="A386" s="24" t="s">
        <v>1225</v>
      </c>
      <c r="B386" s="19" t="s">
        <v>1226</v>
      </c>
      <c r="C386" s="19" t="s">
        <v>1227</v>
      </c>
      <c r="D386" s="19" t="s">
        <v>1319</v>
      </c>
      <c r="E386" s="19" t="s">
        <v>1317</v>
      </c>
      <c r="F386" s="19" t="s">
        <v>1318</v>
      </c>
    </row>
    <row r="387">
      <c r="A387" s="24" t="s">
        <v>1222</v>
      </c>
      <c r="B387" s="19" t="s">
        <v>1223</v>
      </c>
      <c r="C387" s="19" t="s">
        <v>1224</v>
      </c>
      <c r="D387" s="19" t="s">
        <v>1322</v>
      </c>
      <c r="E387" s="19" t="s">
        <v>1317</v>
      </c>
      <c r="F387" s="19" t="s">
        <v>1326</v>
      </c>
    </row>
    <row r="388">
      <c r="A388" s="24" t="s">
        <v>1284</v>
      </c>
      <c r="B388" s="19" t="s">
        <v>1285</v>
      </c>
      <c r="C388" s="19" t="s">
        <v>1286</v>
      </c>
      <c r="D388" s="19" t="s">
        <v>1319</v>
      </c>
      <c r="E388" s="19" t="s">
        <v>1317</v>
      </c>
      <c r="F388" s="19" t="s">
        <v>1326</v>
      </c>
    </row>
    <row r="389">
      <c r="A389" s="24" t="s">
        <v>1293</v>
      </c>
      <c r="B389" s="19" t="s">
        <v>1294</v>
      </c>
      <c r="C389" s="19" t="s">
        <v>1295</v>
      </c>
      <c r="D389" s="19" t="s">
        <v>1319</v>
      </c>
      <c r="E389" s="19" t="s">
        <v>1317</v>
      </c>
      <c r="F389" s="19" t="s">
        <v>1318</v>
      </c>
    </row>
    <row r="390">
      <c r="A390" s="24" t="s">
        <v>1305</v>
      </c>
      <c r="B390" s="19" t="s">
        <v>1306</v>
      </c>
      <c r="C390" s="19" t="s">
        <v>1307</v>
      </c>
      <c r="D390" s="19" t="s">
        <v>1316</v>
      </c>
      <c r="E390" s="28"/>
      <c r="F390" s="28"/>
    </row>
    <row r="391">
      <c r="A391" s="24" t="s">
        <v>1240</v>
      </c>
      <c r="B391" s="19" t="s">
        <v>1241</v>
      </c>
      <c r="C391" s="19" t="s">
        <v>1242</v>
      </c>
      <c r="D391" s="19" t="s">
        <v>1316</v>
      </c>
      <c r="E391" s="28"/>
      <c r="F391" s="28"/>
    </row>
    <row r="392">
      <c r="A392" s="24" t="s">
        <v>742</v>
      </c>
      <c r="B392" s="19" t="s">
        <v>743</v>
      </c>
      <c r="C392" s="19" t="s">
        <v>744</v>
      </c>
      <c r="D392" s="19" t="s">
        <v>1319</v>
      </c>
      <c r="E392" s="19" t="s">
        <v>1317</v>
      </c>
      <c r="F392" s="19" t="s">
        <v>1318</v>
      </c>
    </row>
    <row r="393">
      <c r="A393" s="24" t="s">
        <v>1267</v>
      </c>
      <c r="B393" s="19" t="s">
        <v>1268</v>
      </c>
      <c r="C393" s="19" t="s">
        <v>1269</v>
      </c>
      <c r="D393" s="19" t="s">
        <v>1319</v>
      </c>
      <c r="E393" s="19" t="s">
        <v>1317</v>
      </c>
      <c r="F393" s="19" t="s">
        <v>1318</v>
      </c>
    </row>
    <row r="394">
      <c r="A394" s="21" t="s">
        <v>196</v>
      </c>
      <c r="B394" s="23" t="s">
        <v>36</v>
      </c>
      <c r="C394" s="22" t="s">
        <v>197</v>
      </c>
      <c r="D394" s="19" t="s">
        <v>1316</v>
      </c>
      <c r="E394" s="28"/>
      <c r="F394" s="28"/>
    </row>
    <row r="395">
      <c r="A395" s="21" t="s">
        <v>185</v>
      </c>
      <c r="B395" s="23" t="s">
        <v>36</v>
      </c>
      <c r="C395" s="22" t="s">
        <v>186</v>
      </c>
      <c r="D395" s="19" t="s">
        <v>1322</v>
      </c>
      <c r="E395" s="19" t="s">
        <v>1317</v>
      </c>
      <c r="F395" s="19" t="s">
        <v>1318</v>
      </c>
    </row>
    <row r="396">
      <c r="A396" s="21" t="s">
        <v>198</v>
      </c>
      <c r="B396" s="23" t="s">
        <v>36</v>
      </c>
      <c r="C396" s="22" t="s">
        <v>199</v>
      </c>
      <c r="D396" s="19" t="s">
        <v>1322</v>
      </c>
      <c r="E396" s="19" t="s">
        <v>1317</v>
      </c>
      <c r="F396" s="19" t="s">
        <v>1326</v>
      </c>
    </row>
    <row r="397">
      <c r="E397" s="28"/>
      <c r="F397" s="28"/>
    </row>
    <row r="398">
      <c r="E398" s="28"/>
      <c r="F398" s="28"/>
    </row>
    <row r="399">
      <c r="E399" s="28"/>
      <c r="F399" s="28"/>
    </row>
    <row r="400">
      <c r="E400" s="28"/>
      <c r="F400" s="28"/>
    </row>
    <row r="401">
      <c r="E401" s="28"/>
      <c r="F401" s="28"/>
    </row>
    <row r="402">
      <c r="E402" s="28"/>
      <c r="F402" s="28"/>
    </row>
    <row r="403">
      <c r="E403" s="28"/>
      <c r="F403" s="28"/>
    </row>
    <row r="404">
      <c r="E404" s="28"/>
      <c r="F404" s="28"/>
    </row>
    <row r="405">
      <c r="E405" s="28"/>
      <c r="F405" s="28"/>
    </row>
    <row r="406">
      <c r="E406" s="28"/>
      <c r="F406" s="28"/>
    </row>
    <row r="407">
      <c r="E407" s="28"/>
      <c r="F407" s="28"/>
    </row>
    <row r="408">
      <c r="E408" s="28"/>
      <c r="F408" s="28"/>
    </row>
    <row r="409">
      <c r="E409" s="28"/>
      <c r="F409" s="28"/>
    </row>
    <row r="410">
      <c r="E410" s="28"/>
      <c r="F410" s="28"/>
    </row>
    <row r="411">
      <c r="E411" s="28"/>
      <c r="F411" s="28"/>
    </row>
    <row r="412">
      <c r="E412" s="28"/>
      <c r="F412" s="28"/>
    </row>
    <row r="413">
      <c r="E413" s="28"/>
      <c r="F413" s="28"/>
    </row>
    <row r="414">
      <c r="E414" s="28"/>
      <c r="F414" s="28"/>
    </row>
    <row r="415">
      <c r="E415" s="28"/>
      <c r="F415" s="28"/>
    </row>
    <row r="416">
      <c r="E416" s="28"/>
      <c r="F416" s="28"/>
    </row>
    <row r="417">
      <c r="E417" s="28"/>
      <c r="F417" s="28"/>
    </row>
    <row r="418">
      <c r="E418" s="28"/>
      <c r="F418" s="28"/>
    </row>
    <row r="419">
      <c r="E419" s="28"/>
      <c r="F419" s="28"/>
    </row>
    <row r="420">
      <c r="E420" s="28"/>
      <c r="F420" s="28"/>
    </row>
    <row r="421">
      <c r="E421" s="28"/>
      <c r="F421" s="28"/>
    </row>
    <row r="422">
      <c r="E422" s="28"/>
      <c r="F422" s="28"/>
    </row>
    <row r="423">
      <c r="E423" s="28"/>
      <c r="F423" s="28"/>
    </row>
    <row r="424">
      <c r="E424" s="28"/>
      <c r="F424" s="28"/>
    </row>
    <row r="425">
      <c r="E425" s="28"/>
      <c r="F425" s="28"/>
    </row>
    <row r="426">
      <c r="E426" s="28"/>
      <c r="F426" s="28"/>
    </row>
    <row r="427">
      <c r="E427" s="28"/>
      <c r="F427" s="28"/>
    </row>
    <row r="428">
      <c r="E428" s="28"/>
      <c r="F428" s="28"/>
    </row>
    <row r="429">
      <c r="E429" s="28"/>
      <c r="F429" s="28"/>
    </row>
    <row r="430">
      <c r="E430" s="28"/>
      <c r="F430" s="28"/>
    </row>
    <row r="431">
      <c r="E431" s="28"/>
      <c r="F431" s="28"/>
    </row>
    <row r="432">
      <c r="E432" s="28"/>
      <c r="F432" s="28"/>
    </row>
    <row r="433">
      <c r="E433" s="28"/>
      <c r="F433" s="28"/>
    </row>
    <row r="434">
      <c r="E434" s="28"/>
      <c r="F434" s="28"/>
    </row>
    <row r="435">
      <c r="E435" s="28"/>
      <c r="F435" s="28"/>
    </row>
    <row r="436">
      <c r="E436" s="28"/>
      <c r="F436" s="28"/>
    </row>
    <row r="437">
      <c r="E437" s="28"/>
      <c r="F437" s="28"/>
    </row>
    <row r="438">
      <c r="E438" s="28"/>
      <c r="F438" s="28"/>
    </row>
    <row r="439">
      <c r="E439" s="28"/>
      <c r="F439" s="28"/>
    </row>
    <row r="440">
      <c r="E440" s="28"/>
      <c r="F440" s="28"/>
    </row>
    <row r="441">
      <c r="E441" s="28"/>
      <c r="F441" s="28"/>
    </row>
    <row r="442">
      <c r="E442" s="28"/>
      <c r="F442" s="28"/>
    </row>
    <row r="443">
      <c r="E443" s="28"/>
      <c r="F443" s="28"/>
    </row>
    <row r="444">
      <c r="E444" s="28"/>
      <c r="F444" s="28"/>
    </row>
    <row r="445">
      <c r="E445" s="28"/>
      <c r="F445" s="28"/>
    </row>
    <row r="446">
      <c r="E446" s="28"/>
      <c r="F446" s="28"/>
    </row>
    <row r="447">
      <c r="E447" s="28"/>
      <c r="F447" s="28"/>
    </row>
    <row r="448">
      <c r="E448" s="28"/>
      <c r="F448" s="28"/>
    </row>
    <row r="449">
      <c r="E449" s="28"/>
      <c r="F449" s="28"/>
    </row>
    <row r="450">
      <c r="E450" s="28"/>
      <c r="F450" s="28"/>
    </row>
    <row r="451">
      <c r="E451" s="28"/>
      <c r="F451" s="28"/>
    </row>
    <row r="452">
      <c r="E452" s="28"/>
      <c r="F452" s="28"/>
    </row>
    <row r="453">
      <c r="E453" s="28"/>
      <c r="F453" s="28"/>
    </row>
    <row r="454">
      <c r="E454" s="28"/>
      <c r="F454" s="28"/>
    </row>
    <row r="455">
      <c r="E455" s="28"/>
      <c r="F455" s="28"/>
    </row>
    <row r="456">
      <c r="E456" s="28"/>
      <c r="F456" s="28"/>
    </row>
    <row r="457">
      <c r="E457" s="28"/>
      <c r="F457" s="28"/>
    </row>
    <row r="458">
      <c r="E458" s="28"/>
      <c r="F458" s="28"/>
    </row>
    <row r="459">
      <c r="E459" s="28"/>
      <c r="F459" s="28"/>
    </row>
    <row r="460">
      <c r="E460" s="28"/>
      <c r="F460" s="28"/>
    </row>
    <row r="461">
      <c r="E461" s="28"/>
      <c r="F461" s="28"/>
    </row>
    <row r="462">
      <c r="E462" s="28"/>
      <c r="F462" s="28"/>
    </row>
    <row r="463">
      <c r="E463" s="28"/>
      <c r="F463" s="28"/>
    </row>
    <row r="464">
      <c r="E464" s="28"/>
      <c r="F464" s="28"/>
    </row>
    <row r="465">
      <c r="E465" s="28"/>
      <c r="F465" s="28"/>
    </row>
    <row r="466">
      <c r="E466" s="28"/>
      <c r="F466" s="28"/>
    </row>
    <row r="467">
      <c r="E467" s="28"/>
      <c r="F467" s="28"/>
    </row>
    <row r="468">
      <c r="E468" s="28"/>
      <c r="F468" s="28"/>
    </row>
    <row r="469">
      <c r="E469" s="28"/>
      <c r="F469" s="28"/>
    </row>
    <row r="470">
      <c r="E470" s="28"/>
      <c r="F470" s="28"/>
    </row>
    <row r="471">
      <c r="E471" s="28"/>
      <c r="F471" s="28"/>
    </row>
    <row r="472">
      <c r="E472" s="28"/>
      <c r="F472" s="28"/>
    </row>
    <row r="473">
      <c r="E473" s="28"/>
      <c r="F473" s="28"/>
    </row>
    <row r="474">
      <c r="E474" s="28"/>
      <c r="F474" s="28"/>
    </row>
    <row r="475">
      <c r="E475" s="28"/>
      <c r="F475" s="28"/>
    </row>
    <row r="476">
      <c r="E476" s="28"/>
      <c r="F476" s="28"/>
    </row>
    <row r="477">
      <c r="E477" s="28"/>
      <c r="F477" s="28"/>
    </row>
    <row r="478">
      <c r="E478" s="28"/>
      <c r="F478" s="28"/>
    </row>
    <row r="479">
      <c r="E479" s="28"/>
      <c r="F479" s="28"/>
    </row>
    <row r="480">
      <c r="E480" s="28"/>
      <c r="F480" s="28"/>
    </row>
    <row r="481">
      <c r="E481" s="28"/>
      <c r="F481" s="28"/>
    </row>
    <row r="482">
      <c r="E482" s="28"/>
      <c r="F482" s="28"/>
    </row>
    <row r="483">
      <c r="E483" s="28"/>
      <c r="F483" s="28"/>
    </row>
    <row r="484">
      <c r="E484" s="28"/>
      <c r="F484" s="28"/>
    </row>
    <row r="485">
      <c r="E485" s="28"/>
      <c r="F485" s="28"/>
    </row>
    <row r="486">
      <c r="E486" s="28"/>
      <c r="F486" s="28"/>
    </row>
    <row r="487">
      <c r="E487" s="28"/>
      <c r="F487" s="28"/>
    </row>
    <row r="488">
      <c r="E488" s="28"/>
      <c r="F488" s="28"/>
    </row>
    <row r="489">
      <c r="E489" s="28"/>
      <c r="F489" s="28"/>
    </row>
    <row r="490">
      <c r="E490" s="28"/>
      <c r="F490" s="28"/>
    </row>
    <row r="491">
      <c r="E491" s="28"/>
      <c r="F491" s="28"/>
    </row>
    <row r="492">
      <c r="E492" s="28"/>
      <c r="F492" s="28"/>
    </row>
    <row r="493">
      <c r="E493" s="28"/>
      <c r="F493" s="28"/>
    </row>
    <row r="494">
      <c r="E494" s="28"/>
      <c r="F494" s="28"/>
    </row>
    <row r="495">
      <c r="E495" s="28"/>
      <c r="F495" s="28"/>
    </row>
    <row r="496">
      <c r="E496" s="28"/>
      <c r="F496" s="28"/>
    </row>
    <row r="497">
      <c r="E497" s="28"/>
      <c r="F497" s="28"/>
    </row>
    <row r="498">
      <c r="E498" s="28"/>
      <c r="F498" s="28"/>
    </row>
    <row r="499">
      <c r="E499" s="28"/>
      <c r="F499" s="28"/>
    </row>
    <row r="500">
      <c r="E500" s="28"/>
      <c r="F500" s="28"/>
    </row>
    <row r="501">
      <c r="E501" s="28"/>
      <c r="F501" s="28"/>
    </row>
    <row r="502">
      <c r="E502" s="28"/>
      <c r="F502" s="28"/>
    </row>
    <row r="503">
      <c r="E503" s="28"/>
      <c r="F503" s="28"/>
    </row>
    <row r="504">
      <c r="E504" s="28"/>
      <c r="F504" s="28"/>
    </row>
    <row r="505">
      <c r="E505" s="28"/>
      <c r="F505" s="28"/>
    </row>
    <row r="506">
      <c r="E506" s="28"/>
      <c r="F506" s="28"/>
    </row>
    <row r="507">
      <c r="E507" s="28"/>
      <c r="F507" s="28"/>
    </row>
    <row r="508">
      <c r="E508" s="28"/>
      <c r="F508" s="28"/>
    </row>
    <row r="509">
      <c r="E509" s="28"/>
      <c r="F509" s="28"/>
    </row>
    <row r="510">
      <c r="E510" s="28"/>
      <c r="F510" s="28"/>
    </row>
    <row r="511">
      <c r="E511" s="28"/>
      <c r="F511" s="28"/>
    </row>
    <row r="512">
      <c r="E512" s="28"/>
      <c r="F512" s="28"/>
    </row>
    <row r="513">
      <c r="E513" s="28"/>
      <c r="F513" s="28"/>
    </row>
    <row r="514">
      <c r="E514" s="28"/>
      <c r="F514" s="28"/>
    </row>
    <row r="515">
      <c r="E515" s="28"/>
      <c r="F515" s="28"/>
    </row>
    <row r="516">
      <c r="E516" s="28"/>
      <c r="F516" s="28"/>
    </row>
    <row r="517">
      <c r="E517" s="28"/>
      <c r="F517" s="28"/>
    </row>
    <row r="518">
      <c r="E518" s="28"/>
      <c r="F518" s="28"/>
    </row>
    <row r="519">
      <c r="E519" s="28"/>
      <c r="F519" s="28"/>
    </row>
    <row r="520">
      <c r="E520" s="28"/>
      <c r="F520" s="28"/>
    </row>
    <row r="521">
      <c r="E521" s="28"/>
      <c r="F521" s="28"/>
    </row>
    <row r="522">
      <c r="E522" s="28"/>
      <c r="F522" s="28"/>
    </row>
    <row r="523">
      <c r="E523" s="28"/>
      <c r="F523" s="28"/>
    </row>
    <row r="524">
      <c r="E524" s="28"/>
      <c r="F524" s="28"/>
    </row>
    <row r="525">
      <c r="E525" s="28"/>
      <c r="F525" s="28"/>
    </row>
    <row r="526">
      <c r="E526" s="28"/>
      <c r="F526" s="28"/>
    </row>
    <row r="527">
      <c r="E527" s="28"/>
      <c r="F527" s="28"/>
    </row>
    <row r="528">
      <c r="E528" s="28"/>
      <c r="F528" s="28"/>
    </row>
    <row r="529">
      <c r="E529" s="28"/>
      <c r="F529" s="28"/>
    </row>
    <row r="530">
      <c r="E530" s="28"/>
      <c r="F530" s="28"/>
    </row>
    <row r="531">
      <c r="E531" s="28"/>
      <c r="F531" s="28"/>
    </row>
    <row r="532">
      <c r="E532" s="28"/>
      <c r="F532" s="28"/>
    </row>
    <row r="533">
      <c r="E533" s="28"/>
      <c r="F533" s="28"/>
    </row>
    <row r="534">
      <c r="E534" s="28"/>
      <c r="F534" s="28"/>
    </row>
    <row r="535">
      <c r="E535" s="28"/>
      <c r="F535" s="28"/>
    </row>
    <row r="536">
      <c r="E536" s="28"/>
      <c r="F536" s="28"/>
    </row>
    <row r="537">
      <c r="E537" s="28"/>
      <c r="F537" s="28"/>
    </row>
    <row r="538">
      <c r="E538" s="28"/>
      <c r="F538" s="28"/>
    </row>
    <row r="539">
      <c r="E539" s="28"/>
      <c r="F539" s="28"/>
    </row>
    <row r="540">
      <c r="E540" s="28"/>
      <c r="F540" s="28"/>
    </row>
    <row r="541">
      <c r="E541" s="28"/>
      <c r="F541" s="28"/>
    </row>
    <row r="542">
      <c r="E542" s="28"/>
      <c r="F542" s="28"/>
    </row>
    <row r="543">
      <c r="E543" s="28"/>
      <c r="F543" s="28"/>
    </row>
    <row r="544">
      <c r="E544" s="28"/>
      <c r="F544" s="28"/>
    </row>
    <row r="545">
      <c r="E545" s="28"/>
      <c r="F545" s="28"/>
    </row>
    <row r="546">
      <c r="E546" s="28"/>
      <c r="F546" s="28"/>
    </row>
    <row r="547">
      <c r="E547" s="28"/>
      <c r="F547" s="28"/>
    </row>
    <row r="548">
      <c r="E548" s="28"/>
      <c r="F548" s="28"/>
    </row>
    <row r="549">
      <c r="E549" s="28"/>
      <c r="F549" s="28"/>
    </row>
    <row r="550">
      <c r="E550" s="28"/>
      <c r="F550" s="28"/>
    </row>
    <row r="551">
      <c r="E551" s="28"/>
      <c r="F551" s="28"/>
    </row>
    <row r="552">
      <c r="E552" s="28"/>
      <c r="F552" s="28"/>
    </row>
    <row r="553">
      <c r="E553" s="28"/>
      <c r="F553" s="28"/>
    </row>
    <row r="554">
      <c r="E554" s="28"/>
      <c r="F554" s="28"/>
    </row>
    <row r="555">
      <c r="E555" s="28"/>
      <c r="F555" s="28"/>
    </row>
    <row r="556">
      <c r="E556" s="28"/>
      <c r="F556" s="28"/>
    </row>
    <row r="557">
      <c r="E557" s="28"/>
      <c r="F557" s="28"/>
    </row>
    <row r="558">
      <c r="E558" s="28"/>
      <c r="F558" s="28"/>
    </row>
    <row r="559">
      <c r="E559" s="28"/>
      <c r="F559" s="28"/>
    </row>
    <row r="560">
      <c r="E560" s="28"/>
      <c r="F560" s="28"/>
    </row>
    <row r="561">
      <c r="E561" s="28"/>
      <c r="F561" s="28"/>
    </row>
    <row r="562">
      <c r="E562" s="28"/>
      <c r="F562" s="28"/>
    </row>
    <row r="563">
      <c r="E563" s="28"/>
      <c r="F563" s="28"/>
    </row>
    <row r="564">
      <c r="E564" s="28"/>
      <c r="F564" s="28"/>
    </row>
    <row r="565">
      <c r="E565" s="28"/>
      <c r="F565" s="28"/>
    </row>
    <row r="566">
      <c r="E566" s="28"/>
      <c r="F566" s="28"/>
    </row>
    <row r="567">
      <c r="E567" s="28"/>
      <c r="F567" s="28"/>
    </row>
    <row r="568">
      <c r="E568" s="28"/>
      <c r="F568" s="28"/>
    </row>
    <row r="569">
      <c r="E569" s="28"/>
      <c r="F569" s="28"/>
    </row>
    <row r="570">
      <c r="E570" s="28"/>
      <c r="F570" s="28"/>
    </row>
    <row r="571">
      <c r="E571" s="28"/>
      <c r="F571" s="28"/>
    </row>
    <row r="572">
      <c r="E572" s="28"/>
      <c r="F572" s="28"/>
    </row>
    <row r="573">
      <c r="E573" s="28"/>
      <c r="F573" s="28"/>
    </row>
    <row r="574">
      <c r="E574" s="28"/>
      <c r="F574" s="28"/>
    </row>
    <row r="575">
      <c r="E575" s="28"/>
      <c r="F575" s="28"/>
    </row>
    <row r="576">
      <c r="E576" s="28"/>
      <c r="F576" s="28"/>
    </row>
    <row r="577">
      <c r="E577" s="28"/>
      <c r="F577" s="28"/>
    </row>
    <row r="578">
      <c r="E578" s="28"/>
      <c r="F578" s="28"/>
    </row>
    <row r="579">
      <c r="E579" s="28"/>
      <c r="F579" s="28"/>
    </row>
    <row r="580">
      <c r="E580" s="28"/>
      <c r="F580" s="28"/>
    </row>
    <row r="581">
      <c r="E581" s="28"/>
      <c r="F581" s="28"/>
    </row>
    <row r="582">
      <c r="E582" s="28"/>
      <c r="F582" s="28"/>
    </row>
    <row r="583">
      <c r="E583" s="28"/>
      <c r="F583" s="28"/>
    </row>
    <row r="584">
      <c r="E584" s="28"/>
      <c r="F584" s="28"/>
    </row>
    <row r="585">
      <c r="E585" s="28"/>
      <c r="F585" s="28"/>
    </row>
    <row r="586">
      <c r="E586" s="28"/>
      <c r="F586" s="28"/>
    </row>
    <row r="587">
      <c r="E587" s="28"/>
      <c r="F587" s="28"/>
    </row>
    <row r="588">
      <c r="E588" s="28"/>
      <c r="F588" s="28"/>
    </row>
    <row r="589">
      <c r="E589" s="28"/>
      <c r="F589" s="28"/>
    </row>
    <row r="590">
      <c r="E590" s="28"/>
      <c r="F590" s="28"/>
    </row>
  </sheetData>
  <dataValidations>
    <dataValidation type="list" allowBlank="1" showErrorMessage="1" sqref="F2:F590">
      <formula1>"Not a research paper,Not in peer reviewed journal,Not about LLMs,Not about Sycophancy,Not about either LLMs or Sycophancy,Other (Explanation -&gt;)"</formula1>
    </dataValidation>
    <dataValidation type="list" allowBlank="1" showErrorMessage="1" sqref="E2:E590">
      <formula1>"Include,Exclude"</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s>
  <drawing r:id="rId39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5.75"/>
    <col customWidth="1" min="2" max="2" width="21.0"/>
    <col customWidth="1" min="3" max="3" width="30.0"/>
    <col customWidth="1" min="4" max="4" width="17.75"/>
    <col customWidth="1" min="5" max="5" width="16.38"/>
    <col customWidth="1" min="6" max="6" width="23.5"/>
  </cols>
  <sheetData>
    <row r="1">
      <c r="A1" s="13" t="s">
        <v>0</v>
      </c>
      <c r="B1" s="13" t="str">
        <f>E2</f>
        <v>Exclude</v>
      </c>
      <c r="C1" s="13"/>
      <c r="D1" s="19" t="s">
        <v>1312</v>
      </c>
      <c r="E1" s="19" t="s">
        <v>1313</v>
      </c>
      <c r="F1" s="19" t="s">
        <v>1314</v>
      </c>
      <c r="G1" s="19" t="s">
        <v>1315</v>
      </c>
    </row>
    <row r="2">
      <c r="A2" s="24" t="s">
        <v>1089</v>
      </c>
      <c r="B2" s="19" t="s">
        <v>1090</v>
      </c>
      <c r="C2" s="19" t="s">
        <v>1091</v>
      </c>
      <c r="D2" s="19" t="s">
        <v>1344</v>
      </c>
      <c r="E2" s="19" t="s">
        <v>1317</v>
      </c>
      <c r="F2" s="19" t="s">
        <v>1318</v>
      </c>
    </row>
    <row r="3">
      <c r="A3" s="24" t="s">
        <v>1185</v>
      </c>
      <c r="B3" s="19" t="s">
        <v>1186</v>
      </c>
      <c r="C3" s="19" t="s">
        <v>1187</v>
      </c>
      <c r="D3" s="19" t="s">
        <v>1344</v>
      </c>
      <c r="E3" s="19" t="s">
        <v>1317</v>
      </c>
      <c r="F3" s="19" t="s">
        <v>1318</v>
      </c>
    </row>
    <row r="4">
      <c r="A4" s="24" t="s">
        <v>1182</v>
      </c>
      <c r="B4" s="19" t="s">
        <v>1183</v>
      </c>
      <c r="C4" s="19" t="s">
        <v>1184</v>
      </c>
      <c r="D4" s="19" t="s">
        <v>1344</v>
      </c>
      <c r="E4" s="19" t="s">
        <v>1317</v>
      </c>
      <c r="F4" s="19" t="s">
        <v>1318</v>
      </c>
    </row>
    <row r="5">
      <c r="A5" s="21" t="s">
        <v>155</v>
      </c>
      <c r="B5" s="22" t="s">
        <v>156</v>
      </c>
      <c r="C5" s="22" t="s">
        <v>157</v>
      </c>
      <c r="D5" s="19" t="s">
        <v>1345</v>
      </c>
      <c r="E5" s="19" t="s">
        <v>1317</v>
      </c>
      <c r="F5" s="19" t="s">
        <v>1318</v>
      </c>
    </row>
    <row r="6">
      <c r="A6" s="21" t="s">
        <v>137</v>
      </c>
      <c r="B6" s="22" t="s">
        <v>138</v>
      </c>
      <c r="C6" s="22" t="s">
        <v>139</v>
      </c>
      <c r="D6" s="19" t="s">
        <v>1346</v>
      </c>
      <c r="E6" s="28"/>
      <c r="F6" s="28"/>
    </row>
    <row r="7">
      <c r="A7" s="21" t="s">
        <v>209</v>
      </c>
      <c r="B7" s="22" t="s">
        <v>210</v>
      </c>
      <c r="C7" s="22" t="s">
        <v>211</v>
      </c>
      <c r="D7" s="19" t="s">
        <v>1346</v>
      </c>
      <c r="E7" s="28"/>
      <c r="F7" s="28"/>
    </row>
    <row r="8">
      <c r="A8" s="21" t="s">
        <v>140</v>
      </c>
      <c r="B8" s="22" t="s">
        <v>141</v>
      </c>
      <c r="C8" s="22" t="s">
        <v>142</v>
      </c>
      <c r="D8" s="19" t="s">
        <v>1345</v>
      </c>
      <c r="E8" s="19" t="s">
        <v>1317</v>
      </c>
      <c r="F8" s="19" t="s">
        <v>1323</v>
      </c>
    </row>
    <row r="9">
      <c r="A9" s="21" t="s">
        <v>32</v>
      </c>
      <c r="B9" s="22" t="s">
        <v>34</v>
      </c>
      <c r="C9" s="22" t="s">
        <v>33</v>
      </c>
      <c r="D9" s="19" t="s">
        <v>1344</v>
      </c>
      <c r="E9" s="19" t="s">
        <v>1320</v>
      </c>
      <c r="F9" s="28"/>
    </row>
    <row r="10">
      <c r="A10" s="21" t="s">
        <v>203</v>
      </c>
      <c r="B10" s="22" t="s">
        <v>204</v>
      </c>
      <c r="C10" s="22" t="s">
        <v>205</v>
      </c>
      <c r="D10" s="19" t="s">
        <v>1344</v>
      </c>
      <c r="E10" s="19" t="s">
        <v>1320</v>
      </c>
      <c r="F10" s="28"/>
      <c r="G10" s="19" t="s">
        <v>1347</v>
      </c>
    </row>
    <row r="11">
      <c r="A11" s="24" t="s">
        <v>690</v>
      </c>
      <c r="B11" s="19" t="s">
        <v>691</v>
      </c>
      <c r="C11" s="19" t="s">
        <v>692</v>
      </c>
      <c r="D11" s="19" t="s">
        <v>1345</v>
      </c>
      <c r="E11" s="19" t="s">
        <v>1317</v>
      </c>
      <c r="F11" s="19" t="s">
        <v>1318</v>
      </c>
    </row>
    <row r="12">
      <c r="A12" s="21" t="s">
        <v>167</v>
      </c>
      <c r="B12" s="22" t="s">
        <v>168</v>
      </c>
      <c r="C12" s="22" t="s">
        <v>169</v>
      </c>
      <c r="D12" s="19" t="s">
        <v>1344</v>
      </c>
      <c r="E12" s="19" t="s">
        <v>1317</v>
      </c>
      <c r="F12" s="19" t="s">
        <v>1318</v>
      </c>
    </row>
    <row r="13">
      <c r="A13" s="21" t="s">
        <v>37</v>
      </c>
      <c r="B13" s="22" t="s">
        <v>39</v>
      </c>
      <c r="C13" s="22" t="s">
        <v>38</v>
      </c>
      <c r="D13" s="19" t="s">
        <v>1344</v>
      </c>
      <c r="E13" s="19" t="s">
        <v>1320</v>
      </c>
      <c r="F13" s="28"/>
    </row>
    <row r="14">
      <c r="A14" s="21" t="s">
        <v>187</v>
      </c>
      <c r="B14" s="22" t="s">
        <v>188</v>
      </c>
      <c r="C14" s="22" t="s">
        <v>189</v>
      </c>
      <c r="D14" s="19" t="s">
        <v>1346</v>
      </c>
      <c r="E14" s="28"/>
      <c r="F14" s="28"/>
    </row>
    <row r="15">
      <c r="A15" s="24" t="s">
        <v>1086</v>
      </c>
      <c r="B15" s="19" t="s">
        <v>1087</v>
      </c>
      <c r="C15" s="19" t="s">
        <v>1088</v>
      </c>
      <c r="D15" s="19" t="s">
        <v>1346</v>
      </c>
      <c r="E15" s="28"/>
      <c r="F15" s="28"/>
    </row>
    <row r="16">
      <c r="A16" s="24" t="s">
        <v>958</v>
      </c>
      <c r="B16" s="19" t="s">
        <v>959</v>
      </c>
      <c r="C16" s="19" t="s">
        <v>960</v>
      </c>
      <c r="D16" s="19" t="s">
        <v>1344</v>
      </c>
      <c r="E16" s="19" t="s">
        <v>1317</v>
      </c>
      <c r="F16" s="19" t="s">
        <v>1318</v>
      </c>
    </row>
    <row r="17">
      <c r="A17" s="24" t="s">
        <v>1037</v>
      </c>
      <c r="B17" s="19" t="s">
        <v>1038</v>
      </c>
      <c r="C17" s="19" t="s">
        <v>1039</v>
      </c>
      <c r="D17" s="19" t="s">
        <v>1345</v>
      </c>
      <c r="E17" s="19" t="s">
        <v>1317</v>
      </c>
      <c r="F17" s="19" t="s">
        <v>1318</v>
      </c>
    </row>
    <row r="18">
      <c r="A18" s="24" t="s">
        <v>946</v>
      </c>
      <c r="B18" s="19" t="s">
        <v>947</v>
      </c>
      <c r="C18" s="19" t="s">
        <v>948</v>
      </c>
      <c r="D18" s="19" t="s">
        <v>1344</v>
      </c>
      <c r="E18" s="19" t="s">
        <v>1317</v>
      </c>
      <c r="F18" s="19" t="s">
        <v>1318</v>
      </c>
    </row>
    <row r="19">
      <c r="A19" s="21" t="s">
        <v>182</v>
      </c>
      <c r="B19" s="22" t="s">
        <v>183</v>
      </c>
      <c r="C19" s="22" t="s">
        <v>184</v>
      </c>
      <c r="D19" s="19" t="s">
        <v>1344</v>
      </c>
      <c r="E19" s="19" t="s">
        <v>1317</v>
      </c>
      <c r="F19" s="19" t="s">
        <v>1318</v>
      </c>
    </row>
    <row r="20">
      <c r="A20" s="21" t="s">
        <v>161</v>
      </c>
      <c r="B20" s="22" t="s">
        <v>162</v>
      </c>
      <c r="C20" s="22" t="s">
        <v>163</v>
      </c>
      <c r="D20" s="19" t="s">
        <v>1346</v>
      </c>
      <c r="E20" s="28"/>
      <c r="F20" s="28"/>
    </row>
    <row r="21">
      <c r="A21" s="21" t="s">
        <v>176</v>
      </c>
      <c r="B21" s="22" t="s">
        <v>177</v>
      </c>
      <c r="C21" s="22" t="s">
        <v>178</v>
      </c>
      <c r="D21" s="19" t="s">
        <v>1344</v>
      </c>
      <c r="E21" s="19" t="s">
        <v>1317</v>
      </c>
      <c r="F21" s="19" t="s">
        <v>1323</v>
      </c>
    </row>
    <row r="22">
      <c r="A22" s="21" t="s">
        <v>143</v>
      </c>
      <c r="B22" s="22" t="s">
        <v>144</v>
      </c>
      <c r="C22" s="22" t="s">
        <v>145</v>
      </c>
      <c r="D22" s="19" t="s">
        <v>1346</v>
      </c>
      <c r="E22" s="28"/>
      <c r="F22" s="28"/>
    </row>
    <row r="23">
      <c r="A23" s="21" t="s">
        <v>146</v>
      </c>
      <c r="B23" s="22" t="s">
        <v>147</v>
      </c>
      <c r="C23" s="22" t="s">
        <v>148</v>
      </c>
      <c r="D23" s="19" t="s">
        <v>1344</v>
      </c>
      <c r="E23" s="19" t="s">
        <v>1317</v>
      </c>
      <c r="F23" s="19" t="s">
        <v>1323</v>
      </c>
    </row>
    <row r="24">
      <c r="A24" s="21" t="s">
        <v>40</v>
      </c>
      <c r="B24" s="22" t="s">
        <v>42</v>
      </c>
      <c r="C24" s="22" t="s">
        <v>41</v>
      </c>
      <c r="D24" s="19" t="s">
        <v>1345</v>
      </c>
      <c r="E24" s="19" t="s">
        <v>1320</v>
      </c>
      <c r="F24" s="28"/>
    </row>
    <row r="25">
      <c r="A25" s="21" t="s">
        <v>152</v>
      </c>
      <c r="B25" s="22" t="s">
        <v>153</v>
      </c>
      <c r="C25" s="22" t="s">
        <v>154</v>
      </c>
      <c r="D25" s="19" t="s">
        <v>1346</v>
      </c>
      <c r="E25" s="28"/>
      <c r="F25" s="28"/>
    </row>
    <row r="26">
      <c r="A26" s="21" t="s">
        <v>173</v>
      </c>
      <c r="B26" s="22" t="s">
        <v>174</v>
      </c>
      <c r="C26" s="22" t="s">
        <v>175</v>
      </c>
      <c r="D26" s="19" t="s">
        <v>1345</v>
      </c>
      <c r="E26" s="19" t="s">
        <v>1317</v>
      </c>
      <c r="F26" s="19" t="s">
        <v>1318</v>
      </c>
    </row>
    <row r="27">
      <c r="A27" s="21" t="s">
        <v>158</v>
      </c>
      <c r="B27" s="22" t="s">
        <v>159</v>
      </c>
      <c r="C27" s="22" t="s">
        <v>160</v>
      </c>
      <c r="D27" s="19" t="s">
        <v>1345</v>
      </c>
      <c r="E27" s="19" t="s">
        <v>1317</v>
      </c>
      <c r="F27" s="19" t="s">
        <v>1318</v>
      </c>
    </row>
    <row r="28">
      <c r="A28" s="21" t="s">
        <v>193</v>
      </c>
      <c r="B28" s="22" t="s">
        <v>194</v>
      </c>
      <c r="C28" s="22" t="s">
        <v>195</v>
      </c>
      <c r="D28" s="19" t="s">
        <v>1345</v>
      </c>
      <c r="E28" s="19" t="s">
        <v>1317</v>
      </c>
      <c r="F28" s="19" t="s">
        <v>1323</v>
      </c>
    </row>
    <row r="29">
      <c r="A29" s="21" t="s">
        <v>134</v>
      </c>
      <c r="B29" s="22" t="s">
        <v>135</v>
      </c>
      <c r="C29" s="22" t="s">
        <v>136</v>
      </c>
      <c r="D29" s="19" t="s">
        <v>1345</v>
      </c>
      <c r="E29" s="19" t="s">
        <v>1317</v>
      </c>
      <c r="F29" s="19" t="s">
        <v>1318</v>
      </c>
    </row>
    <row r="30">
      <c r="A30" s="21" t="s">
        <v>131</v>
      </c>
      <c r="B30" s="22" t="s">
        <v>132</v>
      </c>
      <c r="C30" s="22" t="s">
        <v>133</v>
      </c>
      <c r="D30" s="19" t="s">
        <v>1345</v>
      </c>
      <c r="E30" s="19" t="s">
        <v>1317</v>
      </c>
      <c r="F30" s="19" t="s">
        <v>1335</v>
      </c>
      <c r="G30" s="19" t="s">
        <v>1348</v>
      </c>
    </row>
    <row r="31">
      <c r="A31" s="24" t="s">
        <v>990</v>
      </c>
      <c r="B31" s="19" t="s">
        <v>991</v>
      </c>
      <c r="C31" s="19" t="s">
        <v>992</v>
      </c>
      <c r="D31" s="19" t="s">
        <v>1345</v>
      </c>
      <c r="E31" s="19" t="s">
        <v>1317</v>
      </c>
      <c r="F31" s="19" t="s">
        <v>1318</v>
      </c>
    </row>
    <row r="32">
      <c r="A32" s="21" t="s">
        <v>200</v>
      </c>
      <c r="B32" s="22" t="s">
        <v>201</v>
      </c>
      <c r="C32" s="22" t="s">
        <v>202</v>
      </c>
      <c r="D32" s="19" t="s">
        <v>1345</v>
      </c>
      <c r="E32" s="19" t="s">
        <v>1317</v>
      </c>
      <c r="F32" s="19" t="s">
        <v>1323</v>
      </c>
    </row>
    <row r="33">
      <c r="A33" s="21" t="s">
        <v>164</v>
      </c>
      <c r="B33" s="22" t="s">
        <v>165</v>
      </c>
      <c r="C33" s="22" t="s">
        <v>166</v>
      </c>
      <c r="D33" s="19" t="s">
        <v>1345</v>
      </c>
      <c r="E33" s="19" t="s">
        <v>1317</v>
      </c>
      <c r="F33" s="19" t="s">
        <v>1318</v>
      </c>
    </row>
    <row r="34">
      <c r="A34" s="21" t="s">
        <v>149</v>
      </c>
      <c r="B34" s="22" t="s">
        <v>150</v>
      </c>
      <c r="C34" s="22" t="s">
        <v>151</v>
      </c>
      <c r="D34" s="19" t="s">
        <v>1345</v>
      </c>
      <c r="E34" s="19" t="s">
        <v>1317</v>
      </c>
      <c r="F34" s="19" t="s">
        <v>1323</v>
      </c>
    </row>
    <row r="35">
      <c r="A35" s="21" t="s">
        <v>206</v>
      </c>
      <c r="B35" s="22" t="s">
        <v>207</v>
      </c>
      <c r="C35" s="22" t="s">
        <v>208</v>
      </c>
      <c r="D35" s="19" t="s">
        <v>1346</v>
      </c>
      <c r="E35" s="28"/>
      <c r="F35" s="28"/>
    </row>
    <row r="36">
      <c r="A36" s="21" t="s">
        <v>128</v>
      </c>
      <c r="B36" s="22" t="s">
        <v>129</v>
      </c>
      <c r="C36" s="22" t="s">
        <v>130</v>
      </c>
      <c r="D36" s="19" t="s">
        <v>1344</v>
      </c>
      <c r="E36" s="19" t="s">
        <v>1320</v>
      </c>
      <c r="F36" s="28"/>
    </row>
    <row r="37">
      <c r="A37" s="24" t="s">
        <v>234</v>
      </c>
      <c r="B37" s="19" t="s">
        <v>45</v>
      </c>
      <c r="C37" s="19" t="s">
        <v>44</v>
      </c>
      <c r="D37" s="19" t="s">
        <v>1345</v>
      </c>
      <c r="E37" s="19" t="s">
        <v>1320</v>
      </c>
      <c r="F37" s="28"/>
    </row>
    <row r="38">
      <c r="A38" s="21" t="s">
        <v>43</v>
      </c>
      <c r="B38" s="22" t="s">
        <v>45</v>
      </c>
      <c r="C38" s="22" t="s">
        <v>44</v>
      </c>
      <c r="D38" s="19" t="s">
        <v>1346</v>
      </c>
      <c r="E38" s="28"/>
      <c r="F38" s="28"/>
    </row>
    <row r="39">
      <c r="A39" s="21" t="s">
        <v>212</v>
      </c>
      <c r="B39" s="22" t="s">
        <v>213</v>
      </c>
      <c r="C39" s="22" t="s">
        <v>214</v>
      </c>
      <c r="D39" s="19" t="s">
        <v>1346</v>
      </c>
      <c r="E39" s="28"/>
      <c r="F39" s="28"/>
    </row>
    <row r="40">
      <c r="A40" s="21" t="s">
        <v>170</v>
      </c>
      <c r="B40" s="22" t="s">
        <v>171</v>
      </c>
      <c r="C40" s="22" t="s">
        <v>172</v>
      </c>
      <c r="D40" s="19" t="s">
        <v>1346</v>
      </c>
      <c r="E40" s="19" t="s">
        <v>1317</v>
      </c>
      <c r="F40" s="19" t="s">
        <v>1318</v>
      </c>
    </row>
    <row r="41">
      <c r="A41" s="24" t="s">
        <v>952</v>
      </c>
      <c r="B41" s="19" t="s">
        <v>953</v>
      </c>
      <c r="C41" s="19" t="s">
        <v>954</v>
      </c>
      <c r="D41" s="19" t="s">
        <v>1346</v>
      </c>
      <c r="E41" s="19" t="s">
        <v>1317</v>
      </c>
      <c r="F41" s="19" t="s">
        <v>1318</v>
      </c>
    </row>
    <row r="42">
      <c r="A42" s="21" t="s">
        <v>179</v>
      </c>
      <c r="B42" s="22" t="s">
        <v>180</v>
      </c>
      <c r="C42" s="22" t="s">
        <v>181</v>
      </c>
      <c r="D42" s="19" t="s">
        <v>1346</v>
      </c>
      <c r="E42" s="28"/>
      <c r="F42" s="28"/>
    </row>
    <row r="43">
      <c r="A43" s="21" t="s">
        <v>190</v>
      </c>
      <c r="B43" s="22" t="s">
        <v>191</v>
      </c>
      <c r="C43" s="22" t="s">
        <v>192</v>
      </c>
      <c r="D43" s="19" t="s">
        <v>1345</v>
      </c>
      <c r="E43" s="19" t="s">
        <v>1317</v>
      </c>
      <c r="F43" s="19" t="s">
        <v>1323</v>
      </c>
    </row>
    <row r="44">
      <c r="A44" s="24" t="s">
        <v>702</v>
      </c>
      <c r="B44" s="19" t="s">
        <v>703</v>
      </c>
      <c r="C44" s="19" t="s">
        <v>704</v>
      </c>
      <c r="D44" s="19" t="s">
        <v>1346</v>
      </c>
      <c r="E44" s="28"/>
      <c r="F44" s="28"/>
    </row>
    <row r="45">
      <c r="A45" s="24" t="s">
        <v>1302</v>
      </c>
      <c r="B45" s="19" t="s">
        <v>1303</v>
      </c>
      <c r="C45" s="19" t="s">
        <v>1304</v>
      </c>
      <c r="D45" s="19" t="s">
        <v>1345</v>
      </c>
      <c r="E45" s="19" t="s">
        <v>1317</v>
      </c>
      <c r="F45" s="19" t="s">
        <v>1326</v>
      </c>
    </row>
    <row r="46">
      <c r="A46" s="24" t="s">
        <v>750</v>
      </c>
      <c r="B46" s="19" t="s">
        <v>751</v>
      </c>
      <c r="C46" s="19" t="s">
        <v>752</v>
      </c>
      <c r="D46" s="19" t="s">
        <v>1346</v>
      </c>
      <c r="E46" s="28"/>
      <c r="F46" s="28"/>
    </row>
    <row r="47">
      <c r="A47" s="24" t="s">
        <v>736</v>
      </c>
      <c r="B47" s="19" t="s">
        <v>737</v>
      </c>
      <c r="C47" s="19" t="s">
        <v>738</v>
      </c>
      <c r="D47" s="19" t="s">
        <v>1346</v>
      </c>
      <c r="E47" s="28"/>
      <c r="F47" s="28"/>
    </row>
    <row r="48">
      <c r="A48" s="24" t="s">
        <v>725</v>
      </c>
      <c r="B48" s="19" t="s">
        <v>726</v>
      </c>
      <c r="C48" s="19" t="s">
        <v>727</v>
      </c>
      <c r="D48" s="19" t="s">
        <v>1344</v>
      </c>
      <c r="E48" s="19" t="s">
        <v>1317</v>
      </c>
      <c r="F48" s="19" t="s">
        <v>1326</v>
      </c>
    </row>
    <row r="49">
      <c r="A49" s="24" t="s">
        <v>675</v>
      </c>
      <c r="B49" s="19" t="s">
        <v>676</v>
      </c>
      <c r="C49" s="19" t="s">
        <v>677</v>
      </c>
      <c r="D49" s="19" t="s">
        <v>1345</v>
      </c>
      <c r="E49" s="19" t="s">
        <v>1317</v>
      </c>
      <c r="F49" s="19" t="s">
        <v>1318</v>
      </c>
    </row>
    <row r="50">
      <c r="A50" s="24" t="s">
        <v>1281</v>
      </c>
      <c r="B50" s="19" t="s">
        <v>1282</v>
      </c>
      <c r="C50" s="19" t="s">
        <v>1283</v>
      </c>
      <c r="D50" s="19" t="s">
        <v>1345</v>
      </c>
      <c r="E50" s="19" t="s">
        <v>1317</v>
      </c>
      <c r="F50" s="19" t="s">
        <v>1318</v>
      </c>
    </row>
    <row r="51">
      <c r="A51" s="24" t="s">
        <v>1287</v>
      </c>
      <c r="B51" s="19" t="s">
        <v>1288</v>
      </c>
      <c r="C51" s="19" t="s">
        <v>1289</v>
      </c>
      <c r="D51" s="19" t="s">
        <v>1345</v>
      </c>
      <c r="E51" s="19" t="s">
        <v>1317</v>
      </c>
      <c r="F51" s="19" t="s">
        <v>1318</v>
      </c>
    </row>
    <row r="52">
      <c r="A52" s="24" t="s">
        <v>719</v>
      </c>
      <c r="B52" s="19" t="s">
        <v>720</v>
      </c>
      <c r="C52" s="19" t="s">
        <v>721</v>
      </c>
      <c r="D52" s="19" t="s">
        <v>1344</v>
      </c>
      <c r="E52" s="19" t="s">
        <v>1317</v>
      </c>
      <c r="F52" s="19" t="s">
        <v>1318</v>
      </c>
    </row>
    <row r="53">
      <c r="A53" s="24" t="s">
        <v>678</v>
      </c>
      <c r="B53" s="19" t="s">
        <v>679</v>
      </c>
      <c r="C53" s="19" t="s">
        <v>680</v>
      </c>
      <c r="D53" s="19" t="s">
        <v>1344</v>
      </c>
      <c r="E53" s="19" t="s">
        <v>1317</v>
      </c>
      <c r="F53" s="19" t="s">
        <v>1318</v>
      </c>
    </row>
    <row r="54">
      <c r="A54" s="24" t="s">
        <v>1213</v>
      </c>
      <c r="B54" s="19" t="s">
        <v>1214</v>
      </c>
      <c r="C54" s="19" t="s">
        <v>1215</v>
      </c>
      <c r="D54" s="19" t="s">
        <v>1345</v>
      </c>
      <c r="E54" s="19" t="s">
        <v>1317</v>
      </c>
      <c r="F54" s="19" t="s">
        <v>1318</v>
      </c>
    </row>
    <row r="55">
      <c r="A55" s="24" t="s">
        <v>1208</v>
      </c>
      <c r="B55" s="19" t="s">
        <v>1209</v>
      </c>
      <c r="C55" s="19" t="s">
        <v>1210</v>
      </c>
      <c r="D55" s="19" t="s">
        <v>1344</v>
      </c>
      <c r="E55" s="19" t="s">
        <v>1317</v>
      </c>
      <c r="F55" s="19" t="s">
        <v>1326</v>
      </c>
      <c r="G55" s="19" t="s">
        <v>1349</v>
      </c>
    </row>
    <row r="56">
      <c r="A56" s="24" t="s">
        <v>1030</v>
      </c>
      <c r="B56" s="19" t="s">
        <v>1031</v>
      </c>
      <c r="C56" s="19" t="s">
        <v>1032</v>
      </c>
      <c r="D56" s="19" t="s">
        <v>1346</v>
      </c>
      <c r="E56" s="28"/>
      <c r="F56" s="28"/>
    </row>
    <row r="57">
      <c r="A57" s="24" t="s">
        <v>1064</v>
      </c>
      <c r="B57" s="19" t="s">
        <v>1065</v>
      </c>
      <c r="C57" s="19" t="s">
        <v>1066</v>
      </c>
      <c r="D57" s="19" t="s">
        <v>1345</v>
      </c>
      <c r="E57" s="19" t="s">
        <v>1317</v>
      </c>
      <c r="F57" s="19" t="s">
        <v>1318</v>
      </c>
    </row>
    <row r="58">
      <c r="A58" s="24" t="s">
        <v>1308</v>
      </c>
      <c r="B58" s="19" t="s">
        <v>1309</v>
      </c>
      <c r="C58" s="19" t="s">
        <v>1310</v>
      </c>
      <c r="D58" s="19" t="s">
        <v>1345</v>
      </c>
      <c r="E58" s="19" t="s">
        <v>1317</v>
      </c>
      <c r="F58" s="19" t="s">
        <v>1318</v>
      </c>
    </row>
    <row r="59">
      <c r="A59" s="24" t="s">
        <v>46</v>
      </c>
      <c r="B59" s="19" t="s">
        <v>48</v>
      </c>
      <c r="C59" s="19" t="s">
        <v>47</v>
      </c>
      <c r="D59" s="19" t="s">
        <v>1344</v>
      </c>
      <c r="E59" s="19" t="s">
        <v>1320</v>
      </c>
      <c r="F59" s="28"/>
    </row>
    <row r="60">
      <c r="A60" s="24" t="s">
        <v>1202</v>
      </c>
      <c r="B60" s="19" t="s">
        <v>1203</v>
      </c>
      <c r="C60" s="19" t="s">
        <v>1204</v>
      </c>
      <c r="D60" s="19" t="s">
        <v>1345</v>
      </c>
      <c r="E60" s="19" t="s">
        <v>1317</v>
      </c>
      <c r="F60" s="19" t="s">
        <v>1318</v>
      </c>
    </row>
    <row r="61">
      <c r="A61" s="24" t="s">
        <v>1216</v>
      </c>
      <c r="B61" s="19" t="s">
        <v>1217</v>
      </c>
      <c r="C61" s="19" t="s">
        <v>1218</v>
      </c>
      <c r="D61" s="19" t="s">
        <v>1345</v>
      </c>
      <c r="E61" s="19" t="s">
        <v>1317</v>
      </c>
      <c r="F61" s="19" t="s">
        <v>1318</v>
      </c>
    </row>
    <row r="62">
      <c r="A62" s="24" t="s">
        <v>714</v>
      </c>
      <c r="B62" s="19" t="s">
        <v>715</v>
      </c>
      <c r="C62" s="19" t="s">
        <v>707</v>
      </c>
      <c r="D62" s="19" t="s">
        <v>1345</v>
      </c>
      <c r="E62" s="19" t="s">
        <v>1317</v>
      </c>
      <c r="F62" s="19" t="s">
        <v>1318</v>
      </c>
    </row>
    <row r="63">
      <c r="A63" s="24" t="s">
        <v>1067</v>
      </c>
      <c r="B63" s="19" t="s">
        <v>1068</v>
      </c>
      <c r="C63" s="19" t="s">
        <v>1069</v>
      </c>
      <c r="D63" s="19" t="s">
        <v>1344</v>
      </c>
      <c r="E63" s="19" t="s">
        <v>1317</v>
      </c>
      <c r="F63" s="19" t="s">
        <v>1318</v>
      </c>
    </row>
    <row r="64">
      <c r="A64" s="24" t="s">
        <v>1193</v>
      </c>
      <c r="B64" s="19" t="s">
        <v>1194</v>
      </c>
      <c r="C64" s="19" t="s">
        <v>1195</v>
      </c>
      <c r="D64" s="19" t="s">
        <v>1346</v>
      </c>
      <c r="E64" s="28"/>
      <c r="F64" s="28"/>
    </row>
    <row r="65">
      <c r="A65" s="24" t="s">
        <v>1147</v>
      </c>
      <c r="B65" s="19" t="s">
        <v>1148</v>
      </c>
      <c r="C65" s="19" t="s">
        <v>1149</v>
      </c>
      <c r="D65" s="19" t="s">
        <v>1345</v>
      </c>
      <c r="E65" s="19" t="s">
        <v>1317</v>
      </c>
      <c r="F65" s="19" t="s">
        <v>1318</v>
      </c>
    </row>
    <row r="66">
      <c r="A66" s="24" t="s">
        <v>745</v>
      </c>
      <c r="B66" s="19" t="s">
        <v>746</v>
      </c>
      <c r="C66" s="19" t="s">
        <v>747</v>
      </c>
      <c r="D66" s="19" t="s">
        <v>1345</v>
      </c>
      <c r="E66" s="19" t="s">
        <v>1317</v>
      </c>
      <c r="F66" s="19" t="s">
        <v>1318</v>
      </c>
    </row>
    <row r="67">
      <c r="A67" s="24" t="s">
        <v>1275</v>
      </c>
      <c r="B67" s="19" t="s">
        <v>1276</v>
      </c>
      <c r="C67" s="19" t="s">
        <v>1277</v>
      </c>
      <c r="D67" s="19" t="s">
        <v>1344</v>
      </c>
      <c r="E67" s="19" t="s">
        <v>1317</v>
      </c>
      <c r="F67" s="19" t="s">
        <v>1318</v>
      </c>
      <c r="G67" s="19" t="s">
        <v>1350</v>
      </c>
    </row>
    <row r="68">
      <c r="A68" s="24" t="s">
        <v>1144</v>
      </c>
      <c r="B68" s="19" t="s">
        <v>1145</v>
      </c>
      <c r="C68" s="19" t="s">
        <v>1146</v>
      </c>
      <c r="D68" s="19" t="s">
        <v>1344</v>
      </c>
      <c r="E68" s="19" t="s">
        <v>1317</v>
      </c>
      <c r="F68" s="19" t="s">
        <v>1318</v>
      </c>
    </row>
    <row r="69">
      <c r="A69" s="24" t="s">
        <v>711</v>
      </c>
      <c r="B69" s="19" t="s">
        <v>712</v>
      </c>
      <c r="C69" s="19" t="s">
        <v>713</v>
      </c>
      <c r="D69" s="19" t="s">
        <v>1345</v>
      </c>
      <c r="E69" s="19" t="s">
        <v>1317</v>
      </c>
      <c r="F69" s="19" t="s">
        <v>1318</v>
      </c>
    </row>
    <row r="70">
      <c r="A70" s="24" t="s">
        <v>1131</v>
      </c>
      <c r="B70" s="19" t="s">
        <v>1132</v>
      </c>
      <c r="C70" s="19" t="s">
        <v>1133</v>
      </c>
      <c r="D70" s="19" t="s">
        <v>1345</v>
      </c>
      <c r="E70" s="19" t="s">
        <v>1317</v>
      </c>
      <c r="F70" s="19" t="s">
        <v>1318</v>
      </c>
    </row>
    <row r="71">
      <c r="A71" s="24" t="s">
        <v>1188</v>
      </c>
      <c r="B71" s="19" t="s">
        <v>1189</v>
      </c>
      <c r="C71" s="19" t="s">
        <v>1190</v>
      </c>
      <c r="D71" s="19" t="s">
        <v>1344</v>
      </c>
      <c r="E71" s="19" t="s">
        <v>1317</v>
      </c>
      <c r="F71" s="19" t="s">
        <v>1318</v>
      </c>
    </row>
    <row r="72">
      <c r="A72" s="24" t="s">
        <v>1199</v>
      </c>
      <c r="B72" s="19" t="s">
        <v>1200</v>
      </c>
      <c r="C72" s="19" t="s">
        <v>1201</v>
      </c>
      <c r="D72" s="19" t="s">
        <v>1345</v>
      </c>
      <c r="E72" s="19" t="s">
        <v>1317</v>
      </c>
      <c r="F72" s="19" t="s">
        <v>1318</v>
      </c>
    </row>
    <row r="73">
      <c r="A73" s="24" t="s">
        <v>1179</v>
      </c>
      <c r="B73" s="19" t="s">
        <v>1180</v>
      </c>
      <c r="C73" s="19" t="s">
        <v>1181</v>
      </c>
      <c r="D73" s="19" t="s">
        <v>1344</v>
      </c>
      <c r="E73" s="19" t="s">
        <v>1317</v>
      </c>
      <c r="F73" s="19" t="s">
        <v>1318</v>
      </c>
    </row>
    <row r="74">
      <c r="A74" s="24" t="s">
        <v>1173</v>
      </c>
      <c r="B74" s="19" t="s">
        <v>1174</v>
      </c>
      <c r="C74" s="19" t="s">
        <v>1175</v>
      </c>
      <c r="D74" s="19" t="s">
        <v>1344</v>
      </c>
      <c r="E74" s="19" t="s">
        <v>1317</v>
      </c>
      <c r="F74" s="19" t="s">
        <v>1318</v>
      </c>
    </row>
    <row r="75">
      <c r="A75" s="24" t="s">
        <v>1196</v>
      </c>
      <c r="B75" s="19" t="s">
        <v>1197</v>
      </c>
      <c r="C75" s="19" t="s">
        <v>1198</v>
      </c>
      <c r="D75" s="19" t="s">
        <v>1345</v>
      </c>
      <c r="E75" s="19" t="s">
        <v>1317</v>
      </c>
      <c r="F75" s="19" t="s">
        <v>1318</v>
      </c>
    </row>
    <row r="76">
      <c r="A76" s="24" t="s">
        <v>1107</v>
      </c>
      <c r="B76" s="19" t="s">
        <v>1108</v>
      </c>
      <c r="C76" s="19" t="s">
        <v>1109</v>
      </c>
      <c r="D76" s="19" t="s">
        <v>1344</v>
      </c>
      <c r="E76" s="19" t="s">
        <v>1317</v>
      </c>
      <c r="F76" s="19" t="s">
        <v>1318</v>
      </c>
    </row>
    <row r="77">
      <c r="A77" s="24" t="s">
        <v>1122</v>
      </c>
      <c r="B77" s="19" t="s">
        <v>1123</v>
      </c>
      <c r="C77" s="19" t="s">
        <v>1124</v>
      </c>
      <c r="D77" s="19" t="s">
        <v>1346</v>
      </c>
      <c r="E77" s="28"/>
      <c r="F77" s="28"/>
    </row>
    <row r="78">
      <c r="A78" s="24" t="s">
        <v>1092</v>
      </c>
      <c r="B78" s="19" t="s">
        <v>1093</v>
      </c>
      <c r="C78" s="19" t="s">
        <v>1094</v>
      </c>
      <c r="D78" s="19" t="s">
        <v>1344</v>
      </c>
      <c r="E78" s="19" t="s">
        <v>1317</v>
      </c>
      <c r="F78" s="19" t="s">
        <v>1318</v>
      </c>
    </row>
    <row r="79">
      <c r="A79" s="24" t="s">
        <v>1191</v>
      </c>
      <c r="B79" s="19" t="s">
        <v>1192</v>
      </c>
      <c r="C79" s="19" t="s">
        <v>1011</v>
      </c>
      <c r="D79" s="19" t="s">
        <v>1346</v>
      </c>
      <c r="E79" s="28"/>
      <c r="F79" s="28"/>
    </row>
    <row r="80">
      <c r="A80" s="24" t="s">
        <v>1070</v>
      </c>
      <c r="B80" s="19" t="s">
        <v>1071</v>
      </c>
      <c r="C80" s="19" t="s">
        <v>1072</v>
      </c>
      <c r="D80" s="19" t="s">
        <v>1346</v>
      </c>
      <c r="E80" s="28"/>
      <c r="F80" s="28"/>
    </row>
    <row r="81">
      <c r="A81" s="24" t="s">
        <v>1119</v>
      </c>
      <c r="B81" s="19" t="s">
        <v>1120</v>
      </c>
      <c r="C81" s="19" t="s">
        <v>1121</v>
      </c>
      <c r="D81" s="19" t="s">
        <v>1346</v>
      </c>
      <c r="E81" s="28"/>
      <c r="F81" s="28"/>
    </row>
    <row r="82">
      <c r="A82" s="24" t="s">
        <v>1170</v>
      </c>
      <c r="B82" s="19" t="s">
        <v>1171</v>
      </c>
      <c r="C82" s="19" t="s">
        <v>1172</v>
      </c>
      <c r="D82" s="19" t="s">
        <v>1344</v>
      </c>
      <c r="E82" s="19" t="s">
        <v>1317</v>
      </c>
      <c r="F82" s="19" t="s">
        <v>1318</v>
      </c>
    </row>
    <row r="83">
      <c r="A83" s="24" t="s">
        <v>708</v>
      </c>
      <c r="B83" s="19" t="s">
        <v>709</v>
      </c>
      <c r="C83" s="19" t="s">
        <v>710</v>
      </c>
      <c r="D83" s="19" t="s">
        <v>1345</v>
      </c>
      <c r="E83" s="19" t="s">
        <v>1317</v>
      </c>
      <c r="F83" s="19" t="s">
        <v>1318</v>
      </c>
    </row>
    <row r="84">
      <c r="A84" s="24" t="s">
        <v>716</v>
      </c>
      <c r="B84" s="19" t="s">
        <v>717</v>
      </c>
      <c r="C84" s="19" t="s">
        <v>718</v>
      </c>
      <c r="D84" s="19" t="s">
        <v>1344</v>
      </c>
      <c r="E84" s="19" t="s">
        <v>1317</v>
      </c>
      <c r="F84" s="19" t="s">
        <v>1335</v>
      </c>
      <c r="G84" s="19" t="s">
        <v>1349</v>
      </c>
    </row>
    <row r="85">
      <c r="A85" s="24" t="s">
        <v>705</v>
      </c>
      <c r="B85" s="19" t="s">
        <v>706</v>
      </c>
      <c r="C85" s="19" t="s">
        <v>707</v>
      </c>
      <c r="D85" s="19" t="s">
        <v>1346</v>
      </c>
      <c r="E85" s="28"/>
      <c r="F85" s="28"/>
    </row>
    <row r="86">
      <c r="A86" s="24" t="s">
        <v>1243</v>
      </c>
      <c r="B86" s="19" t="s">
        <v>1244</v>
      </c>
      <c r="C86" s="19" t="s">
        <v>1245</v>
      </c>
      <c r="D86" s="19" t="s">
        <v>1346</v>
      </c>
      <c r="E86" s="28"/>
      <c r="F86" s="28"/>
    </row>
    <row r="87">
      <c r="A87" s="24" t="s">
        <v>699</v>
      </c>
      <c r="B87" s="19" t="s">
        <v>700</v>
      </c>
      <c r="C87" s="19" t="s">
        <v>701</v>
      </c>
      <c r="D87" s="19" t="s">
        <v>1346</v>
      </c>
      <c r="E87" s="28"/>
      <c r="F87" s="28"/>
    </row>
    <row r="88">
      <c r="A88" s="24" t="s">
        <v>1006</v>
      </c>
      <c r="B88" s="19" t="s">
        <v>1007</v>
      </c>
      <c r="C88" s="19" t="s">
        <v>1008</v>
      </c>
      <c r="D88" s="19" t="s">
        <v>1345</v>
      </c>
      <c r="E88" s="19" t="s">
        <v>1317</v>
      </c>
      <c r="F88" s="19" t="s">
        <v>1318</v>
      </c>
    </row>
    <row r="89">
      <c r="A89" s="24" t="s">
        <v>1176</v>
      </c>
      <c r="B89" s="19" t="s">
        <v>1177</v>
      </c>
      <c r="C89" s="19" t="s">
        <v>1178</v>
      </c>
      <c r="D89" s="19" t="s">
        <v>1344</v>
      </c>
      <c r="E89" s="19" t="s">
        <v>1317</v>
      </c>
      <c r="F89" s="19" t="s">
        <v>1318</v>
      </c>
    </row>
    <row r="90">
      <c r="A90" s="24" t="s">
        <v>1080</v>
      </c>
      <c r="B90" s="19" t="s">
        <v>1081</v>
      </c>
      <c r="C90" s="19" t="s">
        <v>1082</v>
      </c>
      <c r="D90" s="19" t="s">
        <v>1346</v>
      </c>
      <c r="E90" s="28"/>
      <c r="F90" s="28"/>
    </row>
    <row r="91">
      <c r="A91" s="24" t="s">
        <v>1264</v>
      </c>
      <c r="B91" s="19" t="s">
        <v>1265</v>
      </c>
      <c r="C91" s="19" t="s">
        <v>1266</v>
      </c>
      <c r="D91" s="19" t="s">
        <v>1345</v>
      </c>
      <c r="E91" s="19" t="s">
        <v>1317</v>
      </c>
      <c r="F91" s="19" t="s">
        <v>1318</v>
      </c>
    </row>
    <row r="92">
      <c r="A92" s="24" t="s">
        <v>1095</v>
      </c>
      <c r="B92" s="19" t="s">
        <v>1096</v>
      </c>
      <c r="C92" s="19" t="s">
        <v>1097</v>
      </c>
      <c r="D92" s="19" t="s">
        <v>1346</v>
      </c>
      <c r="E92" s="28"/>
      <c r="F92" s="28"/>
    </row>
    <row r="93">
      <c r="A93" s="24" t="s">
        <v>1162</v>
      </c>
      <c r="B93" s="19" t="s">
        <v>1163</v>
      </c>
      <c r="C93" s="19" t="s">
        <v>1164</v>
      </c>
      <c r="D93" s="19" t="s">
        <v>1344</v>
      </c>
      <c r="E93" s="19" t="s">
        <v>1317</v>
      </c>
      <c r="F93" s="19" t="s">
        <v>1318</v>
      </c>
    </row>
    <row r="94">
      <c r="A94" s="24" t="s">
        <v>1116</v>
      </c>
      <c r="B94" s="19" t="s">
        <v>1117</v>
      </c>
      <c r="C94" s="19" t="s">
        <v>1118</v>
      </c>
      <c r="D94" s="19" t="s">
        <v>1344</v>
      </c>
      <c r="E94" s="19" t="s">
        <v>1317</v>
      </c>
      <c r="F94" s="19" t="s">
        <v>1318</v>
      </c>
    </row>
    <row r="95">
      <c r="A95" s="24" t="s">
        <v>999</v>
      </c>
      <c r="B95" s="19" t="s">
        <v>1000</v>
      </c>
      <c r="C95" s="19" t="s">
        <v>1001</v>
      </c>
      <c r="D95" s="19" t="s">
        <v>1346</v>
      </c>
      <c r="E95" s="28"/>
      <c r="F95" s="28"/>
    </row>
    <row r="96">
      <c r="A96" s="24" t="s">
        <v>1033</v>
      </c>
      <c r="B96" s="19" t="s">
        <v>1034</v>
      </c>
      <c r="C96" s="19" t="s">
        <v>1035</v>
      </c>
      <c r="D96" s="19" t="s">
        <v>1346</v>
      </c>
      <c r="E96" s="28"/>
      <c r="F96" s="28"/>
    </row>
    <row r="97">
      <c r="A97" s="24" t="s">
        <v>1012</v>
      </c>
      <c r="B97" s="19" t="s">
        <v>1013</v>
      </c>
      <c r="C97" s="19" t="s">
        <v>1014</v>
      </c>
      <c r="D97" s="19" t="s">
        <v>1346</v>
      </c>
      <c r="E97" s="28"/>
      <c r="F97" s="28"/>
    </row>
    <row r="98">
      <c r="A98" s="24" t="s">
        <v>1159</v>
      </c>
      <c r="B98" s="19" t="s">
        <v>1160</v>
      </c>
      <c r="C98" s="19" t="s">
        <v>1161</v>
      </c>
      <c r="D98" s="19" t="s">
        <v>1346</v>
      </c>
      <c r="E98" s="28"/>
      <c r="F98" s="28"/>
    </row>
    <row r="99">
      <c r="A99" s="24" t="s">
        <v>1156</v>
      </c>
      <c r="B99" s="19" t="s">
        <v>1157</v>
      </c>
      <c r="C99" s="19" t="s">
        <v>1158</v>
      </c>
      <c r="D99" s="19" t="s">
        <v>1346</v>
      </c>
      <c r="E99" s="28"/>
      <c r="F99" s="28"/>
    </row>
    <row r="100">
      <c r="A100" s="24" t="s">
        <v>696</v>
      </c>
      <c r="B100" s="19" t="s">
        <v>697</v>
      </c>
      <c r="C100" s="19" t="s">
        <v>698</v>
      </c>
      <c r="D100" s="19" t="s">
        <v>1346</v>
      </c>
      <c r="E100" s="28"/>
      <c r="F100" s="28"/>
    </row>
    <row r="101">
      <c r="A101" s="24" t="s">
        <v>1138</v>
      </c>
      <c r="B101" s="19" t="s">
        <v>1139</v>
      </c>
      <c r="C101" s="19" t="s">
        <v>1140</v>
      </c>
      <c r="D101" s="19" t="s">
        <v>1344</v>
      </c>
      <c r="E101" s="19" t="s">
        <v>1317</v>
      </c>
      <c r="F101" s="19" t="s">
        <v>1318</v>
      </c>
    </row>
    <row r="102">
      <c r="A102" s="24" t="s">
        <v>1074</v>
      </c>
      <c r="B102" s="19" t="s">
        <v>1075</v>
      </c>
      <c r="C102" s="19" t="s">
        <v>1076</v>
      </c>
      <c r="D102" s="19" t="s">
        <v>1344</v>
      </c>
      <c r="E102" s="19" t="s">
        <v>1317</v>
      </c>
      <c r="F102" s="19" t="s">
        <v>1318</v>
      </c>
    </row>
    <row r="103">
      <c r="A103" s="24" t="s">
        <v>1150</v>
      </c>
      <c r="B103" s="19" t="s">
        <v>1151</v>
      </c>
      <c r="C103" s="19" t="s">
        <v>1152</v>
      </c>
      <c r="D103" s="19" t="s">
        <v>1344</v>
      </c>
      <c r="E103" s="19" t="s">
        <v>1317</v>
      </c>
      <c r="F103" s="19" t="s">
        <v>1318</v>
      </c>
    </row>
    <row r="104">
      <c r="A104" s="24" t="s">
        <v>1083</v>
      </c>
      <c r="B104" s="19" t="s">
        <v>1084</v>
      </c>
      <c r="C104" s="19" t="s">
        <v>1085</v>
      </c>
      <c r="D104" s="19" t="s">
        <v>1346</v>
      </c>
      <c r="E104" s="28"/>
      <c r="F104" s="28"/>
    </row>
    <row r="105">
      <c r="A105" s="24" t="s">
        <v>1261</v>
      </c>
      <c r="B105" s="19" t="s">
        <v>1262</v>
      </c>
      <c r="C105" s="19" t="s">
        <v>1263</v>
      </c>
      <c r="D105" s="19" t="s">
        <v>1345</v>
      </c>
      <c r="E105" s="19" t="s">
        <v>1317</v>
      </c>
      <c r="F105" s="19" t="s">
        <v>1318</v>
      </c>
    </row>
    <row r="106">
      <c r="A106" s="24" t="s">
        <v>1077</v>
      </c>
      <c r="B106" s="19" t="s">
        <v>1078</v>
      </c>
      <c r="C106" s="19" t="s">
        <v>1079</v>
      </c>
      <c r="D106" s="19" t="s">
        <v>1346</v>
      </c>
      <c r="E106" s="28"/>
      <c r="F106" s="28"/>
    </row>
    <row r="107">
      <c r="A107" s="24" t="s">
        <v>1153</v>
      </c>
      <c r="B107" s="19" t="s">
        <v>1154</v>
      </c>
      <c r="C107" s="19" t="s">
        <v>1155</v>
      </c>
      <c r="D107" s="19" t="s">
        <v>1345</v>
      </c>
      <c r="E107" s="19" t="s">
        <v>1317</v>
      </c>
      <c r="F107" s="19" t="s">
        <v>1318</v>
      </c>
    </row>
    <row r="108">
      <c r="A108" s="24" t="s">
        <v>1128</v>
      </c>
      <c r="B108" s="19" t="s">
        <v>1129</v>
      </c>
      <c r="C108" s="19" t="s">
        <v>1130</v>
      </c>
      <c r="D108" s="19" t="s">
        <v>1346</v>
      </c>
      <c r="E108" s="28"/>
      <c r="F108" s="28"/>
    </row>
    <row r="109">
      <c r="A109" s="24" t="s">
        <v>1142</v>
      </c>
      <c r="B109" s="19" t="s">
        <v>1143</v>
      </c>
      <c r="C109" s="19" t="s">
        <v>1136</v>
      </c>
      <c r="D109" s="19" t="s">
        <v>1346</v>
      </c>
      <c r="E109" s="28"/>
      <c r="F109" s="28"/>
    </row>
    <row r="110">
      <c r="A110" s="24" t="s">
        <v>1043</v>
      </c>
      <c r="B110" s="19" t="s">
        <v>1044</v>
      </c>
      <c r="C110" s="19" t="s">
        <v>1045</v>
      </c>
      <c r="D110" s="19" t="s">
        <v>1345</v>
      </c>
      <c r="E110" s="19" t="s">
        <v>1317</v>
      </c>
      <c r="F110" s="19" t="s">
        <v>1318</v>
      </c>
    </row>
    <row r="111">
      <c r="A111" s="24" t="s">
        <v>1134</v>
      </c>
      <c r="B111" s="19" t="s">
        <v>1135</v>
      </c>
      <c r="C111" s="19" t="s">
        <v>1136</v>
      </c>
      <c r="D111" s="19" t="s">
        <v>1344</v>
      </c>
      <c r="E111" s="19" t="s">
        <v>1317</v>
      </c>
      <c r="F111" s="19" t="s">
        <v>1318</v>
      </c>
    </row>
    <row r="112">
      <c r="A112" s="24" t="s">
        <v>1058</v>
      </c>
      <c r="B112" s="19" t="s">
        <v>1059</v>
      </c>
      <c r="C112" s="19" t="s">
        <v>1060</v>
      </c>
      <c r="D112" s="19" t="s">
        <v>1346</v>
      </c>
      <c r="E112" s="28"/>
      <c r="F112" s="28"/>
    </row>
    <row r="113">
      <c r="A113" s="24" t="s">
        <v>1258</v>
      </c>
      <c r="B113" s="19" t="s">
        <v>1259</v>
      </c>
      <c r="C113" s="19" t="s">
        <v>1260</v>
      </c>
      <c r="D113" s="19" t="s">
        <v>1344</v>
      </c>
      <c r="E113" s="19" t="s">
        <v>1317</v>
      </c>
      <c r="F113" s="19" t="s">
        <v>1318</v>
      </c>
    </row>
    <row r="114">
      <c r="A114" s="24" t="s">
        <v>955</v>
      </c>
      <c r="B114" s="19" t="s">
        <v>956</v>
      </c>
      <c r="C114" s="19" t="s">
        <v>957</v>
      </c>
      <c r="D114" s="19" t="s">
        <v>1346</v>
      </c>
      <c r="E114" s="28"/>
      <c r="F114" s="28"/>
    </row>
    <row r="115">
      <c r="A115" s="24" t="s">
        <v>949</v>
      </c>
      <c r="B115" s="19" t="s">
        <v>950</v>
      </c>
      <c r="C115" s="19" t="s">
        <v>951</v>
      </c>
      <c r="D115" s="19" t="s">
        <v>1346</v>
      </c>
      <c r="E115" s="28"/>
      <c r="F115" s="28"/>
    </row>
    <row r="116">
      <c r="A116" s="24" t="s">
        <v>1049</v>
      </c>
      <c r="B116" s="19" t="s">
        <v>1050</v>
      </c>
      <c r="C116" s="19" t="s">
        <v>1051</v>
      </c>
      <c r="D116" s="19" t="s">
        <v>1346</v>
      </c>
      <c r="E116" s="28"/>
      <c r="F116" s="28"/>
    </row>
    <row r="117">
      <c r="A117" s="24" t="s">
        <v>1040</v>
      </c>
      <c r="B117" s="19" t="s">
        <v>1041</v>
      </c>
      <c r="C117" s="19" t="s">
        <v>1042</v>
      </c>
      <c r="D117" s="19" t="s">
        <v>1344</v>
      </c>
      <c r="E117" s="19" t="s">
        <v>1317</v>
      </c>
      <c r="F117" s="19" t="s">
        <v>1318</v>
      </c>
    </row>
    <row r="118">
      <c r="A118" s="24" t="s">
        <v>1098</v>
      </c>
      <c r="B118" s="19" t="s">
        <v>1099</v>
      </c>
      <c r="C118" s="19" t="s">
        <v>1100</v>
      </c>
      <c r="D118" s="19" t="s">
        <v>1346</v>
      </c>
      <c r="E118" s="28"/>
      <c r="F118" s="28"/>
    </row>
    <row r="119">
      <c r="A119" s="24" t="s">
        <v>902</v>
      </c>
      <c r="B119" s="19" t="s">
        <v>903</v>
      </c>
      <c r="C119" s="19" t="s">
        <v>904</v>
      </c>
      <c r="D119" s="19" t="s">
        <v>1344</v>
      </c>
      <c r="E119" s="19" t="s">
        <v>1317</v>
      </c>
      <c r="F119" s="19" t="s">
        <v>1326</v>
      </c>
    </row>
    <row r="120">
      <c r="A120" s="24" t="s">
        <v>1125</v>
      </c>
      <c r="B120" s="19" t="s">
        <v>1126</v>
      </c>
      <c r="C120" s="19" t="s">
        <v>1127</v>
      </c>
      <c r="D120" s="19" t="s">
        <v>1344</v>
      </c>
      <c r="E120" s="19" t="s">
        <v>1317</v>
      </c>
      <c r="F120" s="19" t="s">
        <v>1318</v>
      </c>
    </row>
    <row r="121">
      <c r="A121" s="24" t="s">
        <v>1113</v>
      </c>
      <c r="B121" s="19" t="s">
        <v>1114</v>
      </c>
      <c r="C121" s="19" t="s">
        <v>1115</v>
      </c>
      <c r="D121" s="19" t="s">
        <v>1346</v>
      </c>
      <c r="E121" s="28"/>
      <c r="F121" s="28"/>
    </row>
    <row r="122">
      <c r="A122" s="24" t="s">
        <v>1110</v>
      </c>
      <c r="B122" s="19" t="s">
        <v>1111</v>
      </c>
      <c r="C122" s="19" t="s">
        <v>1112</v>
      </c>
      <c r="D122" s="19" t="s">
        <v>1345</v>
      </c>
      <c r="E122" s="19" t="s">
        <v>1317</v>
      </c>
      <c r="F122" s="19" t="s">
        <v>1318</v>
      </c>
    </row>
    <row r="123">
      <c r="A123" s="24" t="s">
        <v>923</v>
      </c>
      <c r="B123" s="19" t="s">
        <v>924</v>
      </c>
      <c r="C123" s="19" t="s">
        <v>925</v>
      </c>
      <c r="D123" s="19" t="s">
        <v>1346</v>
      </c>
      <c r="E123" s="28"/>
      <c r="F123" s="28"/>
    </row>
    <row r="124">
      <c r="A124" s="24" t="s">
        <v>937</v>
      </c>
      <c r="B124" s="19" t="s">
        <v>938</v>
      </c>
      <c r="C124" s="19" t="s">
        <v>939</v>
      </c>
      <c r="D124" s="19" t="s">
        <v>1346</v>
      </c>
      <c r="E124" s="28"/>
      <c r="F124" s="28"/>
    </row>
    <row r="125">
      <c r="A125" s="24" t="s">
        <v>1101</v>
      </c>
      <c r="B125" s="19" t="s">
        <v>1102</v>
      </c>
      <c r="C125" s="19" t="s">
        <v>1103</v>
      </c>
      <c r="D125" s="19" t="s">
        <v>1346</v>
      </c>
      <c r="E125" s="28"/>
      <c r="F125" s="28"/>
    </row>
    <row r="126">
      <c r="A126" s="24" t="s">
        <v>1234</v>
      </c>
      <c r="B126" s="19" t="s">
        <v>1235</v>
      </c>
      <c r="C126" s="19" t="s">
        <v>1236</v>
      </c>
      <c r="D126" s="19" t="s">
        <v>1345</v>
      </c>
      <c r="E126" s="19" t="s">
        <v>1317</v>
      </c>
      <c r="F126" s="19" t="s">
        <v>1318</v>
      </c>
    </row>
    <row r="127">
      <c r="A127" s="24" t="s">
        <v>993</v>
      </c>
      <c r="B127" s="19" t="s">
        <v>994</v>
      </c>
      <c r="C127" s="19" t="s">
        <v>995</v>
      </c>
      <c r="D127" s="19" t="s">
        <v>1345</v>
      </c>
      <c r="E127" s="19" t="s">
        <v>1317</v>
      </c>
      <c r="F127" s="19" t="s">
        <v>1326</v>
      </c>
    </row>
    <row r="128">
      <c r="A128" s="24" t="s">
        <v>1046</v>
      </c>
      <c r="B128" s="19" t="s">
        <v>1047</v>
      </c>
      <c r="C128" s="19" t="s">
        <v>1048</v>
      </c>
      <c r="D128" s="19" t="s">
        <v>1346</v>
      </c>
      <c r="E128" s="28"/>
      <c r="F128" s="28"/>
    </row>
    <row r="129">
      <c r="A129" s="24" t="s">
        <v>1252</v>
      </c>
      <c r="B129" s="19" t="s">
        <v>1253</v>
      </c>
      <c r="C129" s="19" t="s">
        <v>1254</v>
      </c>
      <c r="D129" s="19" t="s">
        <v>1344</v>
      </c>
      <c r="E129" s="19" t="s">
        <v>1317</v>
      </c>
      <c r="F129" s="19" t="s">
        <v>1318</v>
      </c>
    </row>
    <row r="130">
      <c r="A130" s="24" t="s">
        <v>970</v>
      </c>
      <c r="B130" s="19" t="s">
        <v>971</v>
      </c>
      <c r="C130" s="19" t="s">
        <v>972</v>
      </c>
      <c r="D130" s="19" t="s">
        <v>1345</v>
      </c>
      <c r="E130" s="19" t="s">
        <v>1317</v>
      </c>
      <c r="F130" s="19" t="s">
        <v>1318</v>
      </c>
    </row>
    <row r="131">
      <c r="A131" s="24" t="s">
        <v>1061</v>
      </c>
      <c r="B131" s="19" t="s">
        <v>1062</v>
      </c>
      <c r="C131" s="19" t="s">
        <v>1063</v>
      </c>
      <c r="D131" s="19" t="s">
        <v>1346</v>
      </c>
      <c r="E131" s="28"/>
      <c r="F131" s="28"/>
    </row>
    <row r="132">
      <c r="A132" s="24" t="s">
        <v>1025</v>
      </c>
      <c r="B132" s="19" t="s">
        <v>1026</v>
      </c>
      <c r="C132" s="19" t="s">
        <v>1027</v>
      </c>
      <c r="D132" s="19" t="s">
        <v>1345</v>
      </c>
      <c r="E132" s="19" t="s">
        <v>1317</v>
      </c>
      <c r="F132" s="19" t="s">
        <v>1318</v>
      </c>
    </row>
    <row r="133">
      <c r="A133" s="24" t="s">
        <v>1015</v>
      </c>
      <c r="B133" s="19" t="s">
        <v>1016</v>
      </c>
      <c r="C133" s="19" t="s">
        <v>1017</v>
      </c>
      <c r="D133" s="19" t="s">
        <v>1344</v>
      </c>
      <c r="E133" s="19" t="s">
        <v>1317</v>
      </c>
      <c r="F133" s="19" t="s">
        <v>1318</v>
      </c>
    </row>
    <row r="134">
      <c r="A134" s="24" t="s">
        <v>927</v>
      </c>
      <c r="B134" s="19" t="s">
        <v>928</v>
      </c>
      <c r="C134" s="19" t="s">
        <v>929</v>
      </c>
      <c r="D134" s="19" t="s">
        <v>1344</v>
      </c>
      <c r="E134" s="19" t="s">
        <v>1317</v>
      </c>
      <c r="F134" s="19" t="s">
        <v>1318</v>
      </c>
    </row>
    <row r="135">
      <c r="A135" s="24" t="s">
        <v>961</v>
      </c>
      <c r="B135" s="19" t="s">
        <v>962</v>
      </c>
      <c r="C135" s="19" t="s">
        <v>963</v>
      </c>
      <c r="D135" s="19" t="s">
        <v>1346</v>
      </c>
      <c r="E135" s="28"/>
      <c r="F135" s="28"/>
    </row>
    <row r="136">
      <c r="A136" s="24" t="s">
        <v>739</v>
      </c>
      <c r="B136" s="19" t="s">
        <v>740</v>
      </c>
      <c r="C136" s="19" t="s">
        <v>741</v>
      </c>
      <c r="D136" s="19" t="s">
        <v>1344</v>
      </c>
      <c r="E136" s="19" t="s">
        <v>1317</v>
      </c>
      <c r="F136" s="19" t="s">
        <v>1318</v>
      </c>
    </row>
    <row r="137">
      <c r="A137" s="24" t="s">
        <v>1055</v>
      </c>
      <c r="B137" s="19" t="s">
        <v>1056</v>
      </c>
      <c r="C137" s="19" t="s">
        <v>1057</v>
      </c>
      <c r="D137" s="19" t="s">
        <v>1346</v>
      </c>
      <c r="E137" s="28"/>
      <c r="F137" s="28"/>
    </row>
    <row r="138">
      <c r="A138" s="24" t="s">
        <v>1052</v>
      </c>
      <c r="B138" s="19" t="s">
        <v>1053</v>
      </c>
      <c r="C138" s="19" t="s">
        <v>1054</v>
      </c>
      <c r="D138" s="19" t="s">
        <v>1344</v>
      </c>
      <c r="E138" s="19" t="s">
        <v>1317</v>
      </c>
      <c r="F138" s="19" t="s">
        <v>1318</v>
      </c>
    </row>
    <row r="139">
      <c r="A139" s="24" t="s">
        <v>1009</v>
      </c>
      <c r="B139" s="19" t="s">
        <v>1010</v>
      </c>
      <c r="C139" s="19" t="s">
        <v>1011</v>
      </c>
      <c r="D139" s="19" t="s">
        <v>1344</v>
      </c>
      <c r="E139" s="19" t="s">
        <v>1317</v>
      </c>
      <c r="F139" s="19" t="s">
        <v>1318</v>
      </c>
    </row>
    <row r="140">
      <c r="A140" s="24" t="s">
        <v>1022</v>
      </c>
      <c r="B140" s="19" t="s">
        <v>1023</v>
      </c>
      <c r="C140" s="19" t="s">
        <v>1024</v>
      </c>
      <c r="D140" s="19" t="s">
        <v>1345</v>
      </c>
      <c r="E140" s="19" t="s">
        <v>1317</v>
      </c>
      <c r="F140" s="19" t="s">
        <v>1318</v>
      </c>
    </row>
    <row r="141">
      <c r="A141" s="24" t="s">
        <v>940</v>
      </c>
      <c r="B141" s="19" t="s">
        <v>941</v>
      </c>
      <c r="C141" s="19" t="s">
        <v>942</v>
      </c>
      <c r="D141" s="19" t="s">
        <v>1346</v>
      </c>
      <c r="E141" s="28"/>
      <c r="F141" s="28"/>
    </row>
    <row r="142">
      <c r="A142" s="24" t="s">
        <v>1019</v>
      </c>
      <c r="B142" s="19" t="s">
        <v>1020</v>
      </c>
      <c r="C142" s="19" t="s">
        <v>1021</v>
      </c>
      <c r="D142" s="19" t="s">
        <v>1345</v>
      </c>
      <c r="E142" s="19" t="s">
        <v>1317</v>
      </c>
      <c r="F142" s="19" t="s">
        <v>1318</v>
      </c>
    </row>
    <row r="143">
      <c r="A143" s="24" t="s">
        <v>1003</v>
      </c>
      <c r="B143" s="19" t="s">
        <v>1004</v>
      </c>
      <c r="C143" s="19" t="s">
        <v>1005</v>
      </c>
      <c r="D143" s="19" t="s">
        <v>1344</v>
      </c>
      <c r="E143" s="19" t="s">
        <v>1317</v>
      </c>
      <c r="F143" s="19" t="s">
        <v>1318</v>
      </c>
    </row>
    <row r="144">
      <c r="A144" s="24" t="s">
        <v>1296</v>
      </c>
      <c r="B144" s="19" t="s">
        <v>1297</v>
      </c>
      <c r="C144" s="19" t="s">
        <v>1298</v>
      </c>
      <c r="D144" s="19" t="s">
        <v>1345</v>
      </c>
      <c r="E144" s="19" t="s">
        <v>1317</v>
      </c>
      <c r="F144" s="19" t="s">
        <v>1318</v>
      </c>
    </row>
    <row r="145">
      <c r="A145" s="24" t="s">
        <v>981</v>
      </c>
      <c r="B145" s="19" t="s">
        <v>982</v>
      </c>
      <c r="C145" s="19" t="s">
        <v>983</v>
      </c>
      <c r="D145" s="19" t="s">
        <v>1345</v>
      </c>
      <c r="E145" s="19" t="s">
        <v>1317</v>
      </c>
      <c r="F145" s="19" t="s">
        <v>1318</v>
      </c>
    </row>
    <row r="146">
      <c r="A146" s="24" t="s">
        <v>996</v>
      </c>
      <c r="B146" s="19" t="s">
        <v>997</v>
      </c>
      <c r="C146" s="19" t="s">
        <v>998</v>
      </c>
      <c r="D146" s="19" t="s">
        <v>1346</v>
      </c>
      <c r="E146" s="28"/>
      <c r="F146" s="28"/>
    </row>
    <row r="147">
      <c r="A147" s="24" t="s">
        <v>977</v>
      </c>
      <c r="B147" s="19" t="s">
        <v>978</v>
      </c>
      <c r="C147" s="19" t="s">
        <v>979</v>
      </c>
      <c r="D147" s="19" t="s">
        <v>1344</v>
      </c>
      <c r="E147" s="19" t="s">
        <v>1317</v>
      </c>
      <c r="F147" s="19" t="s">
        <v>1318</v>
      </c>
    </row>
    <row r="148">
      <c r="A148" s="24" t="s">
        <v>1246</v>
      </c>
      <c r="B148" s="19" t="s">
        <v>1247</v>
      </c>
      <c r="C148" s="19" t="s">
        <v>1248</v>
      </c>
      <c r="D148" s="19" t="s">
        <v>1344</v>
      </c>
      <c r="E148" s="19" t="s">
        <v>1317</v>
      </c>
      <c r="F148" s="19" t="s">
        <v>1326</v>
      </c>
    </row>
    <row r="149">
      <c r="A149" s="24" t="s">
        <v>967</v>
      </c>
      <c r="B149" s="19" t="s">
        <v>968</v>
      </c>
      <c r="C149" s="19" t="s">
        <v>969</v>
      </c>
      <c r="D149" s="19" t="s">
        <v>1346</v>
      </c>
      <c r="E149" s="28"/>
      <c r="F149" s="28"/>
    </row>
    <row r="150">
      <c r="A150" s="24" t="s">
        <v>930</v>
      </c>
      <c r="B150" s="19" t="s">
        <v>931</v>
      </c>
      <c r="C150" s="19" t="s">
        <v>932</v>
      </c>
      <c r="D150" s="19" t="s">
        <v>1344</v>
      </c>
      <c r="E150" s="19" t="s">
        <v>1317</v>
      </c>
      <c r="F150" s="19" t="s">
        <v>1318</v>
      </c>
    </row>
    <row r="151">
      <c r="A151" s="24" t="s">
        <v>987</v>
      </c>
      <c r="B151" s="19" t="s">
        <v>988</v>
      </c>
      <c r="C151" s="19" t="s">
        <v>989</v>
      </c>
      <c r="D151" s="19" t="s">
        <v>1345</v>
      </c>
      <c r="E151" s="19" t="s">
        <v>1317</v>
      </c>
      <c r="F151" s="19" t="s">
        <v>1318</v>
      </c>
    </row>
    <row r="152">
      <c r="A152" s="24" t="s">
        <v>685</v>
      </c>
      <c r="B152" s="19" t="s">
        <v>686</v>
      </c>
      <c r="C152" s="19" t="s">
        <v>687</v>
      </c>
      <c r="D152" s="19" t="s">
        <v>1344</v>
      </c>
      <c r="E152" s="19" t="s">
        <v>1317</v>
      </c>
      <c r="F152" s="19" t="s">
        <v>1318</v>
      </c>
    </row>
    <row r="153">
      <c r="A153" s="24" t="s">
        <v>964</v>
      </c>
      <c r="B153" s="19" t="s">
        <v>965</v>
      </c>
      <c r="C153" s="19" t="s">
        <v>966</v>
      </c>
      <c r="D153" s="19" t="s">
        <v>1345</v>
      </c>
      <c r="E153" s="19" t="s">
        <v>1317</v>
      </c>
      <c r="F153" s="19" t="s">
        <v>1318</v>
      </c>
    </row>
    <row r="154">
      <c r="A154" s="24" t="s">
        <v>905</v>
      </c>
      <c r="B154" s="19" t="s">
        <v>906</v>
      </c>
      <c r="C154" s="19" t="s">
        <v>907</v>
      </c>
      <c r="D154" s="19" t="s">
        <v>1345</v>
      </c>
      <c r="E154" s="19" t="s">
        <v>1317</v>
      </c>
      <c r="F154" s="19" t="s">
        <v>1318</v>
      </c>
    </row>
    <row r="155">
      <c r="A155" s="24" t="s">
        <v>973</v>
      </c>
      <c r="B155" s="19" t="s">
        <v>974</v>
      </c>
      <c r="C155" s="19" t="s">
        <v>975</v>
      </c>
      <c r="D155" s="19" t="s">
        <v>1346</v>
      </c>
      <c r="E155" s="28"/>
      <c r="F155" s="28"/>
    </row>
    <row r="156">
      <c r="A156" s="24" t="s">
        <v>756</v>
      </c>
      <c r="B156" s="19" t="s">
        <v>757</v>
      </c>
      <c r="C156" s="19" t="s">
        <v>758</v>
      </c>
      <c r="D156" s="19" t="s">
        <v>1344</v>
      </c>
      <c r="E156" s="19" t="s">
        <v>1317</v>
      </c>
      <c r="F156" s="19" t="s">
        <v>1318</v>
      </c>
    </row>
    <row r="157">
      <c r="A157" s="24" t="s">
        <v>943</v>
      </c>
      <c r="B157" s="19" t="s">
        <v>944</v>
      </c>
      <c r="C157" s="19" t="s">
        <v>945</v>
      </c>
      <c r="D157" s="19" t="s">
        <v>1346</v>
      </c>
      <c r="E157" s="28"/>
      <c r="F157" s="28"/>
    </row>
    <row r="158">
      <c r="A158" s="24" t="s">
        <v>1249</v>
      </c>
      <c r="B158" s="19" t="s">
        <v>1250</v>
      </c>
      <c r="C158" s="19" t="s">
        <v>1251</v>
      </c>
      <c r="D158" s="19" t="s">
        <v>1344</v>
      </c>
      <c r="E158" s="19" t="s">
        <v>1317</v>
      </c>
      <c r="F158" s="19" t="s">
        <v>1318</v>
      </c>
    </row>
    <row r="159">
      <c r="A159" s="24" t="s">
        <v>893</v>
      </c>
      <c r="B159" s="19" t="s">
        <v>894</v>
      </c>
      <c r="C159" s="19" t="s">
        <v>895</v>
      </c>
      <c r="D159" s="19" t="s">
        <v>1344</v>
      </c>
      <c r="E159" s="19" t="s">
        <v>1317</v>
      </c>
      <c r="F159" s="19" t="s">
        <v>1323</v>
      </c>
    </row>
    <row r="160">
      <c r="A160" s="24" t="s">
        <v>881</v>
      </c>
      <c r="B160" s="19" t="s">
        <v>882</v>
      </c>
      <c r="C160" s="19" t="s">
        <v>883</v>
      </c>
      <c r="D160" s="19" t="s">
        <v>1346</v>
      </c>
      <c r="E160" s="28"/>
      <c r="F160" s="28"/>
    </row>
    <row r="161">
      <c r="A161" s="24" t="s">
        <v>908</v>
      </c>
      <c r="B161" s="19" t="s">
        <v>909</v>
      </c>
      <c r="C161" s="19" t="s">
        <v>910</v>
      </c>
      <c r="D161" s="19" t="s">
        <v>1345</v>
      </c>
      <c r="E161" s="19" t="s">
        <v>1317</v>
      </c>
      <c r="F161" s="19" t="s">
        <v>1318</v>
      </c>
    </row>
    <row r="162">
      <c r="A162" s="24" t="s">
        <v>917</v>
      </c>
      <c r="B162" s="19" t="s">
        <v>918</v>
      </c>
      <c r="C162" s="19" t="s">
        <v>919</v>
      </c>
      <c r="D162" s="19" t="s">
        <v>1344</v>
      </c>
      <c r="E162" s="19" t="s">
        <v>1317</v>
      </c>
      <c r="F162" s="19" t="s">
        <v>1318</v>
      </c>
    </row>
    <row r="163">
      <c r="A163" s="24" t="s">
        <v>920</v>
      </c>
      <c r="B163" s="19" t="s">
        <v>921</v>
      </c>
      <c r="C163" s="19" t="s">
        <v>922</v>
      </c>
      <c r="D163" s="19" t="s">
        <v>1345</v>
      </c>
      <c r="E163" s="19" t="s">
        <v>1317</v>
      </c>
      <c r="F163" s="19" t="s">
        <v>1318</v>
      </c>
    </row>
    <row r="164">
      <c r="A164" s="24" t="s">
        <v>911</v>
      </c>
      <c r="B164" s="19" t="s">
        <v>912</v>
      </c>
      <c r="C164" s="19" t="s">
        <v>913</v>
      </c>
      <c r="D164" s="19" t="s">
        <v>1345</v>
      </c>
      <c r="E164" s="19" t="s">
        <v>1317</v>
      </c>
      <c r="F164" s="19" t="s">
        <v>1318</v>
      </c>
    </row>
    <row r="165">
      <c r="A165" s="24" t="s">
        <v>872</v>
      </c>
      <c r="B165" s="19" t="s">
        <v>873</v>
      </c>
      <c r="C165" s="19" t="s">
        <v>874</v>
      </c>
      <c r="D165" s="19" t="s">
        <v>1344</v>
      </c>
      <c r="E165" s="19" t="s">
        <v>1317</v>
      </c>
      <c r="F165" s="19" t="s">
        <v>1318</v>
      </c>
    </row>
    <row r="166">
      <c r="A166" s="24" t="s">
        <v>866</v>
      </c>
      <c r="B166" s="19" t="s">
        <v>867</v>
      </c>
      <c r="C166" s="19" t="s">
        <v>868</v>
      </c>
      <c r="D166" s="19" t="s">
        <v>1345</v>
      </c>
      <c r="E166" s="19" t="s">
        <v>1317</v>
      </c>
      <c r="F166" s="19" t="s">
        <v>1318</v>
      </c>
    </row>
    <row r="167">
      <c r="A167" s="24" t="s">
        <v>899</v>
      </c>
      <c r="B167" s="19" t="s">
        <v>900</v>
      </c>
      <c r="C167" s="19" t="s">
        <v>901</v>
      </c>
      <c r="D167" s="19" t="s">
        <v>1346</v>
      </c>
      <c r="E167" s="28"/>
      <c r="F167" s="28"/>
    </row>
    <row r="168">
      <c r="A168" s="24" t="s">
        <v>884</v>
      </c>
      <c r="B168" s="19" t="s">
        <v>885</v>
      </c>
      <c r="C168" s="19" t="s">
        <v>886</v>
      </c>
      <c r="D168" s="19" t="s">
        <v>1344</v>
      </c>
      <c r="E168" s="19" t="s">
        <v>1317</v>
      </c>
      <c r="F168" s="19" t="s">
        <v>1318</v>
      </c>
    </row>
    <row r="169">
      <c r="A169" s="24" t="s">
        <v>731</v>
      </c>
      <c r="B169" s="19" t="s">
        <v>732</v>
      </c>
      <c r="C169" s="19" t="s">
        <v>733</v>
      </c>
      <c r="D169" s="19" t="s">
        <v>1344</v>
      </c>
      <c r="E169" s="19" t="s">
        <v>1317</v>
      </c>
      <c r="F169" s="19" t="s">
        <v>1318</v>
      </c>
    </row>
    <row r="170">
      <c r="A170" s="24" t="s">
        <v>896</v>
      </c>
      <c r="B170" s="19" t="s">
        <v>897</v>
      </c>
      <c r="C170" s="19" t="s">
        <v>898</v>
      </c>
      <c r="D170" s="19" t="s">
        <v>1345</v>
      </c>
      <c r="E170" s="19" t="s">
        <v>1317</v>
      </c>
      <c r="F170" s="19" t="s">
        <v>1318</v>
      </c>
    </row>
    <row r="171">
      <c r="A171" s="24" t="s">
        <v>1255</v>
      </c>
      <c r="B171" s="19" t="s">
        <v>1256</v>
      </c>
      <c r="C171" s="19" t="s">
        <v>1257</v>
      </c>
      <c r="D171" s="19" t="s">
        <v>1345</v>
      </c>
      <c r="E171" s="19" t="s">
        <v>1317</v>
      </c>
      <c r="F171" s="19" t="s">
        <v>1318</v>
      </c>
    </row>
    <row r="172">
      <c r="A172" s="24" t="s">
        <v>753</v>
      </c>
      <c r="B172" s="19" t="s">
        <v>754</v>
      </c>
      <c r="C172" s="19" t="s">
        <v>755</v>
      </c>
      <c r="D172" s="19" t="s">
        <v>1346</v>
      </c>
      <c r="E172" s="28"/>
      <c r="F172" s="28"/>
    </row>
    <row r="173">
      <c r="A173" s="24" t="s">
        <v>890</v>
      </c>
      <c r="B173" s="19" t="s">
        <v>891</v>
      </c>
      <c r="C173" s="19" t="s">
        <v>892</v>
      </c>
      <c r="D173" s="19" t="s">
        <v>1346</v>
      </c>
      <c r="E173" s="28"/>
      <c r="F173" s="28"/>
    </row>
    <row r="174">
      <c r="A174" s="24" t="s">
        <v>887</v>
      </c>
      <c r="B174" s="19" t="s">
        <v>888</v>
      </c>
      <c r="C174" s="19" t="s">
        <v>889</v>
      </c>
      <c r="D174" s="19" t="s">
        <v>1344</v>
      </c>
      <c r="E174" s="19" t="s">
        <v>1317</v>
      </c>
      <c r="F174" s="19" t="s">
        <v>1318</v>
      </c>
    </row>
    <row r="175">
      <c r="A175" s="24" t="s">
        <v>854</v>
      </c>
      <c r="B175" s="19" t="s">
        <v>855</v>
      </c>
      <c r="C175" s="19" t="s">
        <v>856</v>
      </c>
      <c r="D175" s="19" t="s">
        <v>1345</v>
      </c>
      <c r="E175" s="19" t="s">
        <v>1317</v>
      </c>
      <c r="F175" s="19" t="s">
        <v>1318</v>
      </c>
    </row>
    <row r="176">
      <c r="A176" s="24" t="s">
        <v>875</v>
      </c>
      <c r="B176" s="19" t="s">
        <v>876</v>
      </c>
      <c r="C176" s="19" t="s">
        <v>877</v>
      </c>
      <c r="D176" s="19" t="s">
        <v>1344</v>
      </c>
      <c r="E176" s="19" t="s">
        <v>1317</v>
      </c>
      <c r="F176" s="19" t="s">
        <v>1318</v>
      </c>
    </row>
    <row r="177">
      <c r="A177" s="24" t="s">
        <v>878</v>
      </c>
      <c r="B177" s="19" t="s">
        <v>879</v>
      </c>
      <c r="C177" s="19" t="s">
        <v>880</v>
      </c>
      <c r="D177" s="19" t="s">
        <v>1346</v>
      </c>
      <c r="E177" s="28"/>
      <c r="F177" s="28"/>
    </row>
    <row r="178">
      <c r="A178" s="24" t="s">
        <v>1219</v>
      </c>
      <c r="B178" s="19" t="s">
        <v>1220</v>
      </c>
      <c r="C178" s="19" t="s">
        <v>1221</v>
      </c>
      <c r="D178" s="19" t="s">
        <v>1346</v>
      </c>
      <c r="E178" s="28"/>
      <c r="F178" s="28"/>
    </row>
    <row r="179">
      <c r="A179" s="24" t="s">
        <v>863</v>
      </c>
      <c r="B179" s="19" t="s">
        <v>864</v>
      </c>
      <c r="C179" s="19" t="s">
        <v>865</v>
      </c>
      <c r="D179" s="19" t="s">
        <v>1346</v>
      </c>
      <c r="E179" s="28"/>
      <c r="F179" s="28"/>
    </row>
    <row r="180">
      <c r="A180" s="24" t="s">
        <v>839</v>
      </c>
      <c r="B180" s="19" t="s">
        <v>840</v>
      </c>
      <c r="C180" s="19" t="s">
        <v>841</v>
      </c>
      <c r="D180" s="19" t="s">
        <v>1346</v>
      </c>
      <c r="E180" s="19" t="s">
        <v>1317</v>
      </c>
      <c r="F180" s="19" t="s">
        <v>1318</v>
      </c>
    </row>
    <row r="181">
      <c r="A181" s="24" t="s">
        <v>869</v>
      </c>
      <c r="B181" s="19" t="s">
        <v>870</v>
      </c>
      <c r="C181" s="19" t="s">
        <v>871</v>
      </c>
      <c r="D181" s="19" t="s">
        <v>1345</v>
      </c>
      <c r="E181" s="19" t="s">
        <v>1317</v>
      </c>
      <c r="F181" s="19" t="s">
        <v>1318</v>
      </c>
    </row>
    <row r="182">
      <c r="A182" s="24" t="s">
        <v>816</v>
      </c>
      <c r="B182" s="19" t="s">
        <v>817</v>
      </c>
      <c r="C182" s="19" t="s">
        <v>818</v>
      </c>
      <c r="D182" s="19" t="s">
        <v>1346</v>
      </c>
      <c r="E182" s="28"/>
      <c r="F182" s="28"/>
    </row>
    <row r="183">
      <c r="A183" s="24" t="s">
        <v>857</v>
      </c>
      <c r="B183" s="19" t="s">
        <v>858</v>
      </c>
      <c r="C183" s="19" t="s">
        <v>859</v>
      </c>
      <c r="D183" s="19" t="s">
        <v>1346</v>
      </c>
      <c r="E183" s="28"/>
      <c r="F183" s="28"/>
    </row>
    <row r="184">
      <c r="A184" s="24" t="s">
        <v>693</v>
      </c>
      <c r="B184" s="19" t="s">
        <v>694</v>
      </c>
      <c r="C184" s="19" t="s">
        <v>695</v>
      </c>
      <c r="D184" s="19" t="s">
        <v>1345</v>
      </c>
      <c r="E184" s="19" t="s">
        <v>1317</v>
      </c>
      <c r="F184" s="19" t="s">
        <v>1318</v>
      </c>
    </row>
    <row r="185">
      <c r="A185" s="24" t="s">
        <v>668</v>
      </c>
      <c r="B185" s="19" t="s">
        <v>669</v>
      </c>
      <c r="C185" s="19" t="s">
        <v>670</v>
      </c>
      <c r="D185" s="19" t="s">
        <v>1344</v>
      </c>
      <c r="E185" s="19" t="s">
        <v>1317</v>
      </c>
      <c r="F185" s="19" t="s">
        <v>1318</v>
      </c>
    </row>
    <row r="186">
      <c r="A186" s="24" t="s">
        <v>845</v>
      </c>
      <c r="B186" s="19" t="s">
        <v>846</v>
      </c>
      <c r="C186" s="19" t="s">
        <v>847</v>
      </c>
      <c r="D186" s="19" t="s">
        <v>1344</v>
      </c>
      <c r="E186" s="19" t="s">
        <v>1317</v>
      </c>
      <c r="F186" s="19" t="s">
        <v>1318</v>
      </c>
    </row>
    <row r="187">
      <c r="A187" s="24" t="s">
        <v>842</v>
      </c>
      <c r="B187" s="19" t="s">
        <v>843</v>
      </c>
      <c r="C187" s="19" t="s">
        <v>844</v>
      </c>
      <c r="D187" s="19" t="s">
        <v>1345</v>
      </c>
      <c r="E187" s="19" t="s">
        <v>1317</v>
      </c>
      <c r="F187" s="19" t="s">
        <v>1323</v>
      </c>
    </row>
    <row r="188">
      <c r="A188" s="24" t="s">
        <v>848</v>
      </c>
      <c r="B188" s="19" t="s">
        <v>849</v>
      </c>
      <c r="C188" s="19" t="s">
        <v>850</v>
      </c>
      <c r="D188" s="19" t="s">
        <v>1344</v>
      </c>
      <c r="E188" s="19" t="s">
        <v>1317</v>
      </c>
      <c r="F188" s="19" t="s">
        <v>1323</v>
      </c>
    </row>
    <row r="189">
      <c r="A189" s="24" t="s">
        <v>851</v>
      </c>
      <c r="B189" s="19" t="s">
        <v>852</v>
      </c>
      <c r="C189" s="19" t="s">
        <v>853</v>
      </c>
      <c r="D189" s="19" t="s">
        <v>1344</v>
      </c>
      <c r="E189" s="19" t="s">
        <v>1317</v>
      </c>
      <c r="F189" s="19" t="s">
        <v>1318</v>
      </c>
    </row>
    <row r="190">
      <c r="A190" s="24" t="s">
        <v>807</v>
      </c>
      <c r="B190" s="19" t="s">
        <v>808</v>
      </c>
      <c r="C190" s="19" t="s">
        <v>809</v>
      </c>
      <c r="D190" s="19" t="s">
        <v>1344</v>
      </c>
      <c r="E190" s="19" t="s">
        <v>1317</v>
      </c>
      <c r="F190" s="19" t="s">
        <v>1318</v>
      </c>
    </row>
    <row r="191">
      <c r="A191" s="24" t="s">
        <v>1278</v>
      </c>
      <c r="B191" s="19" t="s">
        <v>1279</v>
      </c>
      <c r="C191" s="19" t="s">
        <v>1280</v>
      </c>
      <c r="D191" s="19" t="s">
        <v>1346</v>
      </c>
      <c r="E191" s="28"/>
      <c r="F191" s="28"/>
    </row>
    <row r="192">
      <c r="A192" s="24" t="s">
        <v>821</v>
      </c>
      <c r="B192" s="19" t="s">
        <v>822</v>
      </c>
      <c r="C192" s="19" t="s">
        <v>823</v>
      </c>
      <c r="D192" s="19" t="s">
        <v>1346</v>
      </c>
      <c r="E192" s="28"/>
      <c r="F192" s="28"/>
    </row>
    <row r="193">
      <c r="A193" s="24" t="s">
        <v>802</v>
      </c>
      <c r="B193" s="19" t="s">
        <v>803</v>
      </c>
      <c r="C193" s="19" t="s">
        <v>804</v>
      </c>
      <c r="D193" s="19" t="s">
        <v>1346</v>
      </c>
      <c r="E193" s="19" t="s">
        <v>1317</v>
      </c>
      <c r="F193" s="19" t="s">
        <v>1318</v>
      </c>
    </row>
    <row r="194">
      <c r="A194" s="24" t="s">
        <v>662</v>
      </c>
      <c r="B194" s="19" t="s">
        <v>663</v>
      </c>
      <c r="C194" s="19" t="s">
        <v>664</v>
      </c>
      <c r="D194" s="19" t="s">
        <v>1346</v>
      </c>
      <c r="E194" s="28"/>
      <c r="F194" s="28"/>
    </row>
    <row r="195">
      <c r="A195" s="24" t="s">
        <v>836</v>
      </c>
      <c r="B195" s="19" t="s">
        <v>837</v>
      </c>
      <c r="C195" s="19" t="s">
        <v>838</v>
      </c>
      <c r="D195" s="19" t="s">
        <v>1346</v>
      </c>
      <c r="E195" s="28"/>
      <c r="F195" s="28"/>
    </row>
    <row r="196">
      <c r="A196" s="24" t="s">
        <v>653</v>
      </c>
      <c r="B196" s="19" t="s">
        <v>654</v>
      </c>
      <c r="C196" s="19" t="s">
        <v>655</v>
      </c>
      <c r="D196" s="19" t="s">
        <v>1346</v>
      </c>
      <c r="E196" s="28"/>
      <c r="F196" s="28"/>
    </row>
    <row r="197">
      <c r="A197" s="24" t="s">
        <v>793</v>
      </c>
      <c r="B197" s="19" t="s">
        <v>794</v>
      </c>
      <c r="C197" s="19" t="s">
        <v>795</v>
      </c>
      <c r="D197" s="19" t="s">
        <v>1346</v>
      </c>
      <c r="E197" s="28"/>
      <c r="F197" s="28"/>
    </row>
    <row r="198">
      <c r="A198" s="24" t="s">
        <v>545</v>
      </c>
      <c r="B198" s="19" t="s">
        <v>546</v>
      </c>
      <c r="C198" s="19" t="s">
        <v>547</v>
      </c>
      <c r="D198" s="19" t="s">
        <v>1346</v>
      </c>
      <c r="E198" s="19" t="s">
        <v>1317</v>
      </c>
      <c r="F198" s="19" t="s">
        <v>1323</v>
      </c>
    </row>
    <row r="199">
      <c r="A199" s="24" t="s">
        <v>332</v>
      </c>
      <c r="B199" s="19" t="s">
        <v>333</v>
      </c>
      <c r="C199" s="19" t="s">
        <v>334</v>
      </c>
      <c r="D199" s="19" t="s">
        <v>1346</v>
      </c>
      <c r="E199" s="28"/>
      <c r="F199" s="28"/>
    </row>
    <row r="200">
      <c r="A200" s="24" t="s">
        <v>576</v>
      </c>
      <c r="B200" s="19" t="s">
        <v>577</v>
      </c>
      <c r="C200" s="19" t="s">
        <v>578</v>
      </c>
      <c r="D200" s="19" t="s">
        <v>1345</v>
      </c>
      <c r="E200" s="19" t="s">
        <v>1317</v>
      </c>
      <c r="F200" s="19" t="s">
        <v>1326</v>
      </c>
    </row>
    <row r="201">
      <c r="A201" s="24" t="s">
        <v>665</v>
      </c>
      <c r="B201" s="19" t="s">
        <v>666</v>
      </c>
      <c r="C201" s="19" t="s">
        <v>667</v>
      </c>
      <c r="D201" s="19" t="s">
        <v>1346</v>
      </c>
      <c r="E201" s="19" t="s">
        <v>1317</v>
      </c>
      <c r="F201" s="19" t="s">
        <v>1323</v>
      </c>
    </row>
    <row r="202">
      <c r="A202" s="24" t="s">
        <v>825</v>
      </c>
      <c r="B202" s="19" t="s">
        <v>826</v>
      </c>
      <c r="C202" s="19" t="s">
        <v>827</v>
      </c>
      <c r="D202" s="19" t="s">
        <v>1344</v>
      </c>
      <c r="E202" s="19" t="s">
        <v>1317</v>
      </c>
      <c r="F202" s="19" t="s">
        <v>1335</v>
      </c>
      <c r="G202" s="19" t="s">
        <v>1351</v>
      </c>
    </row>
    <row r="203">
      <c r="A203" s="24" t="s">
        <v>568</v>
      </c>
      <c r="B203" s="19" t="s">
        <v>569</v>
      </c>
      <c r="C203" s="19" t="s">
        <v>570</v>
      </c>
      <c r="D203" s="19" t="s">
        <v>1345</v>
      </c>
      <c r="E203" s="19" t="s">
        <v>1317</v>
      </c>
      <c r="F203" s="19" t="s">
        <v>1323</v>
      </c>
    </row>
    <row r="204">
      <c r="A204" s="24" t="s">
        <v>656</v>
      </c>
      <c r="B204" s="19" t="s">
        <v>657</v>
      </c>
      <c r="C204" s="19" t="s">
        <v>658</v>
      </c>
      <c r="D204" s="19" t="s">
        <v>1346</v>
      </c>
      <c r="E204" s="28"/>
      <c r="F204" s="28"/>
    </row>
    <row r="205">
      <c r="A205" s="24" t="s">
        <v>341</v>
      </c>
      <c r="B205" s="19" t="s">
        <v>342</v>
      </c>
      <c r="C205" s="19" t="s">
        <v>343</v>
      </c>
      <c r="D205" s="19" t="s">
        <v>1345</v>
      </c>
      <c r="E205" s="19" t="s">
        <v>1317</v>
      </c>
      <c r="F205" s="19" t="s">
        <v>1323</v>
      </c>
    </row>
    <row r="206">
      <c r="A206" s="24" t="s">
        <v>796</v>
      </c>
      <c r="B206" s="19" t="s">
        <v>797</v>
      </c>
      <c r="C206" s="19" t="s">
        <v>798</v>
      </c>
      <c r="D206" s="19" t="s">
        <v>1345</v>
      </c>
      <c r="E206" s="19" t="s">
        <v>1317</v>
      </c>
      <c r="F206" s="19" t="s">
        <v>1318</v>
      </c>
    </row>
    <row r="207">
      <c r="A207" s="24" t="s">
        <v>828</v>
      </c>
      <c r="B207" s="19" t="s">
        <v>829</v>
      </c>
      <c r="C207" s="19" t="s">
        <v>830</v>
      </c>
      <c r="D207" s="19" t="s">
        <v>1345</v>
      </c>
      <c r="E207" s="19" t="s">
        <v>1317</v>
      </c>
      <c r="F207" s="19" t="s">
        <v>1318</v>
      </c>
    </row>
    <row r="208">
      <c r="A208" s="24" t="s">
        <v>526</v>
      </c>
      <c r="B208" s="19" t="s">
        <v>527</v>
      </c>
      <c r="C208" s="19" t="s">
        <v>528</v>
      </c>
      <c r="D208" s="19" t="s">
        <v>1346</v>
      </c>
      <c r="E208" s="19" t="s">
        <v>1317</v>
      </c>
      <c r="F208" s="19" t="s">
        <v>1323</v>
      </c>
    </row>
    <row r="209">
      <c r="A209" s="24" t="s">
        <v>767</v>
      </c>
      <c r="B209" s="19" t="s">
        <v>768</v>
      </c>
      <c r="C209" s="19" t="s">
        <v>769</v>
      </c>
      <c r="D209" s="19" t="s">
        <v>1344</v>
      </c>
      <c r="E209" s="19" t="s">
        <v>1317</v>
      </c>
      <c r="F209" s="19" t="s">
        <v>1318</v>
      </c>
    </row>
    <row r="210">
      <c r="A210" s="24" t="s">
        <v>49</v>
      </c>
      <c r="B210" s="19" t="s">
        <v>51</v>
      </c>
      <c r="C210" s="19" t="s">
        <v>50</v>
      </c>
      <c r="D210" s="19" t="s">
        <v>1344</v>
      </c>
      <c r="E210" s="19" t="s">
        <v>1317</v>
      </c>
      <c r="F210" s="19" t="s">
        <v>1323</v>
      </c>
    </row>
    <row r="211">
      <c r="A211" s="24" t="s">
        <v>52</v>
      </c>
      <c r="B211" s="19" t="s">
        <v>54</v>
      </c>
      <c r="C211" s="19" t="s">
        <v>53</v>
      </c>
      <c r="D211" s="19" t="s">
        <v>1346</v>
      </c>
      <c r="E211" s="28"/>
      <c r="F211" s="28"/>
    </row>
    <row r="212">
      <c r="A212" s="24" t="s">
        <v>451</v>
      </c>
      <c r="B212" s="19" t="s">
        <v>452</v>
      </c>
      <c r="C212" s="19" t="s">
        <v>453</v>
      </c>
      <c r="D212" s="19" t="s">
        <v>1345</v>
      </c>
      <c r="E212" s="19" t="s">
        <v>1317</v>
      </c>
      <c r="F212" s="19" t="s">
        <v>1323</v>
      </c>
    </row>
    <row r="213">
      <c r="A213" s="24" t="s">
        <v>505</v>
      </c>
      <c r="B213" s="19" t="s">
        <v>506</v>
      </c>
      <c r="C213" s="19" t="s">
        <v>507</v>
      </c>
      <c r="D213" s="19" t="s">
        <v>1344</v>
      </c>
      <c r="E213" s="19" t="s">
        <v>1317</v>
      </c>
      <c r="F213" s="19" t="s">
        <v>1323</v>
      </c>
    </row>
    <row r="214">
      <c r="A214" s="24" t="s">
        <v>722</v>
      </c>
      <c r="B214" s="19" t="s">
        <v>723</v>
      </c>
      <c r="C214" s="19" t="s">
        <v>724</v>
      </c>
      <c r="D214" s="19" t="s">
        <v>1344</v>
      </c>
      <c r="E214" s="19" t="s">
        <v>1317</v>
      </c>
      <c r="F214" s="19" t="s">
        <v>1318</v>
      </c>
    </row>
    <row r="215">
      <c r="A215" s="24" t="s">
        <v>813</v>
      </c>
      <c r="B215" s="19" t="s">
        <v>814</v>
      </c>
      <c r="C215" s="19" t="s">
        <v>815</v>
      </c>
      <c r="D215" s="19" t="s">
        <v>1345</v>
      </c>
      <c r="E215" s="19" t="s">
        <v>1317</v>
      </c>
      <c r="F215" s="19" t="s">
        <v>1318</v>
      </c>
    </row>
    <row r="216">
      <c r="A216" s="24" t="s">
        <v>275</v>
      </c>
      <c r="B216" s="19" t="s">
        <v>276</v>
      </c>
      <c r="C216" s="19" t="s">
        <v>277</v>
      </c>
      <c r="D216" s="19" t="s">
        <v>1344</v>
      </c>
      <c r="E216" s="19" t="s">
        <v>1317</v>
      </c>
      <c r="F216" s="19" t="s">
        <v>1323</v>
      </c>
    </row>
    <row r="217">
      <c r="A217" s="24" t="s">
        <v>55</v>
      </c>
      <c r="B217" s="19" t="s">
        <v>57</v>
      </c>
      <c r="C217" s="19" t="s">
        <v>56</v>
      </c>
      <c r="D217" s="19" t="s">
        <v>1344</v>
      </c>
      <c r="E217" s="19" t="s">
        <v>1320</v>
      </c>
      <c r="F217" s="28"/>
    </row>
    <row r="218">
      <c r="A218" s="24" t="s">
        <v>597</v>
      </c>
      <c r="B218" s="19" t="s">
        <v>598</v>
      </c>
      <c r="C218" s="19" t="s">
        <v>599</v>
      </c>
      <c r="D218" s="19" t="s">
        <v>1344</v>
      </c>
      <c r="E218" s="19" t="s">
        <v>1320</v>
      </c>
      <c r="F218" s="28"/>
    </row>
    <row r="219">
      <c r="A219" s="24" t="s">
        <v>542</v>
      </c>
      <c r="B219" s="19" t="s">
        <v>543</v>
      </c>
      <c r="C219" s="19" t="s">
        <v>544</v>
      </c>
      <c r="D219" s="19" t="s">
        <v>1346</v>
      </c>
      <c r="E219" s="28"/>
      <c r="F219" s="28"/>
    </row>
    <row r="220">
      <c r="A220" s="24" t="s">
        <v>289</v>
      </c>
      <c r="B220" s="19" t="s">
        <v>290</v>
      </c>
      <c r="C220" s="19" t="s">
        <v>291</v>
      </c>
      <c r="D220" s="19" t="s">
        <v>1344</v>
      </c>
      <c r="E220" s="19" t="s">
        <v>1317</v>
      </c>
      <c r="F220" s="19" t="s">
        <v>1323</v>
      </c>
    </row>
    <row r="221">
      <c r="A221" s="24" t="s">
        <v>433</v>
      </c>
      <c r="B221" s="19" t="s">
        <v>434</v>
      </c>
      <c r="C221" s="19" t="s">
        <v>435</v>
      </c>
      <c r="D221" s="19" t="s">
        <v>1344</v>
      </c>
      <c r="E221" s="19" t="s">
        <v>1320</v>
      </c>
      <c r="F221" s="28"/>
    </row>
    <row r="222">
      <c r="A222" s="24" t="s">
        <v>470</v>
      </c>
      <c r="B222" s="19" t="s">
        <v>471</v>
      </c>
      <c r="C222" s="19" t="s">
        <v>472</v>
      </c>
      <c r="D222" s="19" t="s">
        <v>1344</v>
      </c>
      <c r="E222" s="19" t="s">
        <v>1317</v>
      </c>
      <c r="F222" s="19" t="s">
        <v>1323</v>
      </c>
    </row>
    <row r="223">
      <c r="A223" s="24" t="s">
        <v>650</v>
      </c>
      <c r="B223" s="19" t="s">
        <v>651</v>
      </c>
      <c r="C223" s="19" t="s">
        <v>652</v>
      </c>
      <c r="D223" s="19" t="s">
        <v>1345</v>
      </c>
      <c r="E223" s="19" t="s">
        <v>1317</v>
      </c>
      <c r="F223" s="19" t="s">
        <v>1323</v>
      </c>
    </row>
    <row r="224">
      <c r="A224" s="24" t="s">
        <v>445</v>
      </c>
      <c r="B224" s="19" t="s">
        <v>446</v>
      </c>
      <c r="C224" s="19" t="s">
        <v>447</v>
      </c>
      <c r="D224" s="19" t="s">
        <v>1344</v>
      </c>
      <c r="E224" s="19" t="s">
        <v>1317</v>
      </c>
      <c r="F224" s="19" t="s">
        <v>1323</v>
      </c>
      <c r="G224" s="19" t="s">
        <v>1353</v>
      </c>
    </row>
    <row r="225">
      <c r="A225" s="24" t="s">
        <v>58</v>
      </c>
      <c r="B225" s="19" t="s">
        <v>60</v>
      </c>
      <c r="C225" s="19" t="s">
        <v>59</v>
      </c>
      <c r="D225" s="19" t="s">
        <v>1344</v>
      </c>
      <c r="E225" s="19" t="s">
        <v>1320</v>
      </c>
      <c r="F225" s="28"/>
    </row>
    <row r="226">
      <c r="A226" s="24" t="s">
        <v>476</v>
      </c>
      <c r="B226" s="19" t="s">
        <v>477</v>
      </c>
      <c r="C226" s="19" t="s">
        <v>478</v>
      </c>
      <c r="D226" s="19" t="s">
        <v>1346</v>
      </c>
      <c r="E226" s="28"/>
      <c r="F226" s="28"/>
    </row>
    <row r="227">
      <c r="A227" s="24" t="s">
        <v>278</v>
      </c>
      <c r="B227" s="19" t="s">
        <v>279</v>
      </c>
      <c r="C227" s="19" t="s">
        <v>280</v>
      </c>
      <c r="D227" s="19" t="s">
        <v>1344</v>
      </c>
      <c r="E227" s="19" t="s">
        <v>1317</v>
      </c>
      <c r="F227" s="19" t="s">
        <v>1323</v>
      </c>
    </row>
    <row r="228">
      <c r="A228" s="24" t="s">
        <v>401</v>
      </c>
      <c r="B228" s="19" t="s">
        <v>402</v>
      </c>
      <c r="C228" s="19" t="s">
        <v>403</v>
      </c>
      <c r="D228" s="19" t="s">
        <v>1345</v>
      </c>
      <c r="E228" s="19" t="s">
        <v>1317</v>
      </c>
      <c r="F228" s="19" t="s">
        <v>1323</v>
      </c>
    </row>
    <row r="229">
      <c r="A229" s="24" t="s">
        <v>307</v>
      </c>
      <c r="B229" s="19" t="s">
        <v>308</v>
      </c>
      <c r="C229" s="19" t="s">
        <v>309</v>
      </c>
      <c r="D229" s="19" t="s">
        <v>1344</v>
      </c>
      <c r="E229" s="19" t="s">
        <v>1317</v>
      </c>
      <c r="F229" s="19" t="s">
        <v>1323</v>
      </c>
    </row>
    <row r="230">
      <c r="A230" s="24" t="s">
        <v>235</v>
      </c>
      <c r="B230" s="19" t="s">
        <v>236</v>
      </c>
      <c r="C230" s="19" t="s">
        <v>237</v>
      </c>
      <c r="D230" s="19" t="s">
        <v>1344</v>
      </c>
      <c r="E230" s="19" t="s">
        <v>1320</v>
      </c>
      <c r="F230" s="28"/>
    </row>
    <row r="231">
      <c r="A231" s="24" t="s">
        <v>310</v>
      </c>
      <c r="B231" s="19" t="s">
        <v>311</v>
      </c>
      <c r="C231" s="19" t="s">
        <v>312</v>
      </c>
      <c r="D231" s="19" t="s">
        <v>1344</v>
      </c>
      <c r="E231" s="19" t="s">
        <v>1317</v>
      </c>
      <c r="F231" s="19" t="s">
        <v>1323</v>
      </c>
    </row>
    <row r="232">
      <c r="A232" s="24" t="s">
        <v>643</v>
      </c>
      <c r="B232" s="19" t="s">
        <v>644</v>
      </c>
      <c r="C232" s="19" t="s">
        <v>645</v>
      </c>
      <c r="D232" s="19" t="s">
        <v>1346</v>
      </c>
      <c r="E232" s="28"/>
      <c r="F232" s="28"/>
    </row>
    <row r="233">
      <c r="A233" s="24" t="s">
        <v>61</v>
      </c>
      <c r="B233" s="19" t="s">
        <v>63</v>
      </c>
      <c r="C233" s="19" t="s">
        <v>62</v>
      </c>
      <c r="D233" s="19" t="s">
        <v>1344</v>
      </c>
      <c r="E233" s="19" t="s">
        <v>1320</v>
      </c>
      <c r="F233" s="28"/>
    </row>
    <row r="234">
      <c r="A234" s="24" t="s">
        <v>585</v>
      </c>
      <c r="B234" s="19" t="s">
        <v>586</v>
      </c>
      <c r="C234" s="19" t="s">
        <v>587</v>
      </c>
      <c r="D234" s="19" t="s">
        <v>1344</v>
      </c>
      <c r="E234" s="19" t="s">
        <v>1320</v>
      </c>
      <c r="F234" s="28"/>
    </row>
    <row r="235">
      <c r="A235" s="24" t="s">
        <v>490</v>
      </c>
      <c r="B235" s="19" t="s">
        <v>491</v>
      </c>
      <c r="C235" s="19" t="s">
        <v>492</v>
      </c>
      <c r="D235" s="19" t="s">
        <v>1345</v>
      </c>
      <c r="E235" s="19" t="s">
        <v>1317</v>
      </c>
      <c r="F235" s="19" t="s">
        <v>1323</v>
      </c>
    </row>
    <row r="236">
      <c r="A236" s="24" t="s">
        <v>638</v>
      </c>
      <c r="B236" s="19" t="s">
        <v>639</v>
      </c>
      <c r="C236" s="19" t="s">
        <v>640</v>
      </c>
      <c r="D236" s="19" t="s">
        <v>1346</v>
      </c>
      <c r="E236" s="28"/>
      <c r="F236" s="28"/>
    </row>
    <row r="237">
      <c r="A237" s="24" t="s">
        <v>773</v>
      </c>
      <c r="B237" s="19" t="s">
        <v>774</v>
      </c>
      <c r="C237" s="19" t="s">
        <v>775</v>
      </c>
      <c r="D237" s="19" t="s">
        <v>1346</v>
      </c>
      <c r="E237" s="28"/>
      <c r="F237" s="28"/>
    </row>
    <row r="238">
      <c r="A238" s="24" t="s">
        <v>313</v>
      </c>
      <c r="B238" s="19" t="s">
        <v>314</v>
      </c>
      <c r="C238" s="19" t="s">
        <v>315</v>
      </c>
      <c r="D238" s="19" t="s">
        <v>1345</v>
      </c>
      <c r="E238" s="19" t="s">
        <v>1317</v>
      </c>
      <c r="F238" s="19" t="s">
        <v>1323</v>
      </c>
    </row>
    <row r="239">
      <c r="A239" s="24" t="s">
        <v>64</v>
      </c>
      <c r="B239" s="19" t="s">
        <v>66</v>
      </c>
      <c r="C239" s="19" t="s">
        <v>65</v>
      </c>
      <c r="D239" s="19" t="s">
        <v>1346</v>
      </c>
      <c r="E239" s="28"/>
      <c r="F239" s="28"/>
    </row>
    <row r="240">
      <c r="A240" s="24" t="s">
        <v>532</v>
      </c>
      <c r="B240" s="19" t="s">
        <v>533</v>
      </c>
      <c r="C240" s="19" t="s">
        <v>534</v>
      </c>
      <c r="D240" s="19" t="s">
        <v>1345</v>
      </c>
      <c r="E240" s="19" t="s">
        <v>1317</v>
      </c>
      <c r="F240" s="19" t="s">
        <v>1323</v>
      </c>
    </row>
    <row r="241">
      <c r="A241" s="24" t="s">
        <v>67</v>
      </c>
      <c r="B241" s="19" t="s">
        <v>69</v>
      </c>
      <c r="C241" s="19" t="s">
        <v>68</v>
      </c>
      <c r="D241" s="19" t="s">
        <v>1345</v>
      </c>
      <c r="E241" s="19" t="s">
        <v>1320</v>
      </c>
      <c r="F241" s="28"/>
    </row>
    <row r="242">
      <c r="A242" s="24" t="s">
        <v>361</v>
      </c>
      <c r="B242" s="19" t="s">
        <v>362</v>
      </c>
      <c r="C242" s="19" t="s">
        <v>363</v>
      </c>
      <c r="D242" s="19" t="s">
        <v>1344</v>
      </c>
      <c r="E242" s="19" t="s">
        <v>1317</v>
      </c>
      <c r="F242" s="19" t="s">
        <v>1323</v>
      </c>
    </row>
    <row r="243">
      <c r="A243" s="24" t="s">
        <v>600</v>
      </c>
      <c r="B243" s="19" t="s">
        <v>601</v>
      </c>
      <c r="C243" s="19" t="s">
        <v>602</v>
      </c>
      <c r="D243" s="19" t="s">
        <v>1345</v>
      </c>
      <c r="E243" s="19" t="s">
        <v>1317</v>
      </c>
      <c r="F243" s="19" t="s">
        <v>1323</v>
      </c>
    </row>
    <row r="244">
      <c r="A244" s="24" t="s">
        <v>810</v>
      </c>
      <c r="B244" s="19" t="s">
        <v>811</v>
      </c>
      <c r="C244" s="19" t="s">
        <v>812</v>
      </c>
      <c r="D244" s="19" t="s">
        <v>1344</v>
      </c>
      <c r="E244" s="19" t="s">
        <v>1317</v>
      </c>
      <c r="F244" s="19" t="s">
        <v>1318</v>
      </c>
    </row>
    <row r="245">
      <c r="A245" s="24" t="s">
        <v>781</v>
      </c>
      <c r="B245" s="19" t="s">
        <v>782</v>
      </c>
      <c r="C245" s="19" t="s">
        <v>783</v>
      </c>
      <c r="D245" s="19" t="s">
        <v>1344</v>
      </c>
      <c r="E245" s="19" t="s">
        <v>1317</v>
      </c>
      <c r="F245" s="19" t="s">
        <v>1318</v>
      </c>
    </row>
    <row r="246">
      <c r="A246" s="24" t="s">
        <v>759</v>
      </c>
      <c r="B246" s="19" t="s">
        <v>760</v>
      </c>
      <c r="C246" s="19" t="s">
        <v>761</v>
      </c>
      <c r="D246" s="19" t="s">
        <v>1344</v>
      </c>
      <c r="E246" s="19" t="s">
        <v>1317</v>
      </c>
      <c r="F246" s="19" t="s">
        <v>1326</v>
      </c>
    </row>
    <row r="247">
      <c r="A247" s="24" t="s">
        <v>473</v>
      </c>
      <c r="B247" s="19" t="s">
        <v>474</v>
      </c>
      <c r="C247" s="19" t="s">
        <v>475</v>
      </c>
      <c r="D247" s="19" t="s">
        <v>1344</v>
      </c>
      <c r="E247" s="19" t="s">
        <v>1317</v>
      </c>
      <c r="F247" s="19" t="s">
        <v>1323</v>
      </c>
    </row>
    <row r="248">
      <c r="A248" s="24" t="s">
        <v>479</v>
      </c>
      <c r="B248" s="19" t="s">
        <v>480</v>
      </c>
      <c r="C248" s="19" t="s">
        <v>481</v>
      </c>
      <c r="D248" s="19" t="s">
        <v>1344</v>
      </c>
      <c r="E248" s="19" t="s">
        <v>1320</v>
      </c>
      <c r="F248" s="28"/>
      <c r="G248" s="19" t="s">
        <v>1347</v>
      </c>
    </row>
    <row r="249">
      <c r="A249" s="24" t="s">
        <v>248</v>
      </c>
      <c r="B249" s="19" t="s">
        <v>249</v>
      </c>
      <c r="C249" s="19" t="s">
        <v>250</v>
      </c>
      <c r="D249" s="19" t="s">
        <v>1344</v>
      </c>
      <c r="E249" s="19" t="s">
        <v>1317</v>
      </c>
      <c r="F249" s="19" t="s">
        <v>1326</v>
      </c>
    </row>
    <row r="250">
      <c r="A250" s="24" t="s">
        <v>539</v>
      </c>
      <c r="B250" s="19" t="s">
        <v>540</v>
      </c>
      <c r="C250" s="19" t="s">
        <v>541</v>
      </c>
      <c r="D250" s="19" t="s">
        <v>1345</v>
      </c>
      <c r="E250" s="19" t="s">
        <v>1317</v>
      </c>
      <c r="F250" s="19" t="s">
        <v>1323</v>
      </c>
    </row>
    <row r="251">
      <c r="A251" s="24" t="s">
        <v>70</v>
      </c>
      <c r="B251" s="19" t="s">
        <v>72</v>
      </c>
      <c r="C251" s="19" t="s">
        <v>71</v>
      </c>
      <c r="D251" s="19" t="s">
        <v>1344</v>
      </c>
      <c r="E251" s="19" t="s">
        <v>1320</v>
      </c>
      <c r="F251" s="28"/>
    </row>
    <row r="252">
      <c r="A252" s="24" t="s">
        <v>764</v>
      </c>
      <c r="B252" s="19" t="s">
        <v>765</v>
      </c>
      <c r="C252" s="19" t="s">
        <v>766</v>
      </c>
      <c r="D252" s="19" t="s">
        <v>1346</v>
      </c>
      <c r="E252" s="28"/>
      <c r="F252" s="28"/>
    </row>
    <row r="253">
      <c r="A253" s="24" t="s">
        <v>367</v>
      </c>
      <c r="B253" s="19" t="s">
        <v>368</v>
      </c>
      <c r="C253" s="19" t="s">
        <v>369</v>
      </c>
      <c r="D253" s="19" t="s">
        <v>1345</v>
      </c>
      <c r="E253" s="19" t="s">
        <v>1317</v>
      </c>
      <c r="F253" s="19" t="s">
        <v>1323</v>
      </c>
    </row>
    <row r="254">
      <c r="A254" s="24" t="s">
        <v>556</v>
      </c>
      <c r="B254" s="19" t="s">
        <v>557</v>
      </c>
      <c r="C254" s="19" t="s">
        <v>558</v>
      </c>
      <c r="D254" s="19" t="s">
        <v>1344</v>
      </c>
      <c r="E254" s="19" t="s">
        <v>1317</v>
      </c>
      <c r="F254" s="19" t="s">
        <v>1323</v>
      </c>
    </row>
    <row r="255">
      <c r="A255" s="24" t="s">
        <v>303</v>
      </c>
      <c r="B255" s="19" t="s">
        <v>304</v>
      </c>
      <c r="C255" s="19" t="s">
        <v>305</v>
      </c>
      <c r="D255" s="19" t="s">
        <v>1345</v>
      </c>
      <c r="E255" s="19" t="s">
        <v>1317</v>
      </c>
      <c r="F255" s="19" t="s">
        <v>1323</v>
      </c>
    </row>
    <row r="256">
      <c r="A256" s="24" t="s">
        <v>392</v>
      </c>
      <c r="B256" s="19" t="s">
        <v>393</v>
      </c>
      <c r="C256" s="19" t="s">
        <v>394</v>
      </c>
      <c r="D256" s="19" t="s">
        <v>1344</v>
      </c>
      <c r="E256" s="19" t="s">
        <v>1317</v>
      </c>
      <c r="F256" s="19" t="s">
        <v>1323</v>
      </c>
    </row>
    <row r="257">
      <c r="A257" s="24" t="s">
        <v>73</v>
      </c>
      <c r="B257" s="19" t="s">
        <v>75</v>
      </c>
      <c r="C257" s="19" t="s">
        <v>74</v>
      </c>
      <c r="D257" s="19" t="s">
        <v>1345</v>
      </c>
      <c r="E257" s="19" t="s">
        <v>1320</v>
      </c>
      <c r="F257" s="28"/>
    </row>
    <row r="258">
      <c r="A258" s="24" t="s">
        <v>624</v>
      </c>
      <c r="B258" s="19" t="s">
        <v>625</v>
      </c>
      <c r="C258" s="19" t="s">
        <v>626</v>
      </c>
      <c r="D258" s="19" t="s">
        <v>1346</v>
      </c>
      <c r="E258" s="28"/>
      <c r="F258" s="28"/>
    </row>
    <row r="259">
      <c r="A259" s="24" t="s">
        <v>76</v>
      </c>
      <c r="B259" s="19" t="s">
        <v>78</v>
      </c>
      <c r="C259" s="19" t="s">
        <v>77</v>
      </c>
      <c r="D259" s="19" t="s">
        <v>1346</v>
      </c>
      <c r="E259" s="19" t="s">
        <v>1320</v>
      </c>
      <c r="F259" s="28"/>
    </row>
    <row r="260">
      <c r="A260" s="24" t="s">
        <v>457</v>
      </c>
      <c r="B260" s="19" t="s">
        <v>458</v>
      </c>
      <c r="C260" s="19" t="s">
        <v>459</v>
      </c>
      <c r="D260" s="19" t="s">
        <v>1346</v>
      </c>
      <c r="E260" s="19" t="s">
        <v>1317</v>
      </c>
      <c r="F260" s="19" t="s">
        <v>1326</v>
      </c>
    </row>
    <row r="261">
      <c r="A261" s="24" t="s">
        <v>436</v>
      </c>
      <c r="B261" s="19" t="s">
        <v>437</v>
      </c>
      <c r="C261" s="19" t="s">
        <v>438</v>
      </c>
      <c r="D261" s="19" t="s">
        <v>1345</v>
      </c>
      <c r="E261" s="19" t="s">
        <v>1317</v>
      </c>
      <c r="F261" s="19" t="s">
        <v>1323</v>
      </c>
    </row>
    <row r="262">
      <c r="A262" s="24" t="s">
        <v>260</v>
      </c>
      <c r="B262" s="19" t="s">
        <v>261</v>
      </c>
      <c r="C262" s="19" t="s">
        <v>262</v>
      </c>
      <c r="D262" s="19" t="s">
        <v>1344</v>
      </c>
      <c r="E262" s="19" t="s">
        <v>1317</v>
      </c>
      <c r="F262" s="19" t="s">
        <v>1323</v>
      </c>
    </row>
    <row r="263">
      <c r="A263" s="24" t="s">
        <v>463</v>
      </c>
      <c r="B263" s="19" t="s">
        <v>464</v>
      </c>
      <c r="C263" s="19" t="s">
        <v>465</v>
      </c>
      <c r="D263" s="19" t="s">
        <v>1346</v>
      </c>
      <c r="E263" s="28"/>
      <c r="F263" s="28"/>
    </row>
    <row r="264">
      <c r="A264" s="24" t="s">
        <v>659</v>
      </c>
      <c r="B264" s="19" t="s">
        <v>660</v>
      </c>
      <c r="C264" s="19" t="s">
        <v>661</v>
      </c>
      <c r="D264" s="19" t="s">
        <v>1344</v>
      </c>
      <c r="E264" s="19" t="s">
        <v>1317</v>
      </c>
      <c r="F264" s="19" t="s">
        <v>1318</v>
      </c>
    </row>
    <row r="265">
      <c r="A265" s="24" t="s">
        <v>1237</v>
      </c>
      <c r="B265" s="19" t="s">
        <v>1238</v>
      </c>
      <c r="C265" s="19" t="s">
        <v>1239</v>
      </c>
      <c r="D265" s="19" t="s">
        <v>1344</v>
      </c>
      <c r="E265" s="19" t="s">
        <v>1317</v>
      </c>
      <c r="F265" s="19" t="s">
        <v>1318</v>
      </c>
    </row>
    <row r="266">
      <c r="A266" s="24" t="s">
        <v>493</v>
      </c>
      <c r="B266" s="19" t="s">
        <v>494</v>
      </c>
      <c r="C266" s="19" t="s">
        <v>495</v>
      </c>
      <c r="D266" s="19" t="s">
        <v>1345</v>
      </c>
      <c r="E266" s="19" t="s">
        <v>1317</v>
      </c>
      <c r="F266" s="19" t="s">
        <v>1323</v>
      </c>
    </row>
    <row r="267">
      <c r="A267" s="24" t="s">
        <v>606</v>
      </c>
      <c r="B267" s="19" t="s">
        <v>607</v>
      </c>
      <c r="C267" s="19" t="s">
        <v>608</v>
      </c>
      <c r="D267" s="19" t="s">
        <v>1346</v>
      </c>
      <c r="E267" s="28"/>
      <c r="F267" s="28"/>
    </row>
    <row r="268">
      <c r="A268" s="24" t="s">
        <v>460</v>
      </c>
      <c r="B268" s="19" t="s">
        <v>461</v>
      </c>
      <c r="C268" s="19" t="s">
        <v>462</v>
      </c>
      <c r="D268" s="19" t="s">
        <v>1344</v>
      </c>
      <c r="E268" s="19" t="s">
        <v>1317</v>
      </c>
      <c r="F268" s="19" t="s">
        <v>1323</v>
      </c>
    </row>
    <row r="269">
      <c r="A269" s="24" t="s">
        <v>621</v>
      </c>
      <c r="B269" s="19" t="s">
        <v>622</v>
      </c>
      <c r="C269" s="19" t="s">
        <v>623</v>
      </c>
      <c r="D269" s="19" t="s">
        <v>1345</v>
      </c>
      <c r="E269" s="19" t="s">
        <v>1317</v>
      </c>
      <c r="F269" s="19" t="s">
        <v>1323</v>
      </c>
    </row>
    <row r="270">
      <c r="A270" s="24" t="s">
        <v>427</v>
      </c>
      <c r="B270" s="19" t="s">
        <v>428</v>
      </c>
      <c r="C270" s="19" t="s">
        <v>429</v>
      </c>
      <c r="D270" s="19" t="s">
        <v>1346</v>
      </c>
      <c r="E270" s="28"/>
      <c r="F270" s="28"/>
    </row>
    <row r="271">
      <c r="A271" s="24" t="s">
        <v>770</v>
      </c>
      <c r="B271" s="19" t="s">
        <v>771</v>
      </c>
      <c r="C271" s="19" t="s">
        <v>772</v>
      </c>
      <c r="D271" s="19" t="s">
        <v>1345</v>
      </c>
      <c r="E271" s="19" t="s">
        <v>1317</v>
      </c>
      <c r="F271" s="19" t="s">
        <v>1318</v>
      </c>
    </row>
    <row r="272">
      <c r="A272" s="24" t="s">
        <v>514</v>
      </c>
      <c r="B272" s="19" t="s">
        <v>515</v>
      </c>
      <c r="C272" s="19" t="s">
        <v>516</v>
      </c>
      <c r="D272" s="19" t="s">
        <v>1344</v>
      </c>
      <c r="E272" s="19" t="s">
        <v>1317</v>
      </c>
      <c r="F272" s="19" t="s">
        <v>1326</v>
      </c>
    </row>
    <row r="273">
      <c r="A273" s="24" t="s">
        <v>681</v>
      </c>
      <c r="B273" s="19" t="s">
        <v>682</v>
      </c>
      <c r="C273" s="19" t="s">
        <v>683</v>
      </c>
      <c r="D273" s="19" t="s">
        <v>1346</v>
      </c>
      <c r="E273" s="28"/>
      <c r="F273" s="28"/>
    </row>
    <row r="274">
      <c r="A274" s="24" t="s">
        <v>352</v>
      </c>
      <c r="B274" s="19" t="s">
        <v>353</v>
      </c>
      <c r="C274" s="19" t="s">
        <v>354</v>
      </c>
      <c r="D274" s="19" t="s">
        <v>1344</v>
      </c>
      <c r="E274" s="19" t="s">
        <v>1317</v>
      </c>
      <c r="F274" s="19" t="s">
        <v>1335</v>
      </c>
      <c r="G274" s="19" t="s">
        <v>1355</v>
      </c>
    </row>
    <row r="275">
      <c r="A275" s="24" t="s">
        <v>355</v>
      </c>
      <c r="B275" s="19" t="s">
        <v>356</v>
      </c>
      <c r="C275" s="19" t="s">
        <v>357</v>
      </c>
      <c r="D275" s="19" t="s">
        <v>1346</v>
      </c>
      <c r="E275" s="28"/>
      <c r="F275" s="28"/>
    </row>
    <row r="276">
      <c r="A276" s="24" t="s">
        <v>257</v>
      </c>
      <c r="B276" s="19" t="s">
        <v>258</v>
      </c>
      <c r="C276" s="19" t="s">
        <v>259</v>
      </c>
      <c r="D276" s="19" t="s">
        <v>1346</v>
      </c>
      <c r="E276" s="28"/>
      <c r="F276" s="28"/>
    </row>
    <row r="277">
      <c r="A277" s="24" t="s">
        <v>787</v>
      </c>
      <c r="B277" s="19" t="s">
        <v>788</v>
      </c>
      <c r="C277" s="19" t="s">
        <v>789</v>
      </c>
      <c r="D277" s="19" t="s">
        <v>1346</v>
      </c>
      <c r="E277" s="28"/>
      <c r="F277" s="28"/>
    </row>
    <row r="278">
      <c r="A278" s="24" t="s">
        <v>790</v>
      </c>
      <c r="B278" s="19" t="s">
        <v>791</v>
      </c>
      <c r="C278" s="19" t="s">
        <v>792</v>
      </c>
      <c r="D278" s="19" t="s">
        <v>1345</v>
      </c>
      <c r="E278" s="19" t="s">
        <v>1317</v>
      </c>
      <c r="F278" s="19" t="s">
        <v>1318</v>
      </c>
    </row>
    <row r="279">
      <c r="A279" s="24" t="s">
        <v>517</v>
      </c>
      <c r="B279" s="19" t="s">
        <v>518</v>
      </c>
      <c r="C279" s="19" t="s">
        <v>519</v>
      </c>
      <c r="D279" s="19" t="s">
        <v>1345</v>
      </c>
      <c r="E279" s="19" t="s">
        <v>1317</v>
      </c>
      <c r="F279" s="19" t="s">
        <v>1323</v>
      </c>
    </row>
    <row r="280">
      <c r="A280" s="24" t="s">
        <v>615</v>
      </c>
      <c r="B280" s="19" t="s">
        <v>616</v>
      </c>
      <c r="C280" s="19" t="s">
        <v>617</v>
      </c>
      <c r="D280" s="19" t="s">
        <v>1345</v>
      </c>
      <c r="E280" s="19" t="s">
        <v>1317</v>
      </c>
      <c r="F280" s="19" t="s">
        <v>1323</v>
      </c>
    </row>
    <row r="281">
      <c r="A281" s="24" t="s">
        <v>338</v>
      </c>
      <c r="B281" s="19" t="s">
        <v>339</v>
      </c>
      <c r="C281" s="19" t="s">
        <v>340</v>
      </c>
      <c r="D281" s="19" t="s">
        <v>1345</v>
      </c>
      <c r="E281" s="19" t="s">
        <v>1317</v>
      </c>
      <c r="F281" s="19" t="s">
        <v>1323</v>
      </c>
    </row>
    <row r="282">
      <c r="A282" s="24" t="s">
        <v>508</v>
      </c>
      <c r="B282" s="19" t="s">
        <v>509</v>
      </c>
      <c r="C282" s="19" t="s">
        <v>510</v>
      </c>
      <c r="D282" s="19" t="s">
        <v>1346</v>
      </c>
      <c r="E282" s="28"/>
      <c r="F282" s="28"/>
    </row>
    <row r="283">
      <c r="A283" s="24" t="s">
        <v>612</v>
      </c>
      <c r="B283" s="19" t="s">
        <v>613</v>
      </c>
      <c r="C283" s="19" t="s">
        <v>614</v>
      </c>
      <c r="D283" s="19" t="s">
        <v>1346</v>
      </c>
      <c r="E283" s="28"/>
      <c r="F283" s="28"/>
    </row>
    <row r="284">
      <c r="A284" s="24" t="s">
        <v>499</v>
      </c>
      <c r="B284" s="19" t="s">
        <v>500</v>
      </c>
      <c r="C284" s="19" t="s">
        <v>501</v>
      </c>
      <c r="D284" s="19" t="s">
        <v>1346</v>
      </c>
      <c r="E284" s="28"/>
      <c r="F284" s="28"/>
    </row>
    <row r="285">
      <c r="A285" s="24" t="s">
        <v>238</v>
      </c>
      <c r="B285" s="19" t="s">
        <v>239</v>
      </c>
      <c r="C285" s="19" t="s">
        <v>240</v>
      </c>
      <c r="D285" s="19" t="s">
        <v>1345</v>
      </c>
      <c r="E285" s="19" t="s">
        <v>1320</v>
      </c>
      <c r="F285" s="28"/>
    </row>
    <row r="286">
      <c r="A286" s="24" t="s">
        <v>487</v>
      </c>
      <c r="B286" s="19" t="s">
        <v>488</v>
      </c>
      <c r="C286" s="19" t="s">
        <v>489</v>
      </c>
      <c r="D286" s="19" t="s">
        <v>1346</v>
      </c>
      <c r="E286" s="28"/>
      <c r="F286" s="28"/>
    </row>
    <row r="287">
      <c r="A287" s="24" t="s">
        <v>548</v>
      </c>
      <c r="B287" s="19" t="s">
        <v>549</v>
      </c>
      <c r="C287" s="19" t="s">
        <v>550</v>
      </c>
      <c r="D287" s="19" t="s">
        <v>1346</v>
      </c>
      <c r="E287" s="19" t="s">
        <v>1317</v>
      </c>
      <c r="F287" s="19" t="s">
        <v>1323</v>
      </c>
    </row>
    <row r="288">
      <c r="A288" s="24" t="s">
        <v>579</v>
      </c>
      <c r="B288" s="19" t="s">
        <v>580</v>
      </c>
      <c r="C288" s="19" t="s">
        <v>581</v>
      </c>
      <c r="D288" s="19" t="s">
        <v>1344</v>
      </c>
      <c r="E288" s="19" t="s">
        <v>1320</v>
      </c>
      <c r="F288" s="28"/>
    </row>
    <row r="289">
      <c r="A289" s="24" t="s">
        <v>316</v>
      </c>
      <c r="B289" s="19" t="s">
        <v>317</v>
      </c>
      <c r="C289" s="19" t="s">
        <v>318</v>
      </c>
      <c r="D289" s="19" t="s">
        <v>1345</v>
      </c>
      <c r="E289" s="19" t="s">
        <v>1317</v>
      </c>
      <c r="F289" s="19" t="s">
        <v>1323</v>
      </c>
    </row>
    <row r="290">
      <c r="A290" s="24" t="s">
        <v>582</v>
      </c>
      <c r="B290" s="19" t="s">
        <v>583</v>
      </c>
      <c r="C290" s="19" t="s">
        <v>584</v>
      </c>
      <c r="D290" s="19" t="s">
        <v>1344</v>
      </c>
      <c r="E290" s="19" t="s">
        <v>1317</v>
      </c>
      <c r="F290" s="19" t="s">
        <v>1335</v>
      </c>
      <c r="G290" s="19" t="s">
        <v>1356</v>
      </c>
    </row>
    <row r="291">
      <c r="A291" s="24" t="s">
        <v>79</v>
      </c>
      <c r="B291" s="19" t="s">
        <v>81</v>
      </c>
      <c r="C291" s="19" t="s">
        <v>80</v>
      </c>
      <c r="D291" s="19" t="s">
        <v>1344</v>
      </c>
      <c r="E291" s="19" t="s">
        <v>1320</v>
      </c>
      <c r="F291" s="28"/>
    </row>
    <row r="292">
      <c r="A292" s="24" t="s">
        <v>430</v>
      </c>
      <c r="B292" s="19" t="s">
        <v>431</v>
      </c>
      <c r="C292" s="19" t="s">
        <v>432</v>
      </c>
      <c r="D292" s="19" t="s">
        <v>1346</v>
      </c>
      <c r="E292" s="28"/>
      <c r="F292" s="28"/>
    </row>
    <row r="293">
      <c r="A293" s="24" t="s">
        <v>565</v>
      </c>
      <c r="B293" s="19" t="s">
        <v>566</v>
      </c>
      <c r="C293" s="19" t="s">
        <v>567</v>
      </c>
      <c r="D293" s="19" t="s">
        <v>1346</v>
      </c>
      <c r="E293" s="28"/>
      <c r="F293" s="28"/>
    </row>
    <row r="294">
      <c r="A294" s="24" t="s">
        <v>370</v>
      </c>
      <c r="B294" s="19" t="s">
        <v>371</v>
      </c>
      <c r="C294" s="19" t="s">
        <v>372</v>
      </c>
      <c r="D294" s="19" t="s">
        <v>1345</v>
      </c>
      <c r="E294" s="19" t="s">
        <v>1317</v>
      </c>
      <c r="F294" s="19" t="s">
        <v>1323</v>
      </c>
    </row>
    <row r="295">
      <c r="A295" s="24" t="s">
        <v>588</v>
      </c>
      <c r="B295" s="19" t="s">
        <v>589</v>
      </c>
      <c r="C295" s="19" t="s">
        <v>590</v>
      </c>
      <c r="D295" s="19" t="s">
        <v>1345</v>
      </c>
      <c r="E295" s="19" t="s">
        <v>1317</v>
      </c>
      <c r="F295" s="19" t="s">
        <v>1318</v>
      </c>
    </row>
    <row r="296">
      <c r="A296" s="24" t="s">
        <v>349</v>
      </c>
      <c r="B296" s="19" t="s">
        <v>350</v>
      </c>
      <c r="C296" s="19" t="s">
        <v>351</v>
      </c>
      <c r="D296" s="19" t="s">
        <v>1346</v>
      </c>
      <c r="E296" s="28"/>
      <c r="F296" s="28"/>
    </row>
    <row r="297">
      <c r="A297" s="24" t="s">
        <v>784</v>
      </c>
      <c r="B297" s="19" t="s">
        <v>785</v>
      </c>
      <c r="C297" s="19" t="s">
        <v>786</v>
      </c>
      <c r="D297" s="19" t="s">
        <v>1344</v>
      </c>
      <c r="E297" s="19" t="s">
        <v>1317</v>
      </c>
      <c r="F297" s="19" t="s">
        <v>1318</v>
      </c>
    </row>
    <row r="298">
      <c r="A298" s="24" t="s">
        <v>398</v>
      </c>
      <c r="B298" s="19" t="s">
        <v>399</v>
      </c>
      <c r="C298" s="19" t="s">
        <v>400</v>
      </c>
      <c r="D298" s="19" t="s">
        <v>1346</v>
      </c>
      <c r="E298" s="28"/>
      <c r="F298" s="28"/>
    </row>
    <row r="299">
      <c r="A299" s="24" t="s">
        <v>229</v>
      </c>
      <c r="B299" s="19" t="s">
        <v>230</v>
      </c>
      <c r="C299" s="19" t="s">
        <v>231</v>
      </c>
      <c r="D299" s="19" t="s">
        <v>1345</v>
      </c>
      <c r="E299" s="19" t="s">
        <v>1320</v>
      </c>
      <c r="F299" s="28"/>
    </row>
    <row r="300">
      <c r="A300" s="24" t="s">
        <v>373</v>
      </c>
      <c r="B300" s="19" t="s">
        <v>374</v>
      </c>
      <c r="C300" s="19" t="s">
        <v>375</v>
      </c>
      <c r="D300" s="19" t="s">
        <v>1345</v>
      </c>
      <c r="E300" s="19" t="s">
        <v>1317</v>
      </c>
      <c r="F300" s="19" t="s">
        <v>1323</v>
      </c>
    </row>
    <row r="301">
      <c r="A301" s="24" t="s">
        <v>559</v>
      </c>
      <c r="B301" s="19" t="s">
        <v>560</v>
      </c>
      <c r="C301" s="19" t="s">
        <v>561</v>
      </c>
      <c r="D301" s="19" t="s">
        <v>1345</v>
      </c>
      <c r="E301" s="19" t="s">
        <v>1317</v>
      </c>
      <c r="F301" s="19" t="s">
        <v>1323</v>
      </c>
    </row>
    <row r="302">
      <c r="A302" s="24" t="s">
        <v>387</v>
      </c>
      <c r="B302" s="19" t="s">
        <v>388</v>
      </c>
      <c r="C302" s="19" t="s">
        <v>389</v>
      </c>
      <c r="D302" s="19" t="s">
        <v>1345</v>
      </c>
      <c r="E302" s="19" t="s">
        <v>1317</v>
      </c>
      <c r="F302" s="19" t="s">
        <v>1323</v>
      </c>
    </row>
    <row r="303">
      <c r="A303" s="24" t="s">
        <v>82</v>
      </c>
      <c r="B303" s="19" t="s">
        <v>84</v>
      </c>
      <c r="C303" s="19" t="s">
        <v>83</v>
      </c>
      <c r="D303" s="19" t="s">
        <v>1346</v>
      </c>
      <c r="E303" s="19" t="s">
        <v>1320</v>
      </c>
      <c r="F303" s="28"/>
    </row>
    <row r="304">
      <c r="A304" s="24" t="s">
        <v>778</v>
      </c>
      <c r="B304" s="19" t="s">
        <v>779</v>
      </c>
      <c r="C304" s="19" t="s">
        <v>780</v>
      </c>
      <c r="D304" s="19" t="s">
        <v>1346</v>
      </c>
      <c r="E304" s="28"/>
      <c r="F304" s="28"/>
    </row>
    <row r="305">
      <c r="A305" s="24" t="s">
        <v>536</v>
      </c>
      <c r="B305" s="19" t="s">
        <v>537</v>
      </c>
      <c r="C305" s="25" t="s">
        <v>538</v>
      </c>
      <c r="D305" s="19" t="s">
        <v>1344</v>
      </c>
      <c r="E305" s="19" t="s">
        <v>1317</v>
      </c>
      <c r="F305" s="19" t="s">
        <v>1323</v>
      </c>
      <c r="G305" s="19" t="s">
        <v>1357</v>
      </c>
    </row>
    <row r="306">
      <c r="A306" s="24" t="s">
        <v>364</v>
      </c>
      <c r="B306" s="19" t="s">
        <v>365</v>
      </c>
      <c r="C306" s="19" t="s">
        <v>366</v>
      </c>
      <c r="D306" s="19" t="s">
        <v>1344</v>
      </c>
      <c r="E306" s="19" t="s">
        <v>1317</v>
      </c>
      <c r="F306" s="19" t="s">
        <v>1323</v>
      </c>
    </row>
    <row r="307">
      <c r="A307" s="24" t="s">
        <v>85</v>
      </c>
      <c r="B307" s="19" t="s">
        <v>87</v>
      </c>
      <c r="C307" s="19" t="s">
        <v>86</v>
      </c>
      <c r="D307" s="19" t="s">
        <v>1344</v>
      </c>
      <c r="E307" s="19" t="s">
        <v>1320</v>
      </c>
      <c r="F307" s="28"/>
    </row>
    <row r="308">
      <c r="A308" s="24" t="s">
        <v>88</v>
      </c>
      <c r="B308" s="19" t="s">
        <v>90</v>
      </c>
      <c r="C308" s="19" t="s">
        <v>89</v>
      </c>
      <c r="D308" s="19" t="s">
        <v>1345</v>
      </c>
      <c r="E308" s="19" t="s">
        <v>1320</v>
      </c>
      <c r="F308" s="28"/>
    </row>
    <row r="309">
      <c r="A309" s="24" t="s">
        <v>91</v>
      </c>
      <c r="B309" s="19" t="s">
        <v>93</v>
      </c>
      <c r="C309" s="19" t="s">
        <v>92</v>
      </c>
      <c r="D309" s="19" t="s">
        <v>1346</v>
      </c>
      <c r="E309" s="28"/>
      <c r="F309" s="28"/>
    </row>
    <row r="310">
      <c r="A310" s="24" t="s">
        <v>618</v>
      </c>
      <c r="B310" s="19" t="s">
        <v>619</v>
      </c>
      <c r="C310" s="19" t="s">
        <v>620</v>
      </c>
      <c r="D310" s="19" t="s">
        <v>1345</v>
      </c>
      <c r="E310" s="19" t="s">
        <v>1317</v>
      </c>
      <c r="F310" s="19" t="s">
        <v>1323</v>
      </c>
    </row>
    <row r="311">
      <c r="A311" s="24" t="s">
        <v>94</v>
      </c>
      <c r="B311" s="19" t="s">
        <v>96</v>
      </c>
      <c r="C311" s="19" t="s">
        <v>95</v>
      </c>
      <c r="D311" s="19" t="s">
        <v>1345</v>
      </c>
      <c r="E311" s="19" t="s">
        <v>1320</v>
      </c>
      <c r="F311" s="28"/>
    </row>
    <row r="312">
      <c r="A312" s="24" t="s">
        <v>412</v>
      </c>
      <c r="B312" s="19" t="s">
        <v>413</v>
      </c>
      <c r="C312" s="19" t="s">
        <v>414</v>
      </c>
      <c r="D312" s="19" t="s">
        <v>1344</v>
      </c>
      <c r="E312" s="19" t="s">
        <v>1320</v>
      </c>
      <c r="F312" s="28"/>
    </row>
    <row r="313">
      <c r="A313" s="24" t="s">
        <v>297</v>
      </c>
      <c r="B313" s="19" t="s">
        <v>298</v>
      </c>
      <c r="C313" s="19" t="s">
        <v>299</v>
      </c>
      <c r="D313" s="19" t="s">
        <v>1345</v>
      </c>
      <c r="E313" s="19" t="s">
        <v>1317</v>
      </c>
      <c r="F313" s="19" t="s">
        <v>1323</v>
      </c>
    </row>
    <row r="314">
      <c r="A314" s="24" t="s">
        <v>97</v>
      </c>
      <c r="B314" s="19" t="s">
        <v>99</v>
      </c>
      <c r="C314" s="19" t="s">
        <v>98</v>
      </c>
      <c r="D314" s="19" t="s">
        <v>1345</v>
      </c>
      <c r="E314" s="19" t="s">
        <v>1320</v>
      </c>
      <c r="F314" s="28"/>
    </row>
    <row r="315">
      <c r="A315" s="24" t="s">
        <v>591</v>
      </c>
      <c r="B315" s="19" t="s">
        <v>592</v>
      </c>
      <c r="C315" s="19" t="s">
        <v>593</v>
      </c>
      <c r="D315" s="19" t="s">
        <v>1346</v>
      </c>
      <c r="E315" s="28"/>
      <c r="F315" s="28"/>
    </row>
    <row r="316">
      <c r="A316" s="24" t="s">
        <v>484</v>
      </c>
      <c r="B316" s="19" t="s">
        <v>485</v>
      </c>
      <c r="C316" s="19" t="s">
        <v>486</v>
      </c>
      <c r="D316" s="19" t="s">
        <v>1345</v>
      </c>
      <c r="E316" s="19" t="s">
        <v>1317</v>
      </c>
      <c r="F316" s="19" t="s">
        <v>1323</v>
      </c>
    </row>
    <row r="317">
      <c r="A317" s="24" t="s">
        <v>379</v>
      </c>
      <c r="B317" s="19" t="s">
        <v>380</v>
      </c>
      <c r="C317" s="19" t="s">
        <v>381</v>
      </c>
      <c r="D317" s="19" t="s">
        <v>1345</v>
      </c>
      <c r="E317" s="19" t="s">
        <v>1317</v>
      </c>
      <c r="F317" s="19" t="s">
        <v>1323</v>
      </c>
    </row>
    <row r="318">
      <c r="A318" s="24" t="s">
        <v>281</v>
      </c>
      <c r="B318" s="19" t="s">
        <v>282</v>
      </c>
      <c r="C318" s="19" t="s">
        <v>283</v>
      </c>
      <c r="D318" s="19" t="s">
        <v>1345</v>
      </c>
      <c r="E318" s="19" t="s">
        <v>1317</v>
      </c>
      <c r="F318" s="19" t="s">
        <v>1323</v>
      </c>
    </row>
    <row r="319">
      <c r="A319" s="24" t="s">
        <v>529</v>
      </c>
      <c r="B319" s="19" t="s">
        <v>530</v>
      </c>
      <c r="C319" s="19" t="s">
        <v>531</v>
      </c>
      <c r="D319" s="19" t="s">
        <v>1345</v>
      </c>
      <c r="E319" s="19" t="s">
        <v>1317</v>
      </c>
      <c r="F319" s="19" t="s">
        <v>1323</v>
      </c>
    </row>
    <row r="320">
      <c r="A320" s="24" t="s">
        <v>269</v>
      </c>
      <c r="B320" s="19" t="s">
        <v>270</v>
      </c>
      <c r="C320" s="19" t="s">
        <v>271</v>
      </c>
      <c r="D320" s="19" t="s">
        <v>1345</v>
      </c>
      <c r="E320" s="19" t="s">
        <v>1317</v>
      </c>
      <c r="F320" s="19" t="s">
        <v>1323</v>
      </c>
    </row>
    <row r="321">
      <c r="A321" s="24" t="s">
        <v>523</v>
      </c>
      <c r="B321" s="19" t="s">
        <v>524</v>
      </c>
      <c r="C321" s="19" t="s">
        <v>525</v>
      </c>
      <c r="D321" s="19" t="s">
        <v>1344</v>
      </c>
      <c r="E321" s="19" t="s">
        <v>1320</v>
      </c>
      <c r="F321" s="28"/>
    </row>
    <row r="322">
      <c r="A322" s="24" t="s">
        <v>551</v>
      </c>
      <c r="B322" s="19" t="s">
        <v>552</v>
      </c>
      <c r="C322" s="19" t="s">
        <v>553</v>
      </c>
      <c r="D322" s="19" t="s">
        <v>1346</v>
      </c>
      <c r="E322" s="19" t="s">
        <v>1317</v>
      </c>
      <c r="F322" s="19" t="s">
        <v>1318</v>
      </c>
    </row>
    <row r="323">
      <c r="A323" s="24" t="s">
        <v>594</v>
      </c>
      <c r="B323" s="19" t="s">
        <v>595</v>
      </c>
      <c r="C323" s="19" t="s">
        <v>596</v>
      </c>
      <c r="D323" s="19" t="s">
        <v>1344</v>
      </c>
      <c r="E323" s="19" t="s">
        <v>1317</v>
      </c>
      <c r="F323" s="19" t="s">
        <v>1323</v>
      </c>
    </row>
    <row r="324">
      <c r="A324" s="24" t="s">
        <v>635</v>
      </c>
      <c r="B324" s="19" t="s">
        <v>636</v>
      </c>
      <c r="C324" s="19" t="s">
        <v>637</v>
      </c>
      <c r="D324" s="19" t="s">
        <v>1344</v>
      </c>
      <c r="E324" s="19" t="s">
        <v>1317</v>
      </c>
      <c r="F324" s="19" t="s">
        <v>1323</v>
      </c>
    </row>
    <row r="325">
      <c r="A325" s="24" t="s">
        <v>406</v>
      </c>
      <c r="B325" s="19" t="s">
        <v>407</v>
      </c>
      <c r="C325" s="19" t="s">
        <v>408</v>
      </c>
      <c r="D325" s="19" t="s">
        <v>1344</v>
      </c>
      <c r="E325" s="19" t="s">
        <v>1317</v>
      </c>
      <c r="F325" s="19" t="s">
        <v>1318</v>
      </c>
    </row>
    <row r="326">
      <c r="A326" s="24" t="s">
        <v>251</v>
      </c>
      <c r="B326" s="19" t="s">
        <v>252</v>
      </c>
      <c r="C326" s="19" t="s">
        <v>253</v>
      </c>
      <c r="D326" s="19" t="s">
        <v>1345</v>
      </c>
      <c r="E326" s="19" t="s">
        <v>1317</v>
      </c>
      <c r="F326" s="19" t="s">
        <v>1323</v>
      </c>
    </row>
    <row r="327">
      <c r="A327" s="24" t="s">
        <v>358</v>
      </c>
      <c r="B327" s="19" t="s">
        <v>359</v>
      </c>
      <c r="C327" s="19" t="s">
        <v>360</v>
      </c>
      <c r="D327" s="19" t="s">
        <v>1344</v>
      </c>
      <c r="E327" s="19" t="s">
        <v>1317</v>
      </c>
      <c r="F327" s="19" t="s">
        <v>1323</v>
      </c>
    </row>
    <row r="328">
      <c r="A328" s="24" t="s">
        <v>646</v>
      </c>
      <c r="B328" s="19" t="s">
        <v>647</v>
      </c>
      <c r="C328" s="19" t="s">
        <v>648</v>
      </c>
      <c r="D328" s="19" t="s">
        <v>1345</v>
      </c>
      <c r="E328" s="19" t="s">
        <v>1317</v>
      </c>
      <c r="F328" s="19" t="s">
        <v>1323</v>
      </c>
    </row>
    <row r="329">
      <c r="A329" s="24" t="s">
        <v>100</v>
      </c>
      <c r="B329" s="19" t="s">
        <v>102</v>
      </c>
      <c r="C329" s="19" t="s">
        <v>101</v>
      </c>
      <c r="D329" s="19" t="s">
        <v>1345</v>
      </c>
      <c r="E329" s="19" t="s">
        <v>1320</v>
      </c>
      <c r="F329" s="28"/>
    </row>
    <row r="330">
      <c r="A330" s="24" t="s">
        <v>562</v>
      </c>
      <c r="B330" s="19" t="s">
        <v>563</v>
      </c>
      <c r="C330" s="19" t="s">
        <v>564</v>
      </c>
      <c r="D330" s="19" t="s">
        <v>1346</v>
      </c>
      <c r="E330" s="19" t="s">
        <v>1317</v>
      </c>
      <c r="F330" s="19" t="s">
        <v>1323</v>
      </c>
    </row>
    <row r="331">
      <c r="A331" s="24" t="s">
        <v>103</v>
      </c>
      <c r="B331" s="19" t="s">
        <v>105</v>
      </c>
      <c r="C331" s="19" t="s">
        <v>104</v>
      </c>
      <c r="D331" s="19" t="s">
        <v>1345</v>
      </c>
      <c r="E331" s="19" t="s">
        <v>1320</v>
      </c>
      <c r="F331" s="28"/>
    </row>
    <row r="332">
      <c r="A332" s="24" t="s">
        <v>609</v>
      </c>
      <c r="B332" s="19" t="s">
        <v>610</v>
      </c>
      <c r="C332" s="19" t="s">
        <v>611</v>
      </c>
      <c r="D332" s="19" t="s">
        <v>1346</v>
      </c>
      <c r="E332" s="19" t="s">
        <v>1317</v>
      </c>
      <c r="F332" s="19" t="s">
        <v>1323</v>
      </c>
    </row>
    <row r="333">
      <c r="A333" s="24" t="s">
        <v>263</v>
      </c>
      <c r="B333" s="19" t="s">
        <v>264</v>
      </c>
      <c r="C333" s="19" t="s">
        <v>265</v>
      </c>
      <c r="D333" s="19" t="s">
        <v>1344</v>
      </c>
      <c r="E333" s="19" t="s">
        <v>1317</v>
      </c>
      <c r="F333" s="19" t="s">
        <v>1335</v>
      </c>
      <c r="G333" s="19" t="s">
        <v>1358</v>
      </c>
    </row>
    <row r="334">
      <c r="A334" s="24" t="s">
        <v>418</v>
      </c>
      <c r="B334" s="19" t="s">
        <v>419</v>
      </c>
      <c r="C334" s="19" t="s">
        <v>420</v>
      </c>
      <c r="D334" s="19" t="s">
        <v>1346</v>
      </c>
      <c r="E334" s="28"/>
      <c r="F334" s="28"/>
    </row>
    <row r="335">
      <c r="A335" s="24" t="s">
        <v>286</v>
      </c>
      <c r="B335" s="19" t="s">
        <v>287</v>
      </c>
      <c r="C335" s="19" t="s">
        <v>288</v>
      </c>
      <c r="D335" s="19" t="s">
        <v>1345</v>
      </c>
      <c r="E335" s="19" t="s">
        <v>1317</v>
      </c>
      <c r="F335" s="19" t="s">
        <v>1335</v>
      </c>
      <c r="G335" s="19" t="s">
        <v>1360</v>
      </c>
    </row>
    <row r="336">
      <c r="A336" s="24" t="s">
        <v>421</v>
      </c>
      <c r="B336" s="19" t="s">
        <v>422</v>
      </c>
      <c r="C336" s="19" t="s">
        <v>423</v>
      </c>
      <c r="D336" s="19" t="s">
        <v>1344</v>
      </c>
      <c r="E336" s="19" t="s">
        <v>1317</v>
      </c>
      <c r="F336" s="19" t="s">
        <v>1326</v>
      </c>
      <c r="G336" s="19" t="s">
        <v>1361</v>
      </c>
    </row>
    <row r="337">
      <c r="A337" s="24" t="s">
        <v>319</v>
      </c>
      <c r="B337" s="19" t="s">
        <v>320</v>
      </c>
      <c r="C337" s="19" t="s">
        <v>321</v>
      </c>
      <c r="D337" s="19" t="s">
        <v>1344</v>
      </c>
      <c r="E337" s="19" t="s">
        <v>1317</v>
      </c>
      <c r="F337" s="19" t="s">
        <v>1323</v>
      </c>
    </row>
    <row r="338">
      <c r="A338" s="24" t="s">
        <v>241</v>
      </c>
      <c r="B338" s="19" t="s">
        <v>242</v>
      </c>
      <c r="C338" s="19" t="s">
        <v>243</v>
      </c>
      <c r="D338" s="19" t="s">
        <v>1346</v>
      </c>
      <c r="E338" s="19" t="s">
        <v>1317</v>
      </c>
      <c r="F338" s="19" t="s">
        <v>1326</v>
      </c>
    </row>
    <row r="339">
      <c r="A339" s="24" t="s">
        <v>467</v>
      </c>
      <c r="B339" s="19" t="s">
        <v>468</v>
      </c>
      <c r="C339" s="19" t="s">
        <v>469</v>
      </c>
      <c r="D339" s="19" t="s">
        <v>1345</v>
      </c>
      <c r="E339" s="19" t="s">
        <v>1320</v>
      </c>
      <c r="F339" s="28"/>
    </row>
    <row r="340">
      <c r="A340" s="24" t="s">
        <v>439</v>
      </c>
      <c r="B340" s="19" t="s">
        <v>440</v>
      </c>
      <c r="C340" s="19" t="s">
        <v>441</v>
      </c>
      <c r="D340" s="19" t="s">
        <v>1344</v>
      </c>
      <c r="E340" s="19" t="s">
        <v>1317</v>
      </c>
      <c r="F340" s="19" t="s">
        <v>1323</v>
      </c>
    </row>
    <row r="341">
      <c r="A341" s="24" t="s">
        <v>219</v>
      </c>
      <c r="B341" s="19" t="s">
        <v>220</v>
      </c>
      <c r="C341" s="19" t="s">
        <v>221</v>
      </c>
      <c r="D341" s="19" t="s">
        <v>1346</v>
      </c>
      <c r="E341" s="28"/>
      <c r="F341" s="28"/>
    </row>
    <row r="342">
      <c r="A342" s="24" t="s">
        <v>216</v>
      </c>
      <c r="B342" s="19" t="s">
        <v>217</v>
      </c>
      <c r="C342" s="19" t="s">
        <v>218</v>
      </c>
      <c r="D342" s="19" t="s">
        <v>1344</v>
      </c>
      <c r="E342" s="19" t="s">
        <v>1320</v>
      </c>
      <c r="F342" s="28"/>
    </row>
    <row r="343">
      <c r="A343" s="24" t="s">
        <v>346</v>
      </c>
      <c r="B343" s="19" t="s">
        <v>347</v>
      </c>
      <c r="C343" s="19" t="s">
        <v>348</v>
      </c>
      <c r="D343" s="19" t="s">
        <v>1345</v>
      </c>
      <c r="E343" s="19" t="s">
        <v>1317</v>
      </c>
      <c r="F343" s="19" t="s">
        <v>1323</v>
      </c>
    </row>
    <row r="344">
      <c r="A344" s="24" t="s">
        <v>106</v>
      </c>
      <c r="B344" s="19" t="s">
        <v>108</v>
      </c>
      <c r="C344" s="19" t="s">
        <v>107</v>
      </c>
      <c r="D344" s="19" t="s">
        <v>1344</v>
      </c>
      <c r="E344" s="19" t="s">
        <v>1320</v>
      </c>
      <c r="F344" s="28"/>
      <c r="G344" s="19" t="s">
        <v>1362</v>
      </c>
    </row>
    <row r="345">
      <c r="A345" s="24" t="s">
        <v>329</v>
      </c>
      <c r="B345" s="19" t="s">
        <v>330</v>
      </c>
      <c r="C345" s="19" t="s">
        <v>331</v>
      </c>
      <c r="D345" s="19" t="s">
        <v>1346</v>
      </c>
      <c r="E345" s="28"/>
      <c r="F345" s="28"/>
    </row>
    <row r="346">
      <c r="A346" s="24" t="s">
        <v>424</v>
      </c>
      <c r="B346" s="19" t="s">
        <v>425</v>
      </c>
      <c r="C346" s="19" t="s">
        <v>426</v>
      </c>
      <c r="D346" s="19" t="s">
        <v>1344</v>
      </c>
      <c r="E346" s="19" t="s">
        <v>1317</v>
      </c>
      <c r="F346" s="19" t="s">
        <v>1323</v>
      </c>
    </row>
    <row r="347">
      <c r="A347" s="24" t="s">
        <v>222</v>
      </c>
      <c r="B347" s="19" t="s">
        <v>223</v>
      </c>
      <c r="C347" s="19" t="s">
        <v>224</v>
      </c>
      <c r="D347" s="19" t="s">
        <v>1344</v>
      </c>
      <c r="E347" s="19" t="s">
        <v>1320</v>
      </c>
      <c r="F347" s="28"/>
    </row>
    <row r="348">
      <c r="A348" s="24" t="s">
        <v>335</v>
      </c>
      <c r="B348" s="19" t="s">
        <v>336</v>
      </c>
      <c r="C348" s="19" t="s">
        <v>337</v>
      </c>
      <c r="D348" s="19" t="s">
        <v>1345</v>
      </c>
      <c r="E348" s="19" t="s">
        <v>1317</v>
      </c>
      <c r="F348" s="19" t="s">
        <v>1323</v>
      </c>
    </row>
    <row r="349">
      <c r="A349" s="24" t="s">
        <v>226</v>
      </c>
      <c r="B349" s="19" t="s">
        <v>227</v>
      </c>
      <c r="C349" s="19" t="s">
        <v>228</v>
      </c>
      <c r="D349" s="19" t="s">
        <v>1345</v>
      </c>
      <c r="E349" s="19" t="s">
        <v>1320</v>
      </c>
      <c r="F349" s="28"/>
    </row>
    <row r="350">
      <c r="A350" s="24" t="s">
        <v>109</v>
      </c>
      <c r="B350" s="19" t="s">
        <v>111</v>
      </c>
      <c r="C350" s="19" t="s">
        <v>110</v>
      </c>
      <c r="D350" s="19" t="s">
        <v>1344</v>
      </c>
      <c r="E350" s="19" t="s">
        <v>1317</v>
      </c>
      <c r="F350" s="19" t="s">
        <v>1323</v>
      </c>
    </row>
    <row r="351">
      <c r="A351" s="24" t="s">
        <v>112</v>
      </c>
      <c r="B351" s="19" t="s">
        <v>114</v>
      </c>
      <c r="C351" s="19" t="s">
        <v>113</v>
      </c>
      <c r="D351" s="19" t="s">
        <v>1345</v>
      </c>
      <c r="E351" s="19" t="s">
        <v>1320</v>
      </c>
      <c r="F351" s="28"/>
    </row>
    <row r="352">
      <c r="A352" s="24" t="s">
        <v>502</v>
      </c>
      <c r="B352" s="19" t="s">
        <v>503</v>
      </c>
      <c r="C352" s="19" t="s">
        <v>504</v>
      </c>
      <c r="D352" s="19" t="s">
        <v>1344</v>
      </c>
      <c r="E352" s="19" t="s">
        <v>1317</v>
      </c>
      <c r="F352" s="19" t="s">
        <v>1335</v>
      </c>
      <c r="G352" s="19" t="s">
        <v>1355</v>
      </c>
    </row>
    <row r="353">
      <c r="A353" s="24" t="s">
        <v>266</v>
      </c>
      <c r="B353" s="19" t="s">
        <v>267</v>
      </c>
      <c r="C353" s="19" t="s">
        <v>268</v>
      </c>
      <c r="D353" s="19" t="s">
        <v>1345</v>
      </c>
      <c r="E353" s="19" t="s">
        <v>1317</v>
      </c>
      <c r="F353" s="19" t="s">
        <v>1323</v>
      </c>
    </row>
    <row r="354">
      <c r="A354" s="24" t="s">
        <v>115</v>
      </c>
      <c r="B354" s="19" t="s">
        <v>117</v>
      </c>
      <c r="C354" s="19" t="s">
        <v>116</v>
      </c>
      <c r="D354" s="19" t="s">
        <v>1345</v>
      </c>
      <c r="E354" s="19" t="s">
        <v>1320</v>
      </c>
      <c r="F354" s="28"/>
    </row>
    <row r="355">
      <c r="A355" s="24" t="s">
        <v>603</v>
      </c>
      <c r="B355" s="19" t="s">
        <v>604</v>
      </c>
      <c r="C355" s="19" t="s">
        <v>605</v>
      </c>
      <c r="D355" s="19" t="s">
        <v>1345</v>
      </c>
      <c r="E355" s="19" t="s">
        <v>1317</v>
      </c>
      <c r="F355" s="19" t="s">
        <v>1323</v>
      </c>
    </row>
    <row r="356">
      <c r="A356" s="24" t="s">
        <v>627</v>
      </c>
      <c r="B356" s="19" t="s">
        <v>628</v>
      </c>
      <c r="C356" s="19" t="s">
        <v>629</v>
      </c>
      <c r="D356" s="19" t="s">
        <v>1345</v>
      </c>
      <c r="E356" s="19" t="s">
        <v>1317</v>
      </c>
      <c r="F356" s="19" t="s">
        <v>1323</v>
      </c>
    </row>
    <row r="357">
      <c r="A357" s="24" t="s">
        <v>325</v>
      </c>
      <c r="B357" s="19" t="s">
        <v>326</v>
      </c>
      <c r="C357" s="19" t="s">
        <v>327</v>
      </c>
      <c r="D357" s="19" t="s">
        <v>1346</v>
      </c>
      <c r="E357" s="28"/>
      <c r="F357" s="28"/>
    </row>
    <row r="358">
      <c r="A358" s="24" t="s">
        <v>409</v>
      </c>
      <c r="B358" s="19" t="s">
        <v>410</v>
      </c>
      <c r="C358" s="19" t="s">
        <v>411</v>
      </c>
      <c r="D358" s="19" t="s">
        <v>1344</v>
      </c>
      <c r="E358" s="19" t="s">
        <v>1320</v>
      </c>
      <c r="F358" s="28"/>
      <c r="G358" s="19" t="s">
        <v>1363</v>
      </c>
    </row>
    <row r="359">
      <c r="A359" s="24" t="s">
        <v>118</v>
      </c>
      <c r="B359" s="19" t="s">
        <v>120</v>
      </c>
      <c r="C359" s="19" t="s">
        <v>119</v>
      </c>
      <c r="D359" s="19" t="s">
        <v>1344</v>
      </c>
      <c r="E359" s="19" t="s">
        <v>1320</v>
      </c>
      <c r="F359" s="28"/>
    </row>
    <row r="360">
      <c r="A360" s="24" t="s">
        <v>415</v>
      </c>
      <c r="B360" s="19" t="s">
        <v>416</v>
      </c>
      <c r="C360" s="19" t="s">
        <v>417</v>
      </c>
      <c r="D360" s="19" t="s">
        <v>1346</v>
      </c>
      <c r="E360" s="28"/>
      <c r="F360" s="28"/>
    </row>
    <row r="361">
      <c r="A361" s="24" t="s">
        <v>121</v>
      </c>
      <c r="B361" s="19" t="s">
        <v>123</v>
      </c>
      <c r="C361" s="19" t="s">
        <v>122</v>
      </c>
      <c r="D361" s="19" t="s">
        <v>1345</v>
      </c>
      <c r="E361" s="19" t="s">
        <v>1320</v>
      </c>
      <c r="F361" s="28"/>
    </row>
    <row r="362">
      <c r="A362" s="24" t="s">
        <v>124</v>
      </c>
      <c r="B362" s="19" t="s">
        <v>126</v>
      </c>
      <c r="C362" s="19" t="s">
        <v>125</v>
      </c>
      <c r="D362" s="19" t="s">
        <v>1344</v>
      </c>
      <c r="E362" s="19" t="s">
        <v>1320</v>
      </c>
      <c r="F362" s="28"/>
    </row>
    <row r="363">
      <c r="A363" s="24" t="s">
        <v>442</v>
      </c>
      <c r="B363" s="19" t="s">
        <v>443</v>
      </c>
      <c r="C363" s="19" t="s">
        <v>444</v>
      </c>
      <c r="D363" s="19" t="s">
        <v>1346</v>
      </c>
      <c r="E363" s="28"/>
      <c r="F363" s="28"/>
    </row>
    <row r="364">
      <c r="A364" s="24" t="s">
        <v>292</v>
      </c>
      <c r="B364" s="19" t="s">
        <v>293</v>
      </c>
      <c r="C364" s="19" t="s">
        <v>294</v>
      </c>
      <c r="D364" s="19" t="s">
        <v>1346</v>
      </c>
      <c r="E364" s="28"/>
      <c r="F364" s="28"/>
    </row>
    <row r="365">
      <c r="A365" s="24" t="s">
        <v>395</v>
      </c>
      <c r="B365" s="19" t="s">
        <v>396</v>
      </c>
      <c r="C365" s="19" t="s">
        <v>397</v>
      </c>
      <c r="D365" s="19" t="s">
        <v>1345</v>
      </c>
      <c r="E365" s="19" t="s">
        <v>1317</v>
      </c>
      <c r="F365" s="19" t="s">
        <v>1323</v>
      </c>
    </row>
    <row r="366">
      <c r="A366" s="24" t="s">
        <v>448</v>
      </c>
      <c r="B366" s="19" t="s">
        <v>449</v>
      </c>
      <c r="C366" s="19" t="s">
        <v>450</v>
      </c>
      <c r="D366" s="19" t="s">
        <v>1346</v>
      </c>
      <c r="E366" s="19" t="s">
        <v>1317</v>
      </c>
      <c r="F366" s="19" t="s">
        <v>1323</v>
      </c>
    </row>
    <row r="367">
      <c r="A367" s="24" t="s">
        <v>454</v>
      </c>
      <c r="B367" s="19" t="s">
        <v>455</v>
      </c>
      <c r="C367" s="19" t="s">
        <v>456</v>
      </c>
      <c r="D367" s="19" t="s">
        <v>1344</v>
      </c>
      <c r="E367" s="19" t="s">
        <v>1320</v>
      </c>
      <c r="F367" s="28"/>
    </row>
    <row r="368">
      <c r="A368" s="24" t="s">
        <v>300</v>
      </c>
      <c r="B368" s="19" t="s">
        <v>301</v>
      </c>
      <c r="C368" s="19" t="s">
        <v>302</v>
      </c>
      <c r="D368" s="19" t="s">
        <v>1346</v>
      </c>
      <c r="E368" s="28"/>
      <c r="F368" s="28"/>
    </row>
    <row r="369">
      <c r="A369" s="24" t="s">
        <v>322</v>
      </c>
      <c r="B369" s="19" t="s">
        <v>323</v>
      </c>
      <c r="C369" s="19" t="s">
        <v>324</v>
      </c>
      <c r="D369" s="19" t="s">
        <v>1345</v>
      </c>
      <c r="E369" s="19" t="s">
        <v>1317</v>
      </c>
      <c r="F369" s="19" t="s">
        <v>1326</v>
      </c>
    </row>
    <row r="370">
      <c r="A370" s="24" t="s">
        <v>496</v>
      </c>
      <c r="B370" s="19" t="s">
        <v>497</v>
      </c>
      <c r="C370" s="19" t="s">
        <v>498</v>
      </c>
      <c r="D370" s="19" t="s">
        <v>1346</v>
      </c>
      <c r="E370" s="28"/>
      <c r="F370" s="28"/>
    </row>
    <row r="371">
      <c r="A371" s="24" t="s">
        <v>382</v>
      </c>
      <c r="B371" s="19" t="s">
        <v>383</v>
      </c>
      <c r="C371" s="19" t="s">
        <v>384</v>
      </c>
      <c r="D371" s="19" t="s">
        <v>1344</v>
      </c>
      <c r="E371" s="19" t="s">
        <v>1317</v>
      </c>
      <c r="F371" s="19" t="s">
        <v>1335</v>
      </c>
      <c r="G371" s="19" t="s">
        <v>1364</v>
      </c>
    </row>
    <row r="372">
      <c r="A372" s="24" t="s">
        <v>1272</v>
      </c>
      <c r="B372" s="19" t="s">
        <v>1273</v>
      </c>
      <c r="C372" s="19" t="s">
        <v>1274</v>
      </c>
      <c r="D372" s="19" t="s">
        <v>1346</v>
      </c>
      <c r="E372" s="28"/>
      <c r="F372" s="28"/>
    </row>
    <row r="373">
      <c r="A373" s="24" t="s">
        <v>1205</v>
      </c>
      <c r="B373" s="19" t="s">
        <v>1206</v>
      </c>
      <c r="C373" s="19" t="s">
        <v>1207</v>
      </c>
      <c r="D373" s="19" t="s">
        <v>1345</v>
      </c>
      <c r="E373" s="19" t="s">
        <v>1317</v>
      </c>
      <c r="F373" s="19" t="s">
        <v>1326</v>
      </c>
    </row>
    <row r="374">
      <c r="A374" s="24" t="s">
        <v>1228</v>
      </c>
      <c r="B374" s="19" t="s">
        <v>1229</v>
      </c>
      <c r="C374" s="19" t="s">
        <v>1230</v>
      </c>
      <c r="D374" s="19" t="s">
        <v>1345</v>
      </c>
      <c r="E374" s="19" t="s">
        <v>1317</v>
      </c>
      <c r="F374" s="19" t="s">
        <v>1318</v>
      </c>
    </row>
    <row r="375">
      <c r="A375" s="24" t="s">
        <v>1290</v>
      </c>
      <c r="B375" s="19" t="s">
        <v>1291</v>
      </c>
      <c r="C375" s="19" t="s">
        <v>1292</v>
      </c>
      <c r="D375" s="19" t="s">
        <v>1346</v>
      </c>
      <c r="E375" s="28"/>
      <c r="F375" s="28"/>
    </row>
    <row r="376">
      <c r="A376" s="24" t="s">
        <v>1299</v>
      </c>
      <c r="B376" s="19" t="s">
        <v>1300</v>
      </c>
      <c r="C376" s="19" t="s">
        <v>1301</v>
      </c>
      <c r="D376" s="19" t="s">
        <v>1345</v>
      </c>
      <c r="E376" s="19" t="s">
        <v>1317</v>
      </c>
      <c r="F376" s="19" t="s">
        <v>1318</v>
      </c>
    </row>
    <row r="377">
      <c r="A377" s="24" t="s">
        <v>1231</v>
      </c>
      <c r="B377" s="19" t="s">
        <v>1232</v>
      </c>
      <c r="C377" s="19" t="s">
        <v>1233</v>
      </c>
      <c r="D377" s="19" t="s">
        <v>1346</v>
      </c>
      <c r="E377" s="28"/>
      <c r="F377" s="28"/>
    </row>
    <row r="378">
      <c r="A378" s="24" t="s">
        <v>728</v>
      </c>
      <c r="B378" s="19" t="s">
        <v>729</v>
      </c>
      <c r="C378" s="19" t="s">
        <v>730</v>
      </c>
      <c r="D378" s="19" t="s">
        <v>1345</v>
      </c>
      <c r="E378" s="19" t="s">
        <v>1317</v>
      </c>
      <c r="F378" s="19" t="s">
        <v>1318</v>
      </c>
    </row>
    <row r="379">
      <c r="A379" s="24" t="s">
        <v>573</v>
      </c>
      <c r="B379" s="19" t="s">
        <v>574</v>
      </c>
      <c r="C379" s="19" t="s">
        <v>575</v>
      </c>
      <c r="D379" s="19" t="s">
        <v>1344</v>
      </c>
      <c r="E379" s="19" t="s">
        <v>1317</v>
      </c>
      <c r="F379" s="19" t="s">
        <v>1323</v>
      </c>
    </row>
    <row r="380">
      <c r="A380" s="24" t="s">
        <v>1104</v>
      </c>
      <c r="B380" s="19" t="s">
        <v>1105</v>
      </c>
      <c r="C380" s="19" t="s">
        <v>1106</v>
      </c>
      <c r="D380" s="19" t="s">
        <v>1345</v>
      </c>
      <c r="E380" s="19" t="s">
        <v>1317</v>
      </c>
      <c r="F380" s="19" t="s">
        <v>1318</v>
      </c>
    </row>
    <row r="381">
      <c r="A381" s="24" t="s">
        <v>1165</v>
      </c>
      <c r="B381" s="19" t="s">
        <v>1166</v>
      </c>
      <c r="C381" s="19" t="s">
        <v>1167</v>
      </c>
      <c r="D381" s="19" t="s">
        <v>1344</v>
      </c>
      <c r="E381" s="19" t="s">
        <v>1317</v>
      </c>
      <c r="F381" s="19" t="s">
        <v>1318</v>
      </c>
    </row>
    <row r="382">
      <c r="A382" s="24" t="s">
        <v>914</v>
      </c>
      <c r="B382" s="19" t="s">
        <v>915</v>
      </c>
      <c r="C382" s="19" t="s">
        <v>916</v>
      </c>
      <c r="D382" s="19" t="s">
        <v>1346</v>
      </c>
      <c r="E382" s="28"/>
      <c r="F382" s="28"/>
    </row>
    <row r="383">
      <c r="A383" s="24" t="s">
        <v>984</v>
      </c>
      <c r="B383" s="19" t="s">
        <v>985</v>
      </c>
      <c r="C383" s="19" t="s">
        <v>986</v>
      </c>
      <c r="D383" s="19" t="s">
        <v>1344</v>
      </c>
      <c r="E383" s="19" t="s">
        <v>1317</v>
      </c>
      <c r="F383" s="19" t="s">
        <v>1318</v>
      </c>
    </row>
    <row r="384">
      <c r="A384" s="24" t="s">
        <v>860</v>
      </c>
      <c r="B384" s="19" t="s">
        <v>861</v>
      </c>
      <c r="C384" s="19" t="s">
        <v>862</v>
      </c>
      <c r="D384" s="19" t="s">
        <v>1345</v>
      </c>
      <c r="E384" s="19" t="s">
        <v>1317</v>
      </c>
      <c r="F384" s="19" t="s">
        <v>1318</v>
      </c>
    </row>
    <row r="385">
      <c r="A385" s="24" t="s">
        <v>511</v>
      </c>
      <c r="B385" s="19" t="s">
        <v>512</v>
      </c>
      <c r="C385" s="19" t="s">
        <v>513</v>
      </c>
      <c r="D385" s="19" t="s">
        <v>1346</v>
      </c>
      <c r="E385" s="19" t="s">
        <v>1317</v>
      </c>
      <c r="F385" s="19" t="s">
        <v>1323</v>
      </c>
    </row>
    <row r="386">
      <c r="A386" s="24" t="s">
        <v>1225</v>
      </c>
      <c r="B386" s="19" t="s">
        <v>1226</v>
      </c>
      <c r="C386" s="19" t="s">
        <v>1227</v>
      </c>
      <c r="D386" s="19" t="s">
        <v>1344</v>
      </c>
      <c r="E386" s="19" t="s">
        <v>1317</v>
      </c>
      <c r="F386" s="19" t="s">
        <v>1318</v>
      </c>
    </row>
    <row r="387">
      <c r="A387" s="24" t="s">
        <v>1222</v>
      </c>
      <c r="B387" s="19" t="s">
        <v>1223</v>
      </c>
      <c r="C387" s="19" t="s">
        <v>1224</v>
      </c>
      <c r="D387" s="19" t="s">
        <v>1346</v>
      </c>
      <c r="E387" s="28"/>
      <c r="F387" s="28"/>
    </row>
    <row r="388">
      <c r="A388" s="24" t="s">
        <v>1284</v>
      </c>
      <c r="B388" s="19" t="s">
        <v>1285</v>
      </c>
      <c r="C388" s="19" t="s">
        <v>1286</v>
      </c>
      <c r="D388" s="19" t="s">
        <v>1346</v>
      </c>
      <c r="E388" s="28"/>
      <c r="F388" s="28"/>
    </row>
    <row r="389">
      <c r="A389" s="24" t="s">
        <v>1293</v>
      </c>
      <c r="B389" s="19" t="s">
        <v>1294</v>
      </c>
      <c r="C389" s="19" t="s">
        <v>1295</v>
      </c>
      <c r="D389" s="19" t="s">
        <v>1346</v>
      </c>
      <c r="E389" s="28"/>
      <c r="F389" s="28"/>
    </row>
    <row r="390">
      <c r="A390" s="24" t="s">
        <v>1305</v>
      </c>
      <c r="B390" s="19" t="s">
        <v>1306</v>
      </c>
      <c r="C390" s="19" t="s">
        <v>1307</v>
      </c>
      <c r="D390" s="19" t="s">
        <v>1345</v>
      </c>
      <c r="E390" s="19" t="s">
        <v>1317</v>
      </c>
      <c r="F390" s="19" t="s">
        <v>1323</v>
      </c>
    </row>
    <row r="391">
      <c r="A391" s="24" t="s">
        <v>1240</v>
      </c>
      <c r="B391" s="19" t="s">
        <v>1241</v>
      </c>
      <c r="C391" s="19" t="s">
        <v>1242</v>
      </c>
      <c r="D391" s="19" t="s">
        <v>1345</v>
      </c>
      <c r="E391" s="19" t="s">
        <v>1317</v>
      </c>
      <c r="F391" s="19" t="s">
        <v>1318</v>
      </c>
    </row>
    <row r="392">
      <c r="A392" s="24" t="s">
        <v>742</v>
      </c>
      <c r="B392" s="19" t="s">
        <v>743</v>
      </c>
      <c r="C392" s="19" t="s">
        <v>744</v>
      </c>
      <c r="D392" s="19" t="s">
        <v>1346</v>
      </c>
      <c r="E392" s="19" t="s">
        <v>1317</v>
      </c>
      <c r="F392" s="19" t="s">
        <v>1318</v>
      </c>
    </row>
    <row r="393">
      <c r="A393" s="24" t="s">
        <v>1267</v>
      </c>
      <c r="B393" s="19" t="s">
        <v>1268</v>
      </c>
      <c r="C393" s="19" t="s">
        <v>1269</v>
      </c>
      <c r="D393" s="19" t="s">
        <v>1345</v>
      </c>
      <c r="E393" s="19" t="s">
        <v>1317</v>
      </c>
      <c r="F393" s="19" t="s">
        <v>1318</v>
      </c>
    </row>
    <row r="394">
      <c r="A394" s="21" t="s">
        <v>196</v>
      </c>
      <c r="B394" s="23" t="s">
        <v>36</v>
      </c>
      <c r="C394" s="22" t="s">
        <v>197</v>
      </c>
      <c r="D394" s="19" t="s">
        <v>1345</v>
      </c>
      <c r="E394" s="19" t="s">
        <v>1317</v>
      </c>
      <c r="F394" s="19" t="s">
        <v>1326</v>
      </c>
    </row>
    <row r="395">
      <c r="A395" s="21" t="s">
        <v>198</v>
      </c>
      <c r="B395" s="23" t="s">
        <v>36</v>
      </c>
      <c r="C395" s="22" t="s">
        <v>199</v>
      </c>
      <c r="D395" s="19" t="s">
        <v>1346</v>
      </c>
      <c r="E395" s="28"/>
      <c r="F395" s="28"/>
    </row>
    <row r="396">
      <c r="A396" s="21" t="s">
        <v>185</v>
      </c>
      <c r="B396" s="23" t="s">
        <v>36</v>
      </c>
      <c r="C396" s="22" t="s">
        <v>186</v>
      </c>
      <c r="D396" s="19" t="s">
        <v>1344</v>
      </c>
      <c r="E396" s="19" t="s">
        <v>1317</v>
      </c>
      <c r="F396" s="19" t="s">
        <v>1318</v>
      </c>
    </row>
    <row r="397">
      <c r="E397" s="28"/>
      <c r="F397" s="28"/>
    </row>
    <row r="398">
      <c r="E398" s="28"/>
      <c r="F398" s="28"/>
    </row>
    <row r="399">
      <c r="E399" s="28"/>
      <c r="F399" s="28"/>
    </row>
    <row r="400">
      <c r="E400" s="28"/>
      <c r="F400" s="28"/>
    </row>
    <row r="401">
      <c r="E401" s="28"/>
      <c r="F401" s="28"/>
    </row>
    <row r="402">
      <c r="E402" s="28"/>
      <c r="F402" s="28"/>
    </row>
    <row r="403">
      <c r="E403" s="28"/>
      <c r="F403" s="28"/>
    </row>
    <row r="404">
      <c r="E404" s="28"/>
      <c r="F404" s="28"/>
    </row>
    <row r="405">
      <c r="E405" s="28"/>
      <c r="F405" s="28"/>
    </row>
    <row r="406">
      <c r="E406" s="28"/>
      <c r="F406" s="28"/>
    </row>
    <row r="407">
      <c r="E407" s="28"/>
      <c r="F407" s="28"/>
    </row>
    <row r="408">
      <c r="E408" s="28"/>
      <c r="F408" s="28"/>
    </row>
    <row r="409">
      <c r="E409" s="28"/>
      <c r="F409" s="28"/>
    </row>
    <row r="410">
      <c r="E410" s="28"/>
      <c r="F410" s="28"/>
    </row>
    <row r="411">
      <c r="E411" s="28"/>
      <c r="F411" s="28"/>
    </row>
    <row r="412">
      <c r="E412" s="28"/>
      <c r="F412" s="28"/>
    </row>
    <row r="413">
      <c r="E413" s="28"/>
      <c r="F413" s="28"/>
    </row>
    <row r="414">
      <c r="E414" s="28"/>
      <c r="F414" s="28"/>
    </row>
    <row r="415">
      <c r="E415" s="28"/>
      <c r="F415" s="28"/>
    </row>
    <row r="416">
      <c r="E416" s="28"/>
      <c r="F416" s="28"/>
    </row>
    <row r="417">
      <c r="E417" s="28"/>
      <c r="F417" s="28"/>
    </row>
    <row r="418">
      <c r="E418" s="28"/>
      <c r="F418" s="28"/>
    </row>
    <row r="419">
      <c r="E419" s="28"/>
      <c r="F419" s="28"/>
    </row>
    <row r="420">
      <c r="E420" s="28"/>
      <c r="F420" s="28"/>
    </row>
    <row r="421">
      <c r="E421" s="28"/>
      <c r="F421" s="28"/>
    </row>
    <row r="422">
      <c r="E422" s="28"/>
      <c r="F422" s="28"/>
    </row>
    <row r="423">
      <c r="E423" s="28"/>
      <c r="F423" s="28"/>
    </row>
    <row r="424">
      <c r="E424" s="28"/>
      <c r="F424" s="28"/>
    </row>
    <row r="425">
      <c r="E425" s="28"/>
      <c r="F425" s="28"/>
    </row>
    <row r="426">
      <c r="E426" s="28"/>
      <c r="F426" s="28"/>
    </row>
    <row r="427">
      <c r="E427" s="28"/>
      <c r="F427" s="28"/>
    </row>
    <row r="428">
      <c r="E428" s="28"/>
      <c r="F428" s="28"/>
    </row>
    <row r="429">
      <c r="E429" s="28"/>
      <c r="F429" s="28"/>
    </row>
    <row r="430">
      <c r="E430" s="28"/>
      <c r="F430" s="28"/>
    </row>
    <row r="431">
      <c r="E431" s="28"/>
      <c r="F431" s="28"/>
    </row>
    <row r="432">
      <c r="E432" s="28"/>
      <c r="F432" s="28"/>
    </row>
    <row r="433">
      <c r="E433" s="28"/>
      <c r="F433" s="28"/>
    </row>
    <row r="434">
      <c r="E434" s="28"/>
      <c r="F434" s="28"/>
    </row>
    <row r="435">
      <c r="E435" s="28"/>
      <c r="F435" s="28"/>
    </row>
    <row r="436">
      <c r="E436" s="28"/>
      <c r="F436" s="28"/>
    </row>
    <row r="437">
      <c r="E437" s="28"/>
      <c r="F437" s="28"/>
    </row>
    <row r="438">
      <c r="E438" s="28"/>
      <c r="F438" s="28"/>
    </row>
    <row r="439">
      <c r="E439" s="28"/>
      <c r="F439" s="28"/>
    </row>
    <row r="440">
      <c r="E440" s="28"/>
      <c r="F440" s="28"/>
    </row>
    <row r="441">
      <c r="E441" s="28"/>
      <c r="F441" s="28"/>
    </row>
    <row r="442">
      <c r="E442" s="28"/>
      <c r="F442" s="28"/>
    </row>
    <row r="443">
      <c r="E443" s="28"/>
      <c r="F443" s="28"/>
    </row>
    <row r="444">
      <c r="E444" s="28"/>
      <c r="F444" s="28"/>
    </row>
    <row r="445">
      <c r="E445" s="28"/>
      <c r="F445" s="28"/>
    </row>
    <row r="446">
      <c r="E446" s="28"/>
      <c r="F446" s="28"/>
    </row>
    <row r="447">
      <c r="E447" s="28"/>
      <c r="F447" s="28"/>
    </row>
    <row r="448">
      <c r="E448" s="28"/>
      <c r="F448" s="28"/>
    </row>
    <row r="449">
      <c r="E449" s="28"/>
      <c r="F449" s="28"/>
    </row>
    <row r="450">
      <c r="E450" s="28"/>
      <c r="F450" s="28"/>
    </row>
    <row r="451">
      <c r="E451" s="28"/>
      <c r="F451" s="28"/>
    </row>
    <row r="452">
      <c r="E452" s="28"/>
      <c r="F452" s="28"/>
    </row>
    <row r="453">
      <c r="E453" s="28"/>
      <c r="F453" s="28"/>
    </row>
    <row r="454">
      <c r="E454" s="28"/>
      <c r="F454" s="28"/>
    </row>
    <row r="455">
      <c r="E455" s="28"/>
      <c r="F455" s="28"/>
    </row>
    <row r="456">
      <c r="E456" s="28"/>
      <c r="F456" s="28"/>
    </row>
    <row r="457">
      <c r="E457" s="28"/>
      <c r="F457" s="28"/>
    </row>
    <row r="458">
      <c r="E458" s="28"/>
      <c r="F458" s="28"/>
    </row>
    <row r="459">
      <c r="E459" s="28"/>
      <c r="F459" s="28"/>
    </row>
    <row r="460">
      <c r="E460" s="28"/>
      <c r="F460" s="28"/>
    </row>
    <row r="461">
      <c r="E461" s="28"/>
      <c r="F461" s="28"/>
    </row>
    <row r="462">
      <c r="E462" s="28"/>
      <c r="F462" s="28"/>
    </row>
    <row r="463">
      <c r="E463" s="28"/>
      <c r="F463" s="28"/>
    </row>
    <row r="464">
      <c r="E464" s="28"/>
      <c r="F464" s="28"/>
    </row>
    <row r="465">
      <c r="E465" s="28"/>
      <c r="F465" s="28"/>
    </row>
    <row r="466">
      <c r="E466" s="28"/>
      <c r="F466" s="28"/>
    </row>
    <row r="467">
      <c r="E467" s="28"/>
      <c r="F467" s="28"/>
    </row>
    <row r="468">
      <c r="E468" s="28"/>
      <c r="F468" s="28"/>
    </row>
    <row r="469">
      <c r="E469" s="28"/>
      <c r="F469" s="28"/>
    </row>
    <row r="470">
      <c r="E470" s="28"/>
      <c r="F470" s="28"/>
    </row>
    <row r="471">
      <c r="E471" s="28"/>
      <c r="F471" s="28"/>
    </row>
    <row r="472">
      <c r="E472" s="28"/>
      <c r="F472" s="28"/>
    </row>
    <row r="473">
      <c r="E473" s="28"/>
      <c r="F473" s="28"/>
    </row>
    <row r="474">
      <c r="E474" s="28"/>
      <c r="F474" s="28"/>
    </row>
    <row r="475">
      <c r="E475" s="28"/>
      <c r="F475" s="28"/>
    </row>
    <row r="476">
      <c r="E476" s="28"/>
      <c r="F476" s="28"/>
    </row>
    <row r="477">
      <c r="E477" s="28"/>
      <c r="F477" s="28"/>
    </row>
    <row r="478">
      <c r="E478" s="28"/>
      <c r="F478" s="28"/>
    </row>
    <row r="479">
      <c r="E479" s="28"/>
      <c r="F479" s="28"/>
    </row>
    <row r="480">
      <c r="E480" s="28"/>
      <c r="F480" s="28"/>
    </row>
    <row r="481">
      <c r="E481" s="28"/>
      <c r="F481" s="28"/>
    </row>
    <row r="482">
      <c r="E482" s="28"/>
      <c r="F482" s="28"/>
    </row>
    <row r="483">
      <c r="E483" s="28"/>
      <c r="F483" s="28"/>
    </row>
    <row r="484">
      <c r="E484" s="28"/>
      <c r="F484" s="28"/>
    </row>
    <row r="485">
      <c r="E485" s="28"/>
      <c r="F485" s="28"/>
    </row>
    <row r="486">
      <c r="E486" s="28"/>
      <c r="F486" s="28"/>
    </row>
    <row r="487">
      <c r="E487" s="28"/>
      <c r="F487" s="28"/>
    </row>
    <row r="488">
      <c r="E488" s="28"/>
      <c r="F488" s="28"/>
    </row>
    <row r="489">
      <c r="E489" s="28"/>
      <c r="F489" s="28"/>
    </row>
    <row r="490">
      <c r="E490" s="28"/>
      <c r="F490" s="28"/>
    </row>
    <row r="491">
      <c r="E491" s="28"/>
      <c r="F491" s="28"/>
    </row>
    <row r="492">
      <c r="E492" s="28"/>
      <c r="F492" s="28"/>
    </row>
    <row r="493">
      <c r="E493" s="28"/>
      <c r="F493" s="28"/>
    </row>
    <row r="494">
      <c r="E494" s="28"/>
      <c r="F494" s="28"/>
    </row>
    <row r="495">
      <c r="E495" s="28"/>
      <c r="F495" s="28"/>
    </row>
    <row r="496">
      <c r="E496" s="28"/>
      <c r="F496" s="28"/>
    </row>
    <row r="497">
      <c r="E497" s="28"/>
      <c r="F497" s="28"/>
    </row>
    <row r="498">
      <c r="E498" s="28"/>
      <c r="F498" s="28"/>
    </row>
    <row r="499">
      <c r="E499" s="28"/>
      <c r="F499" s="28"/>
    </row>
    <row r="500">
      <c r="E500" s="28"/>
      <c r="F500" s="28"/>
    </row>
    <row r="501">
      <c r="E501" s="28"/>
      <c r="F501" s="28"/>
    </row>
    <row r="502">
      <c r="E502" s="28"/>
      <c r="F502" s="28"/>
    </row>
    <row r="503">
      <c r="E503" s="28"/>
      <c r="F503" s="28"/>
    </row>
    <row r="504">
      <c r="E504" s="28"/>
      <c r="F504" s="28"/>
    </row>
    <row r="505">
      <c r="E505" s="28"/>
      <c r="F505" s="28"/>
    </row>
    <row r="506">
      <c r="E506" s="28"/>
      <c r="F506" s="28"/>
    </row>
    <row r="507">
      <c r="E507" s="28"/>
      <c r="F507" s="28"/>
    </row>
    <row r="508">
      <c r="E508" s="28"/>
      <c r="F508" s="28"/>
    </row>
    <row r="509">
      <c r="E509" s="28"/>
      <c r="F509" s="28"/>
    </row>
    <row r="510">
      <c r="E510" s="28"/>
      <c r="F510" s="28"/>
    </row>
    <row r="511">
      <c r="E511" s="28"/>
      <c r="F511" s="28"/>
    </row>
    <row r="512">
      <c r="E512" s="28"/>
      <c r="F512" s="28"/>
    </row>
    <row r="513">
      <c r="E513" s="28"/>
      <c r="F513" s="28"/>
    </row>
    <row r="514">
      <c r="E514" s="28"/>
      <c r="F514" s="28"/>
    </row>
    <row r="515">
      <c r="E515" s="28"/>
      <c r="F515" s="28"/>
    </row>
    <row r="516">
      <c r="E516" s="28"/>
      <c r="F516" s="28"/>
    </row>
    <row r="517">
      <c r="E517" s="28"/>
      <c r="F517" s="28"/>
    </row>
    <row r="518">
      <c r="E518" s="28"/>
      <c r="F518" s="28"/>
    </row>
    <row r="519">
      <c r="E519" s="28"/>
      <c r="F519" s="28"/>
    </row>
    <row r="520">
      <c r="E520" s="28"/>
      <c r="F520" s="28"/>
    </row>
    <row r="521">
      <c r="E521" s="28"/>
      <c r="F521" s="28"/>
    </row>
    <row r="522">
      <c r="E522" s="28"/>
      <c r="F522" s="28"/>
    </row>
    <row r="523">
      <c r="E523" s="28"/>
      <c r="F523" s="28"/>
    </row>
    <row r="524">
      <c r="E524" s="28"/>
      <c r="F524" s="28"/>
    </row>
    <row r="525">
      <c r="E525" s="28"/>
      <c r="F525" s="28"/>
    </row>
    <row r="526">
      <c r="E526" s="28"/>
      <c r="F526" s="28"/>
    </row>
    <row r="527">
      <c r="E527" s="28"/>
      <c r="F527" s="28"/>
    </row>
    <row r="528">
      <c r="E528" s="28"/>
      <c r="F528" s="28"/>
    </row>
    <row r="529">
      <c r="E529" s="28"/>
      <c r="F529" s="28"/>
    </row>
    <row r="530">
      <c r="E530" s="28"/>
      <c r="F530" s="28"/>
    </row>
    <row r="531">
      <c r="E531" s="28"/>
      <c r="F531" s="28"/>
    </row>
    <row r="532">
      <c r="E532" s="28"/>
      <c r="F532" s="28"/>
    </row>
    <row r="533">
      <c r="E533" s="28"/>
      <c r="F533" s="28"/>
    </row>
    <row r="534">
      <c r="E534" s="28"/>
      <c r="F534" s="28"/>
    </row>
    <row r="535">
      <c r="E535" s="28"/>
      <c r="F535" s="28"/>
    </row>
    <row r="536">
      <c r="E536" s="28"/>
      <c r="F536" s="28"/>
    </row>
    <row r="537">
      <c r="E537" s="28"/>
      <c r="F537" s="28"/>
    </row>
    <row r="538">
      <c r="E538" s="28"/>
      <c r="F538" s="28"/>
    </row>
    <row r="539">
      <c r="E539" s="28"/>
      <c r="F539" s="28"/>
    </row>
    <row r="540">
      <c r="E540" s="28"/>
      <c r="F540" s="28"/>
    </row>
    <row r="541">
      <c r="E541" s="28"/>
      <c r="F541" s="28"/>
    </row>
    <row r="542">
      <c r="E542" s="28"/>
      <c r="F542" s="28"/>
    </row>
    <row r="543">
      <c r="E543" s="28"/>
      <c r="F543" s="28"/>
    </row>
    <row r="544">
      <c r="E544" s="28"/>
      <c r="F544" s="28"/>
    </row>
    <row r="545">
      <c r="E545" s="28"/>
      <c r="F545" s="28"/>
    </row>
    <row r="546">
      <c r="E546" s="28"/>
      <c r="F546" s="28"/>
    </row>
    <row r="547">
      <c r="E547" s="28"/>
      <c r="F547" s="28"/>
    </row>
    <row r="548">
      <c r="E548" s="28"/>
      <c r="F548" s="28"/>
    </row>
    <row r="549">
      <c r="E549" s="28"/>
      <c r="F549" s="28"/>
    </row>
    <row r="550">
      <c r="E550" s="28"/>
      <c r="F550" s="28"/>
    </row>
    <row r="551">
      <c r="E551" s="28"/>
      <c r="F551" s="28"/>
    </row>
    <row r="552">
      <c r="E552" s="28"/>
      <c r="F552" s="28"/>
    </row>
    <row r="553">
      <c r="E553" s="28"/>
      <c r="F553" s="28"/>
    </row>
    <row r="554">
      <c r="E554" s="28"/>
      <c r="F554" s="28"/>
    </row>
    <row r="555">
      <c r="E555" s="28"/>
      <c r="F555" s="28"/>
    </row>
    <row r="556">
      <c r="E556" s="28"/>
      <c r="F556" s="28"/>
    </row>
    <row r="557">
      <c r="E557" s="28"/>
      <c r="F557" s="28"/>
    </row>
    <row r="558">
      <c r="E558" s="28"/>
      <c r="F558" s="28"/>
    </row>
    <row r="559">
      <c r="E559" s="28"/>
      <c r="F559" s="28"/>
    </row>
    <row r="560">
      <c r="E560" s="28"/>
      <c r="F560" s="28"/>
    </row>
    <row r="561">
      <c r="E561" s="28"/>
      <c r="F561" s="28"/>
    </row>
    <row r="562">
      <c r="E562" s="28"/>
      <c r="F562" s="28"/>
    </row>
    <row r="563">
      <c r="E563" s="28"/>
      <c r="F563" s="28"/>
    </row>
    <row r="564">
      <c r="E564" s="28"/>
      <c r="F564" s="28"/>
    </row>
    <row r="565">
      <c r="E565" s="28"/>
      <c r="F565" s="28"/>
    </row>
    <row r="566">
      <c r="E566" s="28"/>
      <c r="F566" s="28"/>
    </row>
    <row r="567">
      <c r="E567" s="28"/>
      <c r="F567" s="28"/>
    </row>
    <row r="568">
      <c r="E568" s="28"/>
      <c r="F568" s="28"/>
    </row>
    <row r="569">
      <c r="E569" s="28"/>
      <c r="F569" s="28"/>
    </row>
    <row r="570">
      <c r="E570" s="28"/>
      <c r="F570" s="28"/>
    </row>
    <row r="571">
      <c r="E571" s="28"/>
      <c r="F571" s="28"/>
    </row>
    <row r="572">
      <c r="E572" s="28"/>
      <c r="F572" s="28"/>
    </row>
    <row r="573">
      <c r="E573" s="28"/>
      <c r="F573" s="28"/>
    </row>
    <row r="574">
      <c r="E574" s="28"/>
      <c r="F574" s="28"/>
    </row>
    <row r="575">
      <c r="E575" s="28"/>
      <c r="F575" s="28"/>
    </row>
    <row r="576">
      <c r="E576" s="28"/>
      <c r="F576" s="28"/>
    </row>
    <row r="577">
      <c r="E577" s="28"/>
      <c r="F577" s="28"/>
    </row>
    <row r="578">
      <c r="E578" s="28"/>
      <c r="F578" s="28"/>
    </row>
    <row r="579">
      <c r="E579" s="28"/>
      <c r="F579" s="28"/>
    </row>
    <row r="580">
      <c r="E580" s="28"/>
      <c r="F580" s="28"/>
    </row>
    <row r="581">
      <c r="E581" s="28"/>
      <c r="F581" s="28"/>
    </row>
    <row r="582">
      <c r="E582" s="28"/>
      <c r="F582" s="28"/>
    </row>
    <row r="583">
      <c r="E583" s="28"/>
      <c r="F583" s="28"/>
    </row>
    <row r="584">
      <c r="E584" s="28"/>
      <c r="F584" s="28"/>
    </row>
    <row r="585">
      <c r="E585" s="28"/>
      <c r="F585" s="28"/>
    </row>
    <row r="586">
      <c r="E586" s="28"/>
      <c r="F586" s="28"/>
    </row>
    <row r="587">
      <c r="E587" s="28"/>
      <c r="F587" s="28"/>
    </row>
    <row r="588">
      <c r="E588" s="28"/>
      <c r="F588" s="28"/>
    </row>
    <row r="589">
      <c r="E589" s="28"/>
      <c r="F589" s="28"/>
    </row>
    <row r="590">
      <c r="E590" s="28"/>
      <c r="F590" s="28"/>
    </row>
  </sheetData>
  <dataValidations>
    <dataValidation type="list" allowBlank="1" showErrorMessage="1" sqref="F2:F590">
      <formula1>"Not a research paper,Not in peer reviewed journal,Not about LLMs,Not about Sycophancy,Not about either LLMs or Sycophancy,Other (Explanation -&gt;)"</formula1>
    </dataValidation>
    <dataValidation type="list" allowBlank="1" showErrorMessage="1" sqref="E2:E590">
      <formula1>"Include,Exclude"</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s>
  <drawing r:id="rId39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5.63"/>
  </cols>
  <sheetData>
    <row r="1">
      <c r="C1" s="19" t="s">
        <v>1612</v>
      </c>
      <c r="D1" s="19" t="s">
        <v>2</v>
      </c>
      <c r="E1" s="19" t="s">
        <v>1</v>
      </c>
      <c r="F1" s="19" t="s">
        <v>1613</v>
      </c>
      <c r="G1" s="19" t="s">
        <v>1614</v>
      </c>
      <c r="H1" s="19" t="s">
        <v>1615</v>
      </c>
      <c r="I1" s="19" t="s">
        <v>1616</v>
      </c>
      <c r="J1" s="19" t="s">
        <v>1617</v>
      </c>
      <c r="K1" s="19" t="s">
        <v>1692</v>
      </c>
    </row>
    <row r="2" hidden="1">
      <c r="A2" s="35" t="str">
        <f>'Copy of INCEXC A'!A2</f>
        <v>https://doi.org/10.1007/978-3-642-24322-6_15</v>
      </c>
      <c r="B2" s="35" t="str">
        <f>'Copy of INCEXC B'!A2</f>
        <v>https://doi.org/10.1007/978-3-642-24322-6_15</v>
      </c>
      <c r="C2" s="28" t="b">
        <f t="shared" ref="C2:C396" si="1">A2=B2</f>
        <v>1</v>
      </c>
      <c r="E2" s="28" t="str">
        <f>'Copy of INCEXC A'!C2</f>
        <v>The search for energy-efficient building blocks for the data center</v>
      </c>
      <c r="F2" s="28" t="str">
        <f>'Copy of INCEXC A'!D2</f>
        <v>Jonathan</v>
      </c>
      <c r="G2" s="28" t="str">
        <f>'Copy of INCEXC B'!D2</f>
        <v>Taylor</v>
      </c>
      <c r="H2" s="28" t="str">
        <f>'Copy of INCEXC A'!E2</f>
        <v/>
      </c>
      <c r="I2" s="28" t="str">
        <f>'Copy of INCEXC B'!E2</f>
        <v>Exclude</v>
      </c>
      <c r="J2" s="28" t="b">
        <f t="shared" ref="J2:J396" si="2">H2=I2</f>
        <v>0</v>
      </c>
      <c r="K2" s="28" t="b">
        <f t="shared" ref="K2:K396" si="3">AND(H2="Include",J2)</f>
        <v>0</v>
      </c>
    </row>
    <row r="3" hidden="1">
      <c r="A3" s="35" t="str">
        <f>'Copy of INCEXC A'!A3</f>
        <v>https://doi.org/10.1007/978-3-642-24322-6_16</v>
      </c>
      <c r="B3" s="35" t="str">
        <f>'Copy of INCEXC B'!A3</f>
        <v>https://doi.org/10.1007/978-3-642-24322-6_16</v>
      </c>
      <c r="C3" s="28" t="b">
        <f t="shared" si="1"/>
        <v>1</v>
      </c>
      <c r="E3" s="28" t="str">
        <f>'Copy of INCEXC A'!C3</f>
        <v>KnightShift: shifting the I/O burden in datacenters to management processor for energy efficiency</v>
      </c>
      <c r="F3" s="28" t="str">
        <f>'Copy of INCEXC A'!D3</f>
        <v>Marilyn</v>
      </c>
      <c r="G3" s="28" t="str">
        <f>'Copy of INCEXC B'!D3</f>
        <v>Taylor</v>
      </c>
      <c r="H3" s="28" t="str">
        <f>'Copy of INCEXC A'!E3</f>
        <v>Exclude</v>
      </c>
      <c r="I3" s="28" t="str">
        <f>'Copy of INCEXC B'!E3</f>
        <v>Exclude</v>
      </c>
      <c r="J3" s="28" t="b">
        <f t="shared" si="2"/>
        <v>1</v>
      </c>
      <c r="K3" s="28" t="b">
        <f t="shared" si="3"/>
        <v>0</v>
      </c>
    </row>
    <row r="4" hidden="1">
      <c r="A4" s="35" t="str">
        <f>'Copy of INCEXC A'!A4</f>
        <v>https://doi.org/10.1007/978-3-642-24322-6_19</v>
      </c>
      <c r="B4" s="35" t="str">
        <f>'Copy of INCEXC B'!A4</f>
        <v>https://doi.org/10.1007/978-3-642-24322-6_19</v>
      </c>
      <c r="C4" s="28" t="b">
        <f t="shared" si="1"/>
        <v>1</v>
      </c>
      <c r="E4" s="28" t="str">
        <f>'Copy of INCEXC A'!C4</f>
        <v>Achieving power-efficiency in clusters without distributed file system complexity</v>
      </c>
      <c r="F4" s="28" t="str">
        <f>'Copy of INCEXC A'!D4</f>
        <v>Marilyn</v>
      </c>
      <c r="G4" s="28" t="str">
        <f>'Copy of INCEXC B'!D4</f>
        <v>Taylor</v>
      </c>
      <c r="H4" s="28" t="str">
        <f>'Copy of INCEXC A'!E4</f>
        <v>Exclude</v>
      </c>
      <c r="I4" s="28" t="str">
        <f>'Copy of INCEXC B'!E4</f>
        <v>Exclude</v>
      </c>
      <c r="J4" s="28" t="b">
        <f t="shared" si="2"/>
        <v>1</v>
      </c>
      <c r="K4" s="28" t="b">
        <f t="shared" si="3"/>
        <v>0</v>
      </c>
    </row>
    <row r="5" hidden="1">
      <c r="A5" s="35" t="str">
        <f>'Copy of INCEXC A'!A5</f>
        <v>https://ieeexplore.ieee.org/stamp/stamp.jsp?arnumber=8372225</v>
      </c>
      <c r="B5" s="35" t="str">
        <f>'Copy of INCEXC B'!A5</f>
        <v>https://ieeexplore.ieee.org/stamp/stamp.jsp?arnumber=8372225</v>
      </c>
      <c r="C5" s="28" t="b">
        <f t="shared" si="1"/>
        <v>1</v>
      </c>
      <c r="E5" s="28" t="str">
        <f>'Copy of INCEXC A'!C5</f>
        <v>A SOFC based autonomous microgrid performance analysis using adaptive PI and PI controller</v>
      </c>
      <c r="F5" s="28" t="str">
        <f>'Copy of INCEXC A'!D5</f>
        <v>Marilyn</v>
      </c>
      <c r="G5" s="28" t="str">
        <f>'Copy of INCEXC B'!D5</f>
        <v>Danni</v>
      </c>
      <c r="H5" s="28" t="str">
        <f>'Copy of INCEXC A'!E5</f>
        <v>Exclude</v>
      </c>
      <c r="I5" s="28" t="str">
        <f>'Copy of INCEXC B'!E5</f>
        <v>Exclude</v>
      </c>
      <c r="J5" s="28" t="b">
        <f t="shared" si="2"/>
        <v>1</v>
      </c>
      <c r="K5" s="28" t="b">
        <f t="shared" si="3"/>
        <v>0</v>
      </c>
    </row>
    <row r="6" hidden="1">
      <c r="A6" s="35" t="str">
        <f>'Copy of INCEXC A'!A6</f>
        <v>https://ieeexplore.ieee.org/stamp/stamp.jsp?arnumber=735370</v>
      </c>
      <c r="B6" s="35" t="str">
        <f>'Copy of INCEXC B'!A6</f>
        <v>https://ieeexplore.ieee.org/stamp/stamp.jsp?arnumber=735370</v>
      </c>
      <c r="C6" s="28" t="b">
        <f t="shared" si="1"/>
        <v>1</v>
      </c>
      <c r="E6" s="28" t="str">
        <f>'Copy of INCEXC A'!C6</f>
        <v>The letter of submission: avoiding the promotional genre</v>
      </c>
      <c r="F6" s="28" t="str">
        <f>'Copy of INCEXC A'!D6</f>
        <v>Jonathan</v>
      </c>
      <c r="G6" s="28" t="str">
        <f>'Copy of INCEXC B'!D6</f>
        <v>Ceren</v>
      </c>
      <c r="H6" s="28" t="str">
        <f>'Copy of INCEXC A'!E6</f>
        <v/>
      </c>
      <c r="I6" s="28" t="str">
        <f>'Copy of INCEXC B'!E6</f>
        <v/>
      </c>
      <c r="J6" s="28" t="b">
        <f t="shared" si="2"/>
        <v>1</v>
      </c>
      <c r="K6" s="28" t="b">
        <f t="shared" si="3"/>
        <v>0</v>
      </c>
    </row>
    <row r="7" hidden="1">
      <c r="A7" s="35" t="str">
        <f>'Copy of INCEXC A'!A7</f>
        <v>https://ieeexplore.ieee.org/stamp/stamp.jsp?arnumber=11467909</v>
      </c>
      <c r="B7" s="35" t="str">
        <f>'Copy of INCEXC B'!A7</f>
        <v>https://ieeexplore.ieee.org/stamp/stamp.jsp?arnumber=11467909</v>
      </c>
      <c r="C7" s="28" t="b">
        <f t="shared" si="1"/>
        <v>1</v>
      </c>
      <c r="E7" s="28" t="str">
        <f>'Copy of INCEXC A'!C7</f>
        <v>Evaluating LLM-Induced Investment Biases via Persona Design and Prompt Analysis: A Quantitative Study of Post-Retirement Asset Depletion Risk Through Social Simulation</v>
      </c>
      <c r="F7" s="28" t="str">
        <f>'Copy of INCEXC A'!D7</f>
        <v>Marilyn</v>
      </c>
      <c r="G7" s="28" t="str">
        <f>'Copy of INCEXC B'!D7</f>
        <v>Ceren</v>
      </c>
      <c r="H7" s="28" t="str">
        <f>'Copy of INCEXC A'!E7</f>
        <v>Include</v>
      </c>
      <c r="I7" s="28" t="str">
        <f>'Copy of INCEXC B'!E7</f>
        <v/>
      </c>
      <c r="J7" s="28" t="b">
        <f t="shared" si="2"/>
        <v>0</v>
      </c>
      <c r="K7" s="28" t="b">
        <f t="shared" si="3"/>
        <v>0</v>
      </c>
    </row>
    <row r="8" hidden="1">
      <c r="A8" s="35" t="str">
        <f>'Copy of INCEXC A'!A8</f>
        <v>https://ieeexplore.ieee.org/stamp/stamp.jsp?arnumber=10771051</v>
      </c>
      <c r="B8" s="35" t="str">
        <f>'Copy of INCEXC B'!A8</f>
        <v>https://ieeexplore.ieee.org/stamp/stamp.jsp?arnumber=10771051</v>
      </c>
      <c r="C8" s="28" t="b">
        <f t="shared" si="1"/>
        <v>1</v>
      </c>
      <c r="E8" s="28" t="str">
        <f>'Copy of INCEXC A'!C8</f>
        <v>Towards Transparent Artificial Intelligence: Exploring Modern Approaches and Future Directions</v>
      </c>
      <c r="F8" s="28" t="str">
        <f>'Copy of INCEXC A'!D8</f>
        <v>Kaiser</v>
      </c>
      <c r="G8" s="28" t="str">
        <f>'Copy of INCEXC B'!D8</f>
        <v>Danni</v>
      </c>
      <c r="H8" s="28" t="str">
        <f>'Copy of INCEXC A'!E8</f>
        <v>Exclude</v>
      </c>
      <c r="I8" s="28" t="str">
        <f>'Copy of INCEXC B'!E8</f>
        <v>Exclude</v>
      </c>
      <c r="J8" s="28" t="b">
        <f t="shared" si="2"/>
        <v>1</v>
      </c>
      <c r="K8" s="28" t="b">
        <f t="shared" si="3"/>
        <v>0</v>
      </c>
    </row>
    <row r="9">
      <c r="A9" s="35" t="str">
        <f>'Copy of INCEXC A'!A9</f>
        <v>https://ieeexplore.ieee.org/stamp/stamp.jsp?arnumber=11449950</v>
      </c>
      <c r="B9" s="35" t="str">
        <f>'Copy of INCEXC B'!A9</f>
        <v>https://ieeexplore.ieee.org/stamp/stamp.jsp?arnumber=11449950</v>
      </c>
      <c r="C9" s="28" t="b">
        <f t="shared" si="1"/>
        <v>1</v>
      </c>
      <c r="D9" s="28" t="str">
        <f>'INCEXC A'!B2</f>
        <v>10.1007/978-3-642-24322-6_15</v>
      </c>
      <c r="E9" s="28" t="str">
        <f>'Copy of INCEXC A'!C9</f>
        <v>Too Positive to Be True? Sentiment Analysis of AI-Guided vs. Human-Led Debriefings in Virtual Reality Counseling Training</v>
      </c>
      <c r="F9" s="28" t="str">
        <f>'Copy of INCEXC A'!D9</f>
        <v>Kaiser</v>
      </c>
      <c r="G9" s="28" t="str">
        <f>'Copy of INCEXC B'!D9</f>
        <v>Taylor</v>
      </c>
      <c r="H9" s="28" t="str">
        <f>'Copy of INCEXC A'!E9</f>
        <v>Include</v>
      </c>
      <c r="I9" s="28" t="str">
        <f>'Copy of INCEXC B'!E9</f>
        <v>Include</v>
      </c>
      <c r="J9" s="28" t="b">
        <f t="shared" si="2"/>
        <v>1</v>
      </c>
      <c r="K9" s="28" t="b">
        <f t="shared" si="3"/>
        <v>1</v>
      </c>
    </row>
    <row r="10" hidden="1">
      <c r="A10" s="35" t="str">
        <f>'Copy of INCEXC A'!A10</f>
        <v>https://ieeexplore.ieee.org/stamp/stamp.jsp?arnumber=11334577</v>
      </c>
      <c r="B10" s="35" t="str">
        <f>'Copy of INCEXC B'!A10</f>
        <v>https://ieeexplore.ieee.org/stamp/stamp.jsp?arnumber=11334577</v>
      </c>
      <c r="C10" s="28" t="b">
        <f t="shared" si="1"/>
        <v>1</v>
      </c>
      <c r="E10" s="28" t="str">
        <f>'Copy of INCEXC A'!C10</f>
        <v>Why AI Agents Still Need You: Findings from Developer-Agent Collaborations in the Wild</v>
      </c>
      <c r="F10" s="28" t="str">
        <f>'Copy of INCEXC A'!D10</f>
        <v>Kaiser</v>
      </c>
      <c r="G10" s="28" t="str">
        <f>'Copy of INCEXC B'!D10</f>
        <v>Taylor</v>
      </c>
      <c r="H10" s="28" t="str">
        <f>'Copy of INCEXC A'!E10</f>
        <v>Exclude</v>
      </c>
      <c r="I10" s="28" t="str">
        <f>'Copy of INCEXC B'!E10</f>
        <v>Include</v>
      </c>
      <c r="J10" s="28" t="b">
        <f t="shared" si="2"/>
        <v>0</v>
      </c>
      <c r="K10" s="28" t="b">
        <f t="shared" si="3"/>
        <v>0</v>
      </c>
    </row>
    <row r="11" hidden="1">
      <c r="A11" s="35" t="str">
        <f>'Copy of INCEXC A'!A11</f>
        <v>https://ieeexplore.ieee.org/stamp/stamp.jsp?arnumber=9381292</v>
      </c>
      <c r="B11" s="35" t="str">
        <f>'Copy of INCEXC B'!A11</f>
        <v>https://doi.org/10.1109/ASONAM49781.2020.9381292</v>
      </c>
      <c r="C11" s="28" t="b">
        <f t="shared" si="1"/>
        <v>0</v>
      </c>
      <c r="E11" s="28" t="str">
        <f>'Copy of INCEXC A'!C11</f>
        <v>Aspect Based Abusive Sentiment Detection in Nepali Social Media Texts</v>
      </c>
      <c r="F11" s="28" t="str">
        <f>'Copy of INCEXC A'!D11</f>
        <v>Jonathan</v>
      </c>
      <c r="G11" s="28" t="str">
        <f>'Copy of INCEXC B'!D11</f>
        <v>Danni</v>
      </c>
      <c r="H11" s="28" t="str">
        <f>'Copy of INCEXC A'!E11</f>
        <v/>
      </c>
      <c r="I11" s="28" t="str">
        <f>'Copy of INCEXC B'!E11</f>
        <v>Exclude</v>
      </c>
      <c r="J11" s="28" t="b">
        <f t="shared" si="2"/>
        <v>0</v>
      </c>
      <c r="K11" s="28" t="b">
        <f t="shared" si="3"/>
        <v>0</v>
      </c>
    </row>
    <row r="12" hidden="1">
      <c r="A12" s="35" t="str">
        <f>'Copy of INCEXC A'!A12</f>
        <v>https://doi.org/10.1109/ASONAM49781.2020.9381292</v>
      </c>
      <c r="B12" s="35" t="str">
        <f>'Copy of INCEXC B'!A12</f>
        <v>https://ieeexplore.ieee.org/stamp/stamp.jsp?arnumber=9381292</v>
      </c>
      <c r="C12" s="28" t="b">
        <f t="shared" si="1"/>
        <v>0</v>
      </c>
      <c r="E12" s="28" t="str">
        <f>'Copy of INCEXC A'!C12</f>
        <v>Aspect based abusive sentiment detection in nepali social media texts</v>
      </c>
      <c r="F12" s="28" t="str">
        <f>'Copy of INCEXC A'!D12</f>
        <v>Marilyn</v>
      </c>
      <c r="G12" s="28" t="str">
        <f>'Copy of INCEXC B'!D12</f>
        <v>Taylor</v>
      </c>
      <c r="H12" s="28" t="str">
        <f>'Copy of INCEXC A'!E12</f>
        <v>Exclude</v>
      </c>
      <c r="I12" s="28" t="str">
        <f>'Copy of INCEXC B'!E12</f>
        <v>Exclude</v>
      </c>
      <c r="J12" s="28" t="b">
        <f t="shared" si="2"/>
        <v>1</v>
      </c>
      <c r="K12" s="28" t="b">
        <f t="shared" si="3"/>
        <v>0</v>
      </c>
    </row>
    <row r="13">
      <c r="A13" s="35" t="str">
        <f>'Copy of INCEXC A'!A13</f>
        <v>https://ieeexplore.ieee.org/stamp/stamp.jsp?arnumber=10825538</v>
      </c>
      <c r="B13" s="35" t="str">
        <f>'Copy of INCEXC B'!A13</f>
        <v>https://ieeexplore.ieee.org/stamp/stamp.jsp?arnumber=10825538</v>
      </c>
      <c r="C13" s="28" t="b">
        <f t="shared" si="1"/>
        <v>1</v>
      </c>
      <c r="D13" s="28" t="str">
        <f>'INCEXC A'!B6</f>
        <v>10.1109/47.735370</v>
      </c>
      <c r="E13" s="28" t="str">
        <f>'Copy of INCEXC A'!C13</f>
        <v>Mitigating Sycophancy in Large Language Models via Direct Preference Optimization</v>
      </c>
      <c r="F13" s="28" t="str">
        <f>'Copy of INCEXC A'!D13</f>
        <v>Kaiser</v>
      </c>
      <c r="G13" s="28" t="str">
        <f>'Copy of INCEXC B'!D13</f>
        <v>Taylor</v>
      </c>
      <c r="H13" s="28" t="str">
        <f>'Copy of INCEXC A'!E13</f>
        <v>Include</v>
      </c>
      <c r="I13" s="28" t="str">
        <f>'Copy of INCEXC B'!E13</f>
        <v>Include</v>
      </c>
      <c r="J13" s="28" t="b">
        <f t="shared" si="2"/>
        <v>1</v>
      </c>
      <c r="K13" s="28" t="b">
        <f t="shared" si="3"/>
        <v>1</v>
      </c>
    </row>
    <row r="14" hidden="1">
      <c r="A14" s="35" t="str">
        <f>'Copy of INCEXC A'!A14</f>
        <v>https://ieeexplore.ieee.org/stamp/stamp.jsp?arnumber=11400739</v>
      </c>
      <c r="B14" s="35" t="str">
        <f>'Copy of INCEXC B'!A14</f>
        <v>https://ieeexplore.ieee.org/stamp/stamp.jsp?arnumber=11400739</v>
      </c>
      <c r="C14" s="28" t="b">
        <f t="shared" si="1"/>
        <v>1</v>
      </c>
      <c r="E14" s="28" t="str">
        <f>'Copy of INCEXC A'!C14</f>
        <v>Towards Uncertainty-Aware Low-Bit Quantized LLMs for On-Device Inference</v>
      </c>
      <c r="F14" s="28" t="str">
        <f>'Copy of INCEXC A'!D14</f>
        <v>Kaiser</v>
      </c>
      <c r="G14" s="28" t="str">
        <f>'Copy of INCEXC B'!D14</f>
        <v>Ceren</v>
      </c>
      <c r="H14" s="28" t="str">
        <f>'Copy of INCEXC A'!E14</f>
        <v>Exclude</v>
      </c>
      <c r="I14" s="28" t="str">
        <f>'Copy of INCEXC B'!E14</f>
        <v/>
      </c>
      <c r="J14" s="28" t="b">
        <f t="shared" si="2"/>
        <v>0</v>
      </c>
      <c r="K14" s="28" t="b">
        <f t="shared" si="3"/>
        <v>0</v>
      </c>
    </row>
    <row r="15" hidden="1">
      <c r="A15" s="35" t="str">
        <f>'Copy of INCEXC A'!A15</f>
        <v>https://doi.org/10.1109/CCGrid.2012.84</v>
      </c>
      <c r="B15" s="35" t="str">
        <f>'Copy of INCEXC B'!A15</f>
        <v>https://doi.org/10.1109/CCGrid.2012.84</v>
      </c>
      <c r="C15" s="28" t="b">
        <f t="shared" si="1"/>
        <v>1</v>
      </c>
      <c r="E15" s="28" t="str">
        <f>'Copy of INCEXC A'!C15</f>
        <v>Energy- and Cost-Efficiency Analysis of ARM-Based Clusters</v>
      </c>
      <c r="F15" s="28" t="str">
        <f>'Copy of INCEXC A'!D15</f>
        <v>Marilyn</v>
      </c>
      <c r="G15" s="28" t="str">
        <f>'Copy of INCEXC B'!D15</f>
        <v>Ceren</v>
      </c>
      <c r="H15" s="28" t="str">
        <f>'Copy of INCEXC A'!E15</f>
        <v>Exclude</v>
      </c>
      <c r="I15" s="28" t="str">
        <f>'Copy of INCEXC B'!E15</f>
        <v/>
      </c>
      <c r="J15" s="28" t="b">
        <f t="shared" si="2"/>
        <v>0</v>
      </c>
      <c r="K15" s="28" t="b">
        <f t="shared" si="3"/>
        <v>0</v>
      </c>
    </row>
    <row r="16" hidden="1">
      <c r="A16" s="35" t="str">
        <f>'Copy of INCEXC A'!A16</f>
        <v>https://doi.org/10.1109/CCGrid.2015.115</v>
      </c>
      <c r="B16" s="35" t="str">
        <f>'Copy of INCEXC B'!A16</f>
        <v>https://doi.org/10.1109/CCGrid.2015.115</v>
      </c>
      <c r="C16" s="28" t="b">
        <f t="shared" si="1"/>
        <v>1</v>
      </c>
      <c r="E16" s="28" t="str">
        <f>'Copy of INCEXC A'!C16</f>
        <v>Quantitative musings on the feasibility of smartphone clouds</v>
      </c>
      <c r="F16" s="28" t="str">
        <f>'Copy of INCEXC A'!D16</f>
        <v>Jonathan</v>
      </c>
      <c r="G16" s="28" t="str">
        <f>'Copy of INCEXC B'!D16</f>
        <v>Taylor</v>
      </c>
      <c r="H16" s="28" t="str">
        <f>'Copy of INCEXC A'!E16</f>
        <v/>
      </c>
      <c r="I16" s="28" t="str">
        <f>'Copy of INCEXC B'!E16</f>
        <v>Exclude</v>
      </c>
      <c r="J16" s="28" t="b">
        <f t="shared" si="2"/>
        <v>0</v>
      </c>
      <c r="K16" s="28" t="b">
        <f t="shared" si="3"/>
        <v>0</v>
      </c>
    </row>
    <row r="17" hidden="1">
      <c r="A17" s="35" t="str">
        <f>'Copy of INCEXC A'!A17</f>
        <v>https://doi.org/10.1109/CCGrid.2015.150</v>
      </c>
      <c r="B17" s="35" t="str">
        <f>'Copy of INCEXC B'!A17</f>
        <v>https://doi.org/10.1109/CCGrid.2015.150</v>
      </c>
      <c r="C17" s="28" t="b">
        <f t="shared" si="1"/>
        <v>1</v>
      </c>
      <c r="E17" s="28" t="str">
        <f>'Copy of INCEXC A'!C17</f>
        <v>Deferred lightweight indexing for log-structured key-value stores</v>
      </c>
      <c r="F17" s="28" t="str">
        <f>'Copy of INCEXC A'!D17</f>
        <v>Jonathan</v>
      </c>
      <c r="G17" s="28" t="str">
        <f>'Copy of INCEXC B'!D17</f>
        <v>Danni</v>
      </c>
      <c r="H17" s="28" t="str">
        <f>'Copy of INCEXC A'!E17</f>
        <v/>
      </c>
      <c r="I17" s="28" t="str">
        <f>'Copy of INCEXC B'!E17</f>
        <v>Exclude</v>
      </c>
      <c r="J17" s="28" t="b">
        <f t="shared" si="2"/>
        <v>0</v>
      </c>
      <c r="K17" s="28" t="b">
        <f t="shared" si="3"/>
        <v>0</v>
      </c>
    </row>
    <row r="18" hidden="1">
      <c r="A18" s="35" t="str">
        <f>'Copy of INCEXC A'!A18</f>
        <v>https://doi.org/10.1109/CCGRID.2017.49</v>
      </c>
      <c r="B18" s="35" t="str">
        <f>'Copy of INCEXC B'!A18</f>
        <v>https://doi.org/10.1109/CCGRID.2017.49</v>
      </c>
      <c r="C18" s="28" t="b">
        <f t="shared" si="1"/>
        <v>1</v>
      </c>
      <c r="E18" s="28" t="str">
        <f>'Copy of INCEXC A'!C18</f>
        <v>High-Performance Key-Value Store On OpenSHMEM</v>
      </c>
      <c r="F18" s="28" t="str">
        <f>'Copy of INCEXC A'!D18</f>
        <v>Kaiser</v>
      </c>
      <c r="G18" s="28" t="str">
        <f>'Copy of INCEXC B'!D18</f>
        <v>Taylor</v>
      </c>
      <c r="H18" s="28" t="str">
        <f>'Copy of INCEXC A'!E18</f>
        <v>Exclude</v>
      </c>
      <c r="I18" s="28" t="str">
        <f>'Copy of INCEXC B'!E18</f>
        <v>Exclude</v>
      </c>
      <c r="J18" s="28" t="b">
        <f t="shared" si="2"/>
        <v>1</v>
      </c>
      <c r="K18" s="28" t="b">
        <f t="shared" si="3"/>
        <v>0</v>
      </c>
    </row>
    <row r="19" hidden="1">
      <c r="A19" s="35" t="str">
        <f>'Copy of INCEXC A'!A19</f>
        <v>https://ieeexplore.ieee.org/stamp/stamp.jsp?arnumber=1554950</v>
      </c>
      <c r="B19" s="35" t="str">
        <f>'Copy of INCEXC B'!A19</f>
        <v>https://ieeexplore.ieee.org/stamp/stamp.jsp?arnumber=1554950</v>
      </c>
      <c r="C19" s="28" t="b">
        <f t="shared" si="1"/>
        <v>1</v>
      </c>
      <c r="E19" s="28" t="str">
        <f>'Copy of INCEXC A'!C19</f>
        <v>Learning classifier systems for user context learning</v>
      </c>
      <c r="F19" s="28" t="str">
        <f>'Copy of INCEXC A'!D19</f>
        <v>Jonathan</v>
      </c>
      <c r="G19" s="28" t="str">
        <f>'Copy of INCEXC B'!D19</f>
        <v>Taylor</v>
      </c>
      <c r="H19" s="28" t="str">
        <f>'Copy of INCEXC A'!E19</f>
        <v/>
      </c>
      <c r="I19" s="28" t="str">
        <f>'Copy of INCEXC B'!E19</f>
        <v>Exclude</v>
      </c>
      <c r="J19" s="28" t="b">
        <f t="shared" si="2"/>
        <v>0</v>
      </c>
      <c r="K19" s="28" t="b">
        <f t="shared" si="3"/>
        <v>0</v>
      </c>
    </row>
    <row r="20" hidden="1">
      <c r="A20" s="35" t="str">
        <f>'Copy of INCEXC A'!A20</f>
        <v>https://ieeexplore.ieee.org/stamp/stamp.jsp?arnumber=11519295</v>
      </c>
      <c r="B20" s="35" t="str">
        <f>'Copy of INCEXC B'!A20</f>
        <v>https://ieeexplore.ieee.org/stamp/stamp.jsp?arnumber=11519295</v>
      </c>
      <c r="C20" s="28" t="b">
        <f t="shared" si="1"/>
        <v>1</v>
      </c>
      <c r="E20" s="28" t="str">
        <f>'Copy of INCEXC A'!C20</f>
        <v>PI-Embedding: Scientific Idea Representation Learning via Citation Intent and Paper Provenance</v>
      </c>
      <c r="F20" s="28" t="str">
        <f>'Copy of INCEXC A'!D20</f>
        <v>Jonathan</v>
      </c>
      <c r="G20" s="28" t="str">
        <f>'Copy of INCEXC B'!D20</f>
        <v>Ceren</v>
      </c>
      <c r="H20" s="28" t="str">
        <f>'Copy of INCEXC A'!E20</f>
        <v/>
      </c>
      <c r="I20" s="28" t="str">
        <f>'Copy of INCEXC B'!E20</f>
        <v/>
      </c>
      <c r="J20" s="28" t="b">
        <f t="shared" si="2"/>
        <v>1</v>
      </c>
      <c r="K20" s="28" t="b">
        <f t="shared" si="3"/>
        <v>0</v>
      </c>
    </row>
    <row r="21" hidden="1">
      <c r="A21" s="35" t="str">
        <f>'Copy of INCEXC A'!A21</f>
        <v>https://ieeexplore.ieee.org/stamp/stamp.jsp?arnumber=10585495</v>
      </c>
      <c r="B21" s="35" t="str">
        <f>'Copy of INCEXC B'!A21</f>
        <v>https://ieeexplore.ieee.org/stamp/stamp.jsp?arnumber=10585495</v>
      </c>
      <c r="C21" s="28" t="b">
        <f t="shared" si="1"/>
        <v>1</v>
      </c>
      <c r="E21" s="28" t="str">
        <f>'Copy of INCEXC A'!C21</f>
        <v>Leveraging Large Language Models for Enhanced VR Development: Insights and Challenges</v>
      </c>
      <c r="F21" s="28" t="str">
        <f>'Copy of INCEXC A'!D21</f>
        <v>Marilyn</v>
      </c>
      <c r="G21" s="28" t="str">
        <f>'Copy of INCEXC B'!D21</f>
        <v>Taylor</v>
      </c>
      <c r="H21" s="28" t="str">
        <f>'Copy of INCEXC A'!E21</f>
        <v>Exclude</v>
      </c>
      <c r="I21" s="28" t="str">
        <f>'Copy of INCEXC B'!E21</f>
        <v>Exclude</v>
      </c>
      <c r="J21" s="28" t="b">
        <f t="shared" si="2"/>
        <v>1</v>
      </c>
      <c r="K21" s="28" t="b">
        <f t="shared" si="3"/>
        <v>0</v>
      </c>
    </row>
    <row r="22" hidden="1">
      <c r="A22" s="35" t="str">
        <f>'Copy of INCEXC A'!A22</f>
        <v>https://ieeexplore.ieee.org/stamp/stamp.jsp?arnumber=10590666</v>
      </c>
      <c r="B22" s="35" t="str">
        <f>'Copy of INCEXC B'!A22</f>
        <v>https://ieeexplore.ieee.org/stamp/stamp.jsp?arnumber=10590666</v>
      </c>
      <c r="C22" s="28" t="b">
        <f t="shared" si="1"/>
        <v>1</v>
      </c>
      <c r="E22" s="28" t="str">
        <f>'Copy of INCEXC A'!C22</f>
        <v>Studying the Knowledge and Behavior of ChatGPT via Journey to the West</v>
      </c>
      <c r="F22" s="28" t="str">
        <f>'Copy of INCEXC A'!D22</f>
        <v>Marilyn</v>
      </c>
      <c r="G22" s="28" t="str">
        <f>'Copy of INCEXC B'!D22</f>
        <v>Ceren</v>
      </c>
      <c r="H22" s="28" t="str">
        <f>'Copy of INCEXC A'!E22</f>
        <v>Exclude</v>
      </c>
      <c r="I22" s="28" t="str">
        <f>'Copy of INCEXC B'!E22</f>
        <v/>
      </c>
      <c r="J22" s="28" t="b">
        <f t="shared" si="2"/>
        <v>0</v>
      </c>
      <c r="K22" s="28" t="b">
        <f t="shared" si="3"/>
        <v>0</v>
      </c>
    </row>
    <row r="23" hidden="1">
      <c r="A23" s="35" t="str">
        <f>'Copy of INCEXC A'!A23</f>
        <v>https://ieeexplore.ieee.org/stamp/stamp.jsp?arnumber=11508939</v>
      </c>
      <c r="B23" s="35" t="str">
        <f>'Copy of INCEXC B'!A23</f>
        <v>https://ieeexplore.ieee.org/stamp/stamp.jsp?arnumber=11508939</v>
      </c>
      <c r="C23" s="28" t="b">
        <f t="shared" si="1"/>
        <v>1</v>
      </c>
      <c r="E23" s="28" t="str">
        <f>'Copy of INCEXC A'!C23</f>
        <v>Tiny-Critic RAG: Empowering Agentic Fallback with Parameter-Efficient Small Language Models</v>
      </c>
      <c r="F23" s="28" t="str">
        <f>'Copy of INCEXC A'!D23</f>
        <v>Jonathan</v>
      </c>
      <c r="G23" s="28" t="str">
        <f>'Copy of INCEXC B'!D23</f>
        <v>Taylor</v>
      </c>
      <c r="H23" s="28" t="str">
        <f>'Copy of INCEXC A'!E23</f>
        <v/>
      </c>
      <c r="I23" s="28" t="str">
        <f>'Copy of INCEXC B'!E23</f>
        <v>Exclude</v>
      </c>
      <c r="J23" s="28" t="b">
        <f t="shared" si="2"/>
        <v>0</v>
      </c>
      <c r="K23" s="28" t="b">
        <f t="shared" si="3"/>
        <v>0</v>
      </c>
    </row>
    <row r="24" hidden="1">
      <c r="A24" s="35" t="str">
        <f>'Copy of INCEXC A'!A24</f>
        <v>https://ieeexplore.ieee.org/stamp/stamp.jsp?arnumber=11460702</v>
      </c>
      <c r="B24" s="35" t="str">
        <f>'Copy of INCEXC B'!A24</f>
        <v>https://ieeexplore.ieee.org/stamp/stamp.jsp?arnumber=11460702</v>
      </c>
      <c r="C24" s="28" t="b">
        <f t="shared" si="1"/>
        <v>1</v>
      </c>
      <c r="E24" s="28" t="str">
        <f>'Copy of INCEXC A'!C24</f>
        <v>Towards Self-Evaluation of Sycophantic Hallucinations in Mathematical Reasoning</v>
      </c>
      <c r="F24" s="28" t="str">
        <f>'Copy of INCEXC A'!D24</f>
        <v>Jonathan</v>
      </c>
      <c r="G24" s="28" t="str">
        <f>'Copy of INCEXC B'!D24</f>
        <v>Danni</v>
      </c>
      <c r="H24" s="28" t="str">
        <f>'Copy of INCEXC A'!E24</f>
        <v/>
      </c>
      <c r="I24" s="28" t="str">
        <f>'Copy of INCEXC B'!E24</f>
        <v>Include</v>
      </c>
      <c r="J24" s="28" t="b">
        <f t="shared" si="2"/>
        <v>0</v>
      </c>
      <c r="K24" s="28" t="b">
        <f t="shared" si="3"/>
        <v>0</v>
      </c>
    </row>
    <row r="25" hidden="1">
      <c r="A25" s="35" t="str">
        <f>'Copy of INCEXC A'!A25</f>
        <v>https://ieeexplore.ieee.org/stamp/stamp.jsp?arnumber=11462217</v>
      </c>
      <c r="B25" s="35" t="str">
        <f>'Copy of INCEXC B'!A25</f>
        <v>https://ieeexplore.ieee.org/stamp/stamp.jsp?arnumber=11462217</v>
      </c>
      <c r="C25" s="28" t="b">
        <f t="shared" si="1"/>
        <v>1</v>
      </c>
      <c r="E25" s="28" t="str">
        <f>'Copy of INCEXC A'!C25</f>
        <v>FinLumen: A Game-Theoretic Multi-Agent Framework for Rational Portfolio Management</v>
      </c>
      <c r="F25" s="28" t="str">
        <f>'Copy of INCEXC A'!D25</f>
        <v>Kaiser</v>
      </c>
      <c r="G25" s="28" t="str">
        <f>'Copy of INCEXC B'!D25</f>
        <v>Ceren</v>
      </c>
      <c r="H25" s="28" t="str">
        <f>'Copy of INCEXC A'!E25</f>
        <v>Exclude</v>
      </c>
      <c r="I25" s="28" t="str">
        <f>'Copy of INCEXC B'!E25</f>
        <v/>
      </c>
      <c r="J25" s="28" t="b">
        <f t="shared" si="2"/>
        <v>0</v>
      </c>
      <c r="K25" s="28" t="b">
        <f t="shared" si="3"/>
        <v>0</v>
      </c>
    </row>
    <row r="26" hidden="1">
      <c r="A26" s="35" t="str">
        <f>'Copy of INCEXC A'!A26</f>
        <v>https://ieeexplore.ieee.org/stamp/stamp.jsp?arnumber=5409737</v>
      </c>
      <c r="B26" s="35" t="str">
        <f>'Copy of INCEXC B'!A26</f>
        <v>https://ieeexplore.ieee.org/stamp/stamp.jsp?arnumber=5409737</v>
      </c>
      <c r="C26" s="28" t="b">
        <f t="shared" si="1"/>
        <v>1</v>
      </c>
      <c r="E26" s="28" t="str">
        <f>'Copy of INCEXC A'!C26</f>
        <v>Tracking a Sycophant Wireless Sensor Network for its seamless integration to mobile Wireless Sensor Networks</v>
      </c>
      <c r="F26" s="28" t="str">
        <f>'Copy of INCEXC A'!D26</f>
        <v>Kaiser</v>
      </c>
      <c r="G26" s="28" t="str">
        <f>'Copy of INCEXC B'!D26</f>
        <v>Danni</v>
      </c>
      <c r="H26" s="28" t="str">
        <f>'Copy of INCEXC A'!E26</f>
        <v>Exclude</v>
      </c>
      <c r="I26" s="28" t="str">
        <f>'Copy of INCEXC B'!E26</f>
        <v>Exclude</v>
      </c>
      <c r="J26" s="28" t="b">
        <f t="shared" si="2"/>
        <v>1</v>
      </c>
      <c r="K26" s="28" t="b">
        <f t="shared" si="3"/>
        <v>0</v>
      </c>
    </row>
    <row r="27" hidden="1">
      <c r="A27" s="35" t="str">
        <f>'Copy of INCEXC A'!A27</f>
        <v>https://ieeexplore.ieee.org/stamp/stamp.jsp?arnumber=6056911</v>
      </c>
      <c r="B27" s="35" t="str">
        <f>'Copy of INCEXC B'!A27</f>
        <v>https://ieeexplore.ieee.org/stamp/stamp.jsp?arnumber=6056911</v>
      </c>
      <c r="C27" s="28" t="b">
        <f t="shared" si="1"/>
        <v>1</v>
      </c>
      <c r="E27" s="28" t="str">
        <f>'Copy of INCEXC A'!C27</f>
        <v>Cohesive subgroups analysis of asynchronous cognitive interactive network in collaborative learning</v>
      </c>
      <c r="F27" s="28" t="str">
        <f>'Copy of INCEXC A'!D27</f>
        <v>Jonathan</v>
      </c>
      <c r="G27" s="28" t="str">
        <f>'Copy of INCEXC B'!D27</f>
        <v>Danni</v>
      </c>
      <c r="H27" s="28" t="str">
        <f>'Copy of INCEXC A'!E27</f>
        <v/>
      </c>
      <c r="I27" s="28" t="str">
        <f>'Copy of INCEXC B'!E27</f>
        <v>Exclude</v>
      </c>
      <c r="J27" s="28" t="b">
        <f t="shared" si="2"/>
        <v>0</v>
      </c>
      <c r="K27" s="28" t="b">
        <f t="shared" si="3"/>
        <v>0</v>
      </c>
    </row>
    <row r="28" hidden="1">
      <c r="A28" s="35" t="str">
        <f>'Copy of INCEXC A'!A28</f>
        <v>https://ieeexplore.ieee.org/stamp/stamp.jsp?arnumber=11521627</v>
      </c>
      <c r="B28" s="35" t="str">
        <f>'Copy of INCEXC B'!A28</f>
        <v>https://ieeexplore.ieee.org/stamp/stamp.jsp?arnumber=11521627</v>
      </c>
      <c r="C28" s="28" t="b">
        <f t="shared" si="1"/>
        <v>1</v>
      </c>
      <c r="E28" s="28" t="str">
        <f>'Copy of INCEXC A'!C28</f>
        <v>The design of a GAI-supported research topic selection system for novice researchers: From the SECI perspective</v>
      </c>
      <c r="F28" s="28" t="str">
        <f>'Copy of INCEXC A'!D28</f>
        <v>Marilyn</v>
      </c>
      <c r="G28" s="28" t="str">
        <f>'Copy of INCEXC B'!D28</f>
        <v>Danni</v>
      </c>
      <c r="H28" s="28" t="str">
        <f>'Copy of INCEXC A'!E28</f>
        <v>Exclude</v>
      </c>
      <c r="I28" s="28" t="str">
        <f>'Copy of INCEXC B'!E28</f>
        <v>Exclude</v>
      </c>
      <c r="J28" s="28" t="b">
        <f t="shared" si="2"/>
        <v>1</v>
      </c>
      <c r="K28" s="28" t="b">
        <f t="shared" si="3"/>
        <v>0</v>
      </c>
    </row>
    <row r="29" hidden="1">
      <c r="A29" s="35" t="str">
        <f>'Copy of INCEXC A'!A29</f>
        <v>https://ieeexplore.ieee.org/stamp/stamp.jsp?arnumber=4299963</v>
      </c>
      <c r="B29" s="35" t="str">
        <f>'Copy of INCEXC B'!A29</f>
        <v>https://ieeexplore.ieee.org/stamp/stamp.jsp?arnumber=4299963</v>
      </c>
      <c r="C29" s="28" t="b">
        <f t="shared" si="1"/>
        <v>1</v>
      </c>
      <c r="E29" s="28" t="str">
        <f>'Copy of INCEXC A'!C29</f>
        <v>Sycophant: An API for Research in Context-Aware User Interfaces</v>
      </c>
      <c r="F29" s="28" t="str">
        <f>'Copy of INCEXC A'!D29</f>
        <v>Jonathan</v>
      </c>
      <c r="G29" s="28" t="str">
        <f>'Copy of INCEXC B'!D29</f>
        <v>Danni</v>
      </c>
      <c r="H29" s="28" t="str">
        <f>'Copy of INCEXC A'!E29</f>
        <v/>
      </c>
      <c r="I29" s="28" t="str">
        <f>'Copy of INCEXC B'!E29</f>
        <v>Exclude</v>
      </c>
      <c r="J29" s="28" t="b">
        <f t="shared" si="2"/>
        <v>0</v>
      </c>
      <c r="K29" s="28" t="b">
        <f t="shared" si="3"/>
        <v>0</v>
      </c>
    </row>
    <row r="30" hidden="1">
      <c r="A30" s="35" t="str">
        <f>'Copy of INCEXC A'!A30</f>
        <v>https://ieeexplore.ieee.org/stamp/stamp.jsp?arnumber=1431446</v>
      </c>
      <c r="B30" s="35" t="str">
        <f>'Copy of INCEXC B'!A30</f>
        <v>https://ieeexplore.ieee.org/stamp/stamp.jsp?arnumber=1431446</v>
      </c>
      <c r="C30" s="28" t="b">
        <f t="shared" si="1"/>
        <v>1</v>
      </c>
      <c r="E30" s="28" t="str">
        <f>'Copy of INCEXC A'!C30</f>
        <v>Context learning can improve user interaction</v>
      </c>
      <c r="F30" s="28" t="str">
        <f>'Copy of INCEXC A'!D30</f>
        <v>Kaiser</v>
      </c>
      <c r="G30" s="28" t="str">
        <f>'Copy of INCEXC B'!D30</f>
        <v>Danni</v>
      </c>
      <c r="H30" s="28" t="str">
        <f>'Copy of INCEXC A'!E30</f>
        <v>Exclude</v>
      </c>
      <c r="I30" s="28" t="str">
        <f>'Copy of INCEXC B'!E30</f>
        <v>Exclude</v>
      </c>
      <c r="J30" s="28" t="b">
        <f t="shared" si="2"/>
        <v>1</v>
      </c>
      <c r="K30" s="28" t="b">
        <f t="shared" si="3"/>
        <v>0</v>
      </c>
    </row>
    <row r="31" hidden="1">
      <c r="A31" s="35" t="str">
        <f>'Copy of INCEXC A'!A31</f>
        <v>https://doi.org/10.1109/ISCA.2016.15</v>
      </c>
      <c r="B31" s="35" t="str">
        <f>'Copy of INCEXC B'!A31</f>
        <v>https://doi.org/10.1109/ISCA.2016.15</v>
      </c>
      <c r="C31" s="28" t="b">
        <f t="shared" si="1"/>
        <v>1</v>
      </c>
      <c r="E31" s="28" t="str">
        <f>'Copy of INCEXC A'!C31</f>
        <v>Morpheus: creating application objects efficiently for heterogeneous computing</v>
      </c>
      <c r="F31" s="28" t="str">
        <f>'Copy of INCEXC A'!D31</f>
        <v>Marilyn</v>
      </c>
      <c r="G31" s="28" t="str">
        <f>'Copy of INCEXC B'!D31</f>
        <v>Danni</v>
      </c>
      <c r="H31" s="28" t="str">
        <f>'Copy of INCEXC A'!E31</f>
        <v>Exclude</v>
      </c>
      <c r="I31" s="28" t="str">
        <f>'Copy of INCEXC B'!E31</f>
        <v>Exclude</v>
      </c>
      <c r="J31" s="28" t="b">
        <f t="shared" si="2"/>
        <v>1</v>
      </c>
      <c r="K31" s="28" t="b">
        <f t="shared" si="3"/>
        <v>0</v>
      </c>
    </row>
    <row r="32" hidden="1">
      <c r="A32" s="35" t="str">
        <f>'Copy of INCEXC A'!A32</f>
        <v>https://ieeexplore.ieee.org/stamp/stamp.jsp?arnumber=11269633</v>
      </c>
      <c r="B32" s="35" t="str">
        <f>'Copy of INCEXC B'!A32</f>
        <v>https://ieeexplore.ieee.org/stamp/stamp.jsp?arnumber=11269633</v>
      </c>
      <c r="C32" s="28" t="b">
        <f t="shared" si="1"/>
        <v>1</v>
      </c>
      <c r="E32" s="28" t="str">
        <f>'Copy of INCEXC A'!C32</f>
        <v>AI Detection and Risk Estimation in Family Violence: Challenges and Governance</v>
      </c>
      <c r="F32" s="28" t="str">
        <f>'Copy of INCEXC A'!D32</f>
        <v>Marilyn</v>
      </c>
      <c r="G32" s="28" t="str">
        <f>'Copy of INCEXC B'!D32</f>
        <v>Danni</v>
      </c>
      <c r="H32" s="28" t="str">
        <f>'Copy of INCEXC A'!E32</f>
        <v>Exclude</v>
      </c>
      <c r="I32" s="28" t="str">
        <f>'Copy of INCEXC B'!E32</f>
        <v>Exclude</v>
      </c>
      <c r="J32" s="28" t="b">
        <f t="shared" si="2"/>
        <v>1</v>
      </c>
      <c r="K32" s="28" t="b">
        <f t="shared" si="3"/>
        <v>0</v>
      </c>
    </row>
    <row r="33" hidden="1">
      <c r="A33" s="35" t="str">
        <f>'Copy of INCEXC A'!A33</f>
        <v>https://ieeexplore.ieee.org/stamp/stamp.jsp?arnumber=4580542</v>
      </c>
      <c r="B33" s="35" t="str">
        <f>'Copy of INCEXC B'!A33</f>
        <v>https://ieeexplore.ieee.org/stamp/stamp.jsp?arnumber=4580542</v>
      </c>
      <c r="C33" s="28" t="b">
        <f t="shared" si="1"/>
        <v>1</v>
      </c>
      <c r="E33" s="28" t="str">
        <f>'Copy of INCEXC A'!C33</f>
        <v>A Computational Approach to Etiquette: Operationalizing Brown and Levinson's Politeness Model</v>
      </c>
      <c r="F33" s="28" t="str">
        <f>'Copy of INCEXC A'!D33</f>
        <v>Kaiser</v>
      </c>
      <c r="G33" s="28" t="str">
        <f>'Copy of INCEXC B'!D33</f>
        <v>Danni</v>
      </c>
      <c r="H33" s="28" t="str">
        <f>'Copy of INCEXC A'!E33</f>
        <v>Exclude</v>
      </c>
      <c r="I33" s="28" t="str">
        <f>'Copy of INCEXC B'!E33</f>
        <v>Exclude</v>
      </c>
      <c r="J33" s="28" t="b">
        <f t="shared" si="2"/>
        <v>1</v>
      </c>
      <c r="K33" s="28" t="b">
        <f t="shared" si="3"/>
        <v>0</v>
      </c>
    </row>
    <row r="34" hidden="1">
      <c r="A34" s="35" t="str">
        <f>'Copy of INCEXC A'!A34</f>
        <v>https://ieeexplore.ieee.org/stamp/stamp.jsp?arnumber=11345775</v>
      </c>
      <c r="B34" s="35" t="str">
        <f>'Copy of INCEXC B'!A34</f>
        <v>https://ieeexplore.ieee.org/stamp/stamp.jsp?arnumber=11345775</v>
      </c>
      <c r="C34" s="28" t="b">
        <f t="shared" si="1"/>
        <v>1</v>
      </c>
      <c r="E34" s="28" t="str">
        <f>'Copy of INCEXC A'!C34</f>
        <v>Improving Argumentative Reasoning in LLMs Using Online Debates and Agent-Based Interaction</v>
      </c>
      <c r="F34" s="28" t="str">
        <f>'Copy of INCEXC A'!D34</f>
        <v>Jonathan</v>
      </c>
      <c r="G34" s="28" t="str">
        <f>'Copy of INCEXC B'!D34</f>
        <v>Danni</v>
      </c>
      <c r="H34" s="28" t="str">
        <f>'Copy of INCEXC A'!E34</f>
        <v/>
      </c>
      <c r="I34" s="28" t="str">
        <f>'Copy of INCEXC B'!E34</f>
        <v>Exclude</v>
      </c>
      <c r="J34" s="28" t="b">
        <f t="shared" si="2"/>
        <v>0</v>
      </c>
      <c r="K34" s="28" t="b">
        <f t="shared" si="3"/>
        <v>0</v>
      </c>
    </row>
    <row r="35" hidden="1">
      <c r="A35" s="35" t="str">
        <f>'Copy of INCEXC A'!A35</f>
        <v>https://ieeexplore.ieee.org/stamp/stamp.jsp?arnumber=11037824</v>
      </c>
      <c r="B35" s="35" t="str">
        <f>'Copy of INCEXC B'!A35</f>
        <v>https://ieeexplore.ieee.org/stamp/stamp.jsp?arnumber=11037824</v>
      </c>
      <c r="C35" s="28" t="b">
        <f t="shared" si="1"/>
        <v>1</v>
      </c>
      <c r="E35" s="28" t="str">
        <f>'Copy of INCEXC A'!C35</f>
        <v>LLMs on a Budget: System-Level Approaches to Power-Efficient and Scalable Fine-Tuning</v>
      </c>
      <c r="F35" s="28" t="str">
        <f>'Copy of INCEXC A'!D35</f>
        <v>Kaiser</v>
      </c>
      <c r="G35" s="28" t="str">
        <f>'Copy of INCEXC B'!D35</f>
        <v>Ceren</v>
      </c>
      <c r="H35" s="28" t="str">
        <f>'Copy of INCEXC A'!E35</f>
        <v>Exclude</v>
      </c>
      <c r="I35" s="28" t="str">
        <f>'Copy of INCEXC B'!E35</f>
        <v/>
      </c>
      <c r="J35" s="28" t="b">
        <f t="shared" si="2"/>
        <v>0</v>
      </c>
      <c r="K35" s="28" t="b">
        <f t="shared" si="3"/>
        <v>0</v>
      </c>
    </row>
    <row r="36" hidden="1">
      <c r="A36" s="35" t="str">
        <f>'Copy of INCEXC A'!A36</f>
        <v>https://ieeexplore.ieee.org/stamp/stamp.jsp?arnumber=11424465</v>
      </c>
      <c r="B36" s="35" t="str">
        <f>'Copy of INCEXC B'!A36</f>
        <v>https://ieeexplore.ieee.org/stamp/stamp.jsp?arnumber=11424465</v>
      </c>
      <c r="C36" s="28" t="b">
        <f t="shared" si="1"/>
        <v>1</v>
      </c>
      <c r="E36" s="28" t="str">
        <f>'Copy of INCEXC A'!C36</f>
        <v>Autonomous AI-Driven FMEA Optimization For Safety And Reliability In Healthcare</v>
      </c>
      <c r="F36" s="28" t="str">
        <f>'Copy of INCEXC A'!D36</f>
        <v>Marilyn</v>
      </c>
      <c r="G36" s="28" t="str">
        <f>'Copy of INCEXC B'!D36</f>
        <v>Taylor</v>
      </c>
      <c r="H36" s="28" t="str">
        <f>'Copy of INCEXC A'!E36</f>
        <v>Exclude</v>
      </c>
      <c r="I36" s="28" t="str">
        <f>'Copy of INCEXC B'!E36</f>
        <v>Include</v>
      </c>
      <c r="J36" s="28" t="b">
        <f t="shared" si="2"/>
        <v>0</v>
      </c>
      <c r="K36" s="28" t="b">
        <f t="shared" si="3"/>
        <v>0</v>
      </c>
    </row>
    <row r="37" hidden="1">
      <c r="A37" s="35" t="str">
        <f>'Copy of INCEXC A'!A37</f>
        <v>https://doi.org/10.1109/SCW63240.2024.00017</v>
      </c>
      <c r="B37" s="35" t="str">
        <f>'Copy of INCEXC B'!A37</f>
        <v>https://doi.org/10.1109/SCW63240.2024.00017</v>
      </c>
      <c r="C37" s="28" t="b">
        <f t="shared" si="1"/>
        <v>1</v>
      </c>
      <c r="E37" s="28" t="str">
        <f>'Copy of INCEXC A'!C37</f>
        <v>SciTrust: Evaluating the Trustworthiness of Large Language Models for Science</v>
      </c>
      <c r="F37" s="28" t="str">
        <f>'Copy of INCEXC A'!D37</f>
        <v>Jonathan</v>
      </c>
      <c r="G37" s="28" t="str">
        <f>'Copy of INCEXC B'!D37</f>
        <v>Danni</v>
      </c>
      <c r="H37" s="28" t="str">
        <f>'Copy of INCEXC A'!E37</f>
        <v/>
      </c>
      <c r="I37" s="28" t="str">
        <f>'Copy of INCEXC B'!E37</f>
        <v>Include</v>
      </c>
      <c r="J37" s="28" t="b">
        <f t="shared" si="2"/>
        <v>0</v>
      </c>
      <c r="K37" s="28" t="b">
        <f t="shared" si="3"/>
        <v>0</v>
      </c>
    </row>
    <row r="38" hidden="1">
      <c r="A38" s="35" t="str">
        <f>'Copy of INCEXC A'!A38</f>
        <v>https://ieeexplore.ieee.org/stamp/stamp.jsp?arnumber=10820709</v>
      </c>
      <c r="B38" s="35" t="str">
        <f>'Copy of INCEXC B'!A38</f>
        <v>https://ieeexplore.ieee.org/stamp/stamp.jsp?arnumber=10820709</v>
      </c>
      <c r="C38" s="28" t="b">
        <f t="shared" si="1"/>
        <v>1</v>
      </c>
      <c r="E38" s="28" t="str">
        <f>'Copy of INCEXC A'!C38</f>
        <v>SciTrust: Evaluating the Trustworthiness of Large Language Models for Science</v>
      </c>
      <c r="F38" s="28" t="str">
        <f>'Copy of INCEXC A'!D38</f>
        <v>Marilyn</v>
      </c>
      <c r="G38" s="28" t="str">
        <f>'Copy of INCEXC B'!D38</f>
        <v>Ceren</v>
      </c>
      <c r="H38" s="28" t="str">
        <f>'Copy of INCEXC A'!E38</f>
        <v>Exclude</v>
      </c>
      <c r="I38" s="28" t="str">
        <f>'Copy of INCEXC B'!E38</f>
        <v/>
      </c>
      <c r="J38" s="28" t="b">
        <f t="shared" si="2"/>
        <v>0</v>
      </c>
      <c r="K38" s="28" t="b">
        <f t="shared" si="3"/>
        <v>0</v>
      </c>
    </row>
    <row r="39" hidden="1">
      <c r="A39" s="35" t="str">
        <f>'Copy of INCEXC A'!A39</f>
        <v>https://ieeexplore.ieee.org/stamp/stamp.jsp?arnumber=11531012</v>
      </c>
      <c r="B39" s="35" t="str">
        <f>'Copy of INCEXC B'!A39</f>
        <v>https://ieeexplore.ieee.org/stamp/stamp.jsp?arnumber=11531012</v>
      </c>
      <c r="C39" s="28" t="b">
        <f t="shared" si="1"/>
        <v>1</v>
      </c>
      <c r="E39" s="28" t="str">
        <f>'Copy of INCEXC A'!C39</f>
        <v>MCPXKIT: the Unified Toolkit for Analyzing Model Context Protocol Security</v>
      </c>
      <c r="F39" s="28" t="str">
        <f>'Copy of INCEXC A'!D39</f>
        <v>Kaiser</v>
      </c>
      <c r="G39" s="28" t="str">
        <f>'Copy of INCEXC B'!D39</f>
        <v>Ceren</v>
      </c>
      <c r="H39" s="28" t="str">
        <f>'Copy of INCEXC A'!E39</f>
        <v>Exclude</v>
      </c>
      <c r="I39" s="28" t="str">
        <f>'Copy of INCEXC B'!E39</f>
        <v/>
      </c>
      <c r="J39" s="28" t="b">
        <f t="shared" si="2"/>
        <v>0</v>
      </c>
      <c r="K39" s="28" t="b">
        <f t="shared" si="3"/>
        <v>0</v>
      </c>
    </row>
    <row r="40" hidden="1">
      <c r="A40" s="35" t="str">
        <f>'Copy of INCEXC A'!A40</f>
        <v>https://ieeexplore.ieee.org/stamp/stamp.jsp?arnumber=5427110</v>
      </c>
      <c r="B40" s="35" t="str">
        <f>'Copy of INCEXC B'!A40</f>
        <v>https://ieeexplore.ieee.org/stamp/stamp.jsp?arnumber=5427110</v>
      </c>
      <c r="C40" s="28" t="b">
        <f t="shared" si="1"/>
        <v>1</v>
      </c>
      <c r="E40" s="28" t="str">
        <f>'Copy of INCEXC A'!C40</f>
        <v>XCS for Personalizing Desktop Interfaces</v>
      </c>
      <c r="F40" s="28" t="str">
        <f>'Copy of INCEXC A'!D40</f>
        <v>Marilyn</v>
      </c>
      <c r="G40" s="28" t="str">
        <f>'Copy of INCEXC B'!D40</f>
        <v>Ceren</v>
      </c>
      <c r="H40" s="28" t="str">
        <f>'Copy of INCEXC A'!E40</f>
        <v>Exclude</v>
      </c>
      <c r="I40" s="28" t="str">
        <f>'Copy of INCEXC B'!E40</f>
        <v>Exclude</v>
      </c>
      <c r="J40" s="28" t="b">
        <f t="shared" si="2"/>
        <v>1</v>
      </c>
      <c r="K40" s="28" t="b">
        <f t="shared" si="3"/>
        <v>0</v>
      </c>
    </row>
    <row r="41" hidden="1">
      <c r="A41" s="35" t="str">
        <f>'Copy of INCEXC A'!A41</f>
        <v>https://doi.org/10.1109/TNET.2017.2669215</v>
      </c>
      <c r="B41" s="35" t="str">
        <f>'Copy of INCEXC B'!A41</f>
        <v>https://doi.org/10.1109/TNET.2017.2669215</v>
      </c>
      <c r="C41" s="28" t="b">
        <f t="shared" si="1"/>
        <v>1</v>
      </c>
      <c r="E41" s="28" t="str">
        <f>'Copy of INCEXC A'!C41</f>
        <v>CubicRing: Exploiting Network Proximity for Distributed In-Memory Key-Value Store</v>
      </c>
      <c r="F41" s="28" t="str">
        <f>'Copy of INCEXC A'!D41</f>
        <v>Marilyn</v>
      </c>
      <c r="G41" s="28" t="str">
        <f>'Copy of INCEXC B'!D41</f>
        <v>Ceren</v>
      </c>
      <c r="H41" s="28" t="str">
        <f>'Copy of INCEXC A'!E41</f>
        <v>Exclude</v>
      </c>
      <c r="I41" s="28" t="str">
        <f>'Copy of INCEXC B'!E41</f>
        <v>Exclude</v>
      </c>
      <c r="J41" s="28" t="b">
        <f t="shared" si="2"/>
        <v>1</v>
      </c>
      <c r="K41" s="28" t="b">
        <f t="shared" si="3"/>
        <v>0</v>
      </c>
    </row>
    <row r="42" hidden="1">
      <c r="A42" s="35" t="str">
        <f>'Copy of INCEXC A'!A42</f>
        <v>https://ieeexplore.ieee.org/stamp/stamp.jsp?arnumber=11029593</v>
      </c>
      <c r="B42" s="35" t="str">
        <f>'Copy of INCEXC B'!A42</f>
        <v>https://ieeexplore.ieee.org/stamp/stamp.jsp?arnumber=11029593</v>
      </c>
      <c r="C42" s="28" t="b">
        <f t="shared" si="1"/>
        <v>1</v>
      </c>
      <c r="E42" s="28" t="str">
        <f>'Copy of INCEXC A'!C42</f>
        <v>Emulated Empathy: Can Risks Be Countered by a Soft-Law Standard?</v>
      </c>
      <c r="F42" s="28" t="str">
        <f>'Copy of INCEXC A'!D42</f>
        <v>Marilyn</v>
      </c>
      <c r="G42" s="28" t="str">
        <f>'Copy of INCEXC B'!D42</f>
        <v>Ceren</v>
      </c>
      <c r="H42" s="28" t="str">
        <f>'Copy of INCEXC A'!E42</f>
        <v>Exclude</v>
      </c>
      <c r="I42" s="28" t="str">
        <f>'Copy of INCEXC B'!E42</f>
        <v/>
      </c>
      <c r="J42" s="28" t="b">
        <f t="shared" si="2"/>
        <v>0</v>
      </c>
      <c r="K42" s="28" t="b">
        <f t="shared" si="3"/>
        <v>0</v>
      </c>
    </row>
    <row r="43" hidden="1">
      <c r="A43" s="35" t="str">
        <f>'Copy of INCEXC A'!A43</f>
        <v>https://ieeexplore.ieee.org/stamp/stamp.jsp?arnumber=11189226</v>
      </c>
      <c r="B43" s="35" t="str">
        <f>'Copy of INCEXC B'!A43</f>
        <v>https://ieeexplore.ieee.org/stamp/stamp.jsp?arnumber=11189226</v>
      </c>
      <c r="C43" s="28" t="b">
        <f t="shared" si="1"/>
        <v>1</v>
      </c>
      <c r="E43" s="28" t="str">
        <f>'Copy of INCEXC A'!C43</f>
        <v>Hallucination in Large Language Models: From Mechanistic Understanding to Novel Control Frameworks</v>
      </c>
      <c r="F43" s="28" t="str">
        <f>'Copy of INCEXC A'!D43</f>
        <v>Marilyn</v>
      </c>
      <c r="G43" s="28" t="str">
        <f>'Copy of INCEXC B'!D43</f>
        <v>Danni</v>
      </c>
      <c r="H43" s="28" t="str">
        <f>'Copy of INCEXC A'!E43</f>
        <v>Exclude</v>
      </c>
      <c r="I43" s="28" t="str">
        <f>'Copy of INCEXC B'!E43</f>
        <v>Exclude</v>
      </c>
      <c r="J43" s="28" t="b">
        <f t="shared" si="2"/>
        <v>1</v>
      </c>
      <c r="K43" s="28" t="b">
        <f t="shared" si="3"/>
        <v>0</v>
      </c>
    </row>
    <row r="44" hidden="1">
      <c r="A44" s="35" t="str">
        <f>'Copy of INCEXC A'!A44</f>
        <v>https://doi.org/10.1145/1037911.1037917</v>
      </c>
      <c r="B44" s="35" t="str">
        <f>'Copy of INCEXC B'!A44</f>
        <v>https://doi.org/10.1145/1037911.1037917</v>
      </c>
      <c r="C44" s="28" t="b">
        <f t="shared" si="1"/>
        <v>1</v>
      </c>
      <c r="E44" s="28" t="str">
        <f>'Copy of INCEXC A'!C44</f>
        <v>Fits and starts</v>
      </c>
      <c r="F44" s="28" t="str">
        <f>'Copy of INCEXC A'!D44</f>
        <v>Marilyn</v>
      </c>
      <c r="G44" s="28" t="str">
        <f>'Copy of INCEXC B'!D44</f>
        <v>Ceren</v>
      </c>
      <c r="H44" s="28" t="str">
        <f>'Copy of INCEXC A'!E44</f>
        <v>Exclude</v>
      </c>
      <c r="I44" s="28" t="str">
        <f>'Copy of INCEXC B'!E44</f>
        <v/>
      </c>
      <c r="J44" s="28" t="b">
        <f t="shared" si="2"/>
        <v>0</v>
      </c>
      <c r="K44" s="28" t="b">
        <f t="shared" si="3"/>
        <v>0</v>
      </c>
    </row>
    <row r="45" hidden="1">
      <c r="A45" s="35" t="str">
        <f>'Copy of INCEXC A'!A45</f>
        <v>https://doi.org/10.1145/1045264.1045265</v>
      </c>
      <c r="B45" s="35" t="str">
        <f>'Copy of INCEXC B'!A45</f>
        <v>https://doi.org/10.1145/1045264.1045265</v>
      </c>
      <c r="C45" s="28" t="b">
        <f t="shared" si="1"/>
        <v>1</v>
      </c>
      <c r="E45" s="28" t="str">
        <f>'Copy of INCEXC A'!C45</f>
        <v>Computer power and human reason</v>
      </c>
      <c r="F45" s="28" t="str">
        <f>'Copy of INCEXC A'!D45</f>
        <v>Kaiser</v>
      </c>
      <c r="G45" s="28" t="str">
        <f>'Copy of INCEXC B'!D45</f>
        <v>Danni</v>
      </c>
      <c r="H45" s="28" t="str">
        <f>'Copy of INCEXC A'!E45</f>
        <v>Exclude</v>
      </c>
      <c r="I45" s="28" t="str">
        <f>'Copy of INCEXC B'!E45</f>
        <v>Exclude</v>
      </c>
      <c r="J45" s="28" t="b">
        <f t="shared" si="2"/>
        <v>1</v>
      </c>
      <c r="K45" s="28" t="b">
        <f t="shared" si="3"/>
        <v>0</v>
      </c>
    </row>
    <row r="46" hidden="1">
      <c r="A46" s="35" t="str">
        <f>'Copy of INCEXC A'!A46</f>
        <v>https://doi.org/10.1145/1088222.1088226</v>
      </c>
      <c r="B46" s="35" t="str">
        <f>'Copy of INCEXC B'!A46</f>
        <v>https://doi.org/10.1145/1088222.1088226</v>
      </c>
      <c r="C46" s="28" t="b">
        <f t="shared" si="1"/>
        <v>1</v>
      </c>
      <c r="E46" s="28" t="str">
        <f>'Copy of INCEXC A'!C46</f>
        <v>Some aspects of symbolic integration via predicate logic programming</v>
      </c>
      <c r="F46" s="28" t="str">
        <f>'Copy of INCEXC A'!D46</f>
        <v>Kaiser</v>
      </c>
      <c r="G46" s="28" t="str">
        <f>'Copy of INCEXC B'!D46</f>
        <v>Ceren</v>
      </c>
      <c r="H46" s="28" t="str">
        <f>'Copy of INCEXC A'!E46</f>
        <v>Exclude</v>
      </c>
      <c r="I46" s="28" t="str">
        <f>'Copy of INCEXC B'!E46</f>
        <v/>
      </c>
      <c r="J46" s="28" t="b">
        <f t="shared" si="2"/>
        <v>0</v>
      </c>
      <c r="K46" s="28" t="b">
        <f t="shared" si="3"/>
        <v>0</v>
      </c>
    </row>
    <row r="47" hidden="1">
      <c r="A47" s="35" t="str">
        <f>'Copy of INCEXC A'!A47</f>
        <v>https://doi.org/10.1145/1120212.1120419</v>
      </c>
      <c r="B47" s="35" t="str">
        <f>'Copy of INCEXC B'!A47</f>
        <v>https://doi.org/10.1145/1120212.1120419</v>
      </c>
      <c r="C47" s="28" t="b">
        <f t="shared" si="1"/>
        <v>1</v>
      </c>
      <c r="E47" s="28" t="str">
        <f>'Copy of INCEXC A'!C47</f>
        <v>How users reciprocate to computers: an experiment that demonstrates behavior change</v>
      </c>
      <c r="F47" s="28" t="str">
        <f>'Copy of INCEXC A'!D47</f>
        <v>Marilyn</v>
      </c>
      <c r="G47" s="28" t="str">
        <f>'Copy of INCEXC B'!D47</f>
        <v>Ceren</v>
      </c>
      <c r="H47" s="28" t="str">
        <f>'Copy of INCEXC A'!E47</f>
        <v>Exclude</v>
      </c>
      <c r="I47" s="28" t="str">
        <f>'Copy of INCEXC B'!E47</f>
        <v/>
      </c>
      <c r="J47" s="28" t="b">
        <f t="shared" si="2"/>
        <v>0</v>
      </c>
      <c r="K47" s="28" t="b">
        <f t="shared" si="3"/>
        <v>0</v>
      </c>
    </row>
    <row r="48" hidden="1">
      <c r="A48" s="35" t="str">
        <f>'Copy of INCEXC A'!A48</f>
        <v>https://doi.org/10.1145/1141880.1523452</v>
      </c>
      <c r="B48" s="35" t="str">
        <f>'Copy of INCEXC B'!A48</f>
        <v>https://doi.org/10.1145/1141880.1523452</v>
      </c>
      <c r="C48" s="28" t="b">
        <f t="shared" si="1"/>
        <v>1</v>
      </c>
      <c r="E48" s="28" t="str">
        <f>'Copy of INCEXC A'!C48</f>
        <v>Richard F. Hespos Interview: August 18-19</v>
      </c>
      <c r="F48" s="28" t="str">
        <f>'Copy of INCEXC A'!D48</f>
        <v>Jonathan</v>
      </c>
      <c r="G48" s="28" t="str">
        <f>'Copy of INCEXC B'!D48</f>
        <v>Taylor</v>
      </c>
      <c r="H48" s="28" t="str">
        <f>'Copy of INCEXC A'!E48</f>
        <v/>
      </c>
      <c r="I48" s="28" t="str">
        <f>'Copy of INCEXC B'!E48</f>
        <v>Exclude</v>
      </c>
      <c r="J48" s="28" t="b">
        <f t="shared" si="2"/>
        <v>0</v>
      </c>
      <c r="K48" s="28" t="b">
        <f t="shared" si="3"/>
        <v>0</v>
      </c>
    </row>
    <row r="49" hidden="1">
      <c r="A49" s="35" t="str">
        <f>'Copy of INCEXC A'!A49</f>
        <v>https://doi.org/10.1145/1216295.1216357</v>
      </c>
      <c r="B49" s="35" t="str">
        <f>'Copy of INCEXC B'!A49</f>
        <v>https://doi.org/10.1145/1216295.1216357</v>
      </c>
      <c r="C49" s="28" t="b">
        <f t="shared" si="1"/>
        <v>1</v>
      </c>
      <c r="E49" s="28" t="str">
        <f>'Copy of INCEXC A'!C49</f>
        <v>User-context for adaptive user interfaces</v>
      </c>
      <c r="F49" s="28" t="str">
        <f>'Copy of INCEXC A'!D49</f>
        <v>Marilyn</v>
      </c>
      <c r="G49" s="28" t="str">
        <f>'Copy of INCEXC B'!D49</f>
        <v>Danni</v>
      </c>
      <c r="H49" s="28" t="str">
        <f>'Copy of INCEXC A'!E49</f>
        <v>Exclude</v>
      </c>
      <c r="I49" s="28" t="str">
        <f>'Copy of INCEXC B'!E49</f>
        <v>Exclude</v>
      </c>
      <c r="J49" s="28" t="b">
        <f t="shared" si="2"/>
        <v>1</v>
      </c>
      <c r="K49" s="28" t="b">
        <f t="shared" si="3"/>
        <v>0</v>
      </c>
    </row>
    <row r="50" hidden="1">
      <c r="A50" s="35" t="str">
        <f>'Copy of INCEXC A'!A50</f>
        <v>https://doi.org/10.1145/122153.122159</v>
      </c>
      <c r="B50" s="35" t="str">
        <f>'Copy of INCEXC B'!A50</f>
        <v>https://doi.org/10.1145/122153.122159</v>
      </c>
      <c r="C50" s="28" t="b">
        <f t="shared" si="1"/>
        <v>1</v>
      </c>
      <c r="E50" s="28" t="str">
        <f>'Copy of INCEXC A'!C50</f>
        <v>The senior seminar in computer science</v>
      </c>
      <c r="F50" s="28" t="str">
        <f>'Copy of INCEXC A'!D50</f>
        <v>Jonathan</v>
      </c>
      <c r="G50" s="28" t="str">
        <f>'Copy of INCEXC B'!D50</f>
        <v>Danni</v>
      </c>
      <c r="H50" s="28" t="str">
        <f>'Copy of INCEXC A'!E50</f>
        <v/>
      </c>
      <c r="I50" s="28" t="str">
        <f>'Copy of INCEXC B'!E50</f>
        <v>Exclude</v>
      </c>
      <c r="J50" s="28" t="b">
        <f t="shared" si="2"/>
        <v>0</v>
      </c>
      <c r="K50" s="28" t="b">
        <f t="shared" si="3"/>
        <v>0</v>
      </c>
    </row>
    <row r="51" hidden="1">
      <c r="A51" s="35" t="str">
        <f>'Copy of INCEXC A'!A51</f>
        <v>https://doi.org/10.1145/122153.122160</v>
      </c>
      <c r="B51" s="35" t="str">
        <f>'Copy of INCEXC B'!A51</f>
        <v>https://doi.org/10.1145/122153.122160</v>
      </c>
      <c r="C51" s="28" t="b">
        <f t="shared" si="1"/>
        <v>1</v>
      </c>
      <c r="E51" s="28" t="str">
        <f>'Copy of INCEXC A'!C51</f>
        <v>The arcade laboratory: an environment to help teach algorithms</v>
      </c>
      <c r="F51" s="28" t="str">
        <f>'Copy of INCEXC A'!D51</f>
        <v>Jonathan</v>
      </c>
      <c r="G51" s="28" t="str">
        <f>'Copy of INCEXC B'!D51</f>
        <v>Danni</v>
      </c>
      <c r="H51" s="28" t="str">
        <f>'Copy of INCEXC A'!E51</f>
        <v/>
      </c>
      <c r="I51" s="28" t="str">
        <f>'Copy of INCEXC B'!E51</f>
        <v>Exclude</v>
      </c>
      <c r="J51" s="28" t="b">
        <f t="shared" si="2"/>
        <v>0</v>
      </c>
      <c r="K51" s="28" t="b">
        <f t="shared" si="3"/>
        <v>0</v>
      </c>
    </row>
    <row r="52" hidden="1">
      <c r="A52" s="35" t="str">
        <f>'Copy of INCEXC A'!A52</f>
        <v>https://doi.org/10.1145/1274000.1274062</v>
      </c>
      <c r="B52" s="35" t="str">
        <f>'Copy of INCEXC B'!A52</f>
        <v>https://doi.org/10.1145/1274000.1274062</v>
      </c>
      <c r="C52" s="28" t="b">
        <f t="shared" si="1"/>
        <v>1</v>
      </c>
      <c r="E52" s="28" t="str">
        <f>'Copy of INCEXC A'!C52</f>
        <v>Cascaded generic XCS to learn about reminding preferences</v>
      </c>
      <c r="F52" s="28" t="str">
        <f>'Copy of INCEXC A'!D52</f>
        <v>Jonathan</v>
      </c>
      <c r="G52" s="28" t="str">
        <f>'Copy of INCEXC B'!D52</f>
        <v>Taylor</v>
      </c>
      <c r="H52" s="28" t="str">
        <f>'Copy of INCEXC A'!E52</f>
        <v/>
      </c>
      <c r="I52" s="28" t="str">
        <f>'Copy of INCEXC B'!E52</f>
        <v>Exclude</v>
      </c>
      <c r="J52" s="28" t="b">
        <f t="shared" si="2"/>
        <v>0</v>
      </c>
      <c r="K52" s="28" t="b">
        <f t="shared" si="3"/>
        <v>0</v>
      </c>
    </row>
    <row r="53" hidden="1">
      <c r="A53" s="35" t="str">
        <f>'Copy of INCEXC A'!A53</f>
        <v>https://doi.org/10.1145/1276958.1277335</v>
      </c>
      <c r="B53" s="35" t="str">
        <f>'Copy of INCEXC B'!A53</f>
        <v>https://doi.org/10.1145/1276958.1277335</v>
      </c>
      <c r="C53" s="28" t="b">
        <f t="shared" si="1"/>
        <v>1</v>
      </c>
      <c r="E53" s="28" t="str">
        <f>'Copy of INCEXC A'!C53</f>
        <v>XCS for adaptive user-interfaces</v>
      </c>
      <c r="F53" s="28" t="str">
        <f>'Copy of INCEXC A'!D53</f>
        <v>Marilyn</v>
      </c>
      <c r="G53" s="28" t="str">
        <f>'Copy of INCEXC B'!D53</f>
        <v>Taylor</v>
      </c>
      <c r="H53" s="28" t="str">
        <f>'Copy of INCEXC A'!E53</f>
        <v>Exclude</v>
      </c>
      <c r="I53" s="28" t="str">
        <f>'Copy of INCEXC B'!E53</f>
        <v>Exclude</v>
      </c>
      <c r="J53" s="28" t="b">
        <f t="shared" si="2"/>
        <v>1</v>
      </c>
      <c r="K53" s="28" t="b">
        <f t="shared" si="3"/>
        <v>0</v>
      </c>
    </row>
    <row r="54" hidden="1">
      <c r="A54" s="35" t="str">
        <f>'Copy of INCEXC A'!A54</f>
        <v>https://doi.org/10.1145/1394669.1394689</v>
      </c>
      <c r="B54" s="35" t="str">
        <f>'Copy of INCEXC B'!A54</f>
        <v>https://doi.org/10.1145/1394669.1394689</v>
      </c>
      <c r="C54" s="28" t="b">
        <f t="shared" si="1"/>
        <v>1</v>
      </c>
      <c r="E54" s="28" t="str">
        <f>'Copy of INCEXC A'!C54</f>
        <v>Multi projector displays using a 3D compositing window manager</v>
      </c>
      <c r="F54" s="28" t="str">
        <f>'Copy of INCEXC A'!D54</f>
        <v>Jonathan</v>
      </c>
      <c r="G54" s="28" t="str">
        <f>'Copy of INCEXC B'!D54</f>
        <v>Danni</v>
      </c>
      <c r="H54" s="28" t="str">
        <f>'Copy of INCEXC A'!E54</f>
        <v/>
      </c>
      <c r="I54" s="28" t="str">
        <f>'Copy of INCEXC B'!E54</f>
        <v>Exclude</v>
      </c>
      <c r="J54" s="28" t="b">
        <f t="shared" si="2"/>
        <v>0</v>
      </c>
      <c r="K54" s="28" t="b">
        <f t="shared" si="3"/>
        <v>0</v>
      </c>
    </row>
    <row r="55" hidden="1">
      <c r="A55" s="35" t="str">
        <f>'Copy of INCEXC A'!A55</f>
        <v>https://doi.org/10.1145/1409360.1409363</v>
      </c>
      <c r="B55" s="35" t="str">
        <f>'Copy of INCEXC B'!A55</f>
        <v>https://doi.org/10.1145/1409360.1409363</v>
      </c>
      <c r="C55" s="28" t="b">
        <f t="shared" si="1"/>
        <v>1</v>
      </c>
      <c r="E55" s="28" t="str">
        <f>'Copy of INCEXC A'!C55</f>
        <v>Apple builds great platforms</v>
      </c>
      <c r="F55" s="28" t="str">
        <f>'Copy of INCEXC A'!D55</f>
        <v>Kaiser</v>
      </c>
      <c r="G55" s="28" t="str">
        <f>'Copy of INCEXC B'!D55</f>
        <v>Taylor</v>
      </c>
      <c r="H55" s="28" t="str">
        <f>'Copy of INCEXC A'!E55</f>
        <v>Exclude</v>
      </c>
      <c r="I55" s="28" t="str">
        <f>'Copy of INCEXC B'!E55</f>
        <v>Exclude</v>
      </c>
      <c r="J55" s="28" t="b">
        <f t="shared" si="2"/>
        <v>1</v>
      </c>
      <c r="K55" s="28" t="b">
        <f t="shared" si="3"/>
        <v>0</v>
      </c>
    </row>
    <row r="56" hidden="1">
      <c r="A56" s="35" t="str">
        <f>'Copy of INCEXC A'!A56</f>
        <v>https://doi.org/10.1145/1450579.1450652</v>
      </c>
      <c r="B56" s="35" t="str">
        <f>'Copy of INCEXC B'!A56</f>
        <v>https://doi.org/10.1145/1450579.1450652</v>
      </c>
      <c r="C56" s="28" t="b">
        <f t="shared" si="1"/>
        <v>1</v>
      </c>
      <c r="E56" s="28" t="str">
        <f>'Copy of INCEXC A'!C56</f>
        <v>AVACHAT: a new comic-based chat system for virtual avatars</v>
      </c>
      <c r="F56" s="28" t="str">
        <f>'Copy of INCEXC A'!D56</f>
        <v>Jonathan</v>
      </c>
      <c r="G56" s="28" t="str">
        <f>'Copy of INCEXC B'!D56</f>
        <v>Ceren</v>
      </c>
      <c r="H56" s="28" t="str">
        <f>'Copy of INCEXC A'!E56</f>
        <v/>
      </c>
      <c r="I56" s="28" t="str">
        <f>'Copy of INCEXC B'!E56</f>
        <v/>
      </c>
      <c r="J56" s="28" t="b">
        <f t="shared" si="2"/>
        <v>1</v>
      </c>
      <c r="K56" s="28" t="b">
        <f t="shared" si="3"/>
        <v>0</v>
      </c>
    </row>
    <row r="57" hidden="1">
      <c r="A57" s="35" t="str">
        <f>'Copy of INCEXC A'!A57</f>
        <v>https://doi.org/10.1145/1477862.1477879</v>
      </c>
      <c r="B57" s="35" t="str">
        <f>'Copy of INCEXC B'!A57</f>
        <v>https://doi.org/10.1145/1477862.1477879</v>
      </c>
      <c r="C57" s="28" t="b">
        <f t="shared" si="1"/>
        <v>1</v>
      </c>
      <c r="E57" s="28" t="str">
        <f>'Copy of INCEXC A'!C57</f>
        <v>A new cognition-based chat system for avatar agents in virtual space</v>
      </c>
      <c r="F57" s="28" t="str">
        <f>'Copy of INCEXC A'!D57</f>
        <v>Kaiser</v>
      </c>
      <c r="G57" s="28" t="str">
        <f>'Copy of INCEXC B'!D57</f>
        <v>Danni</v>
      </c>
      <c r="H57" s="28" t="str">
        <f>'Copy of INCEXC A'!E57</f>
        <v>Exclude</v>
      </c>
      <c r="I57" s="28" t="str">
        <f>'Copy of INCEXC B'!E57</f>
        <v>Exclude</v>
      </c>
      <c r="J57" s="28" t="b">
        <f t="shared" si="2"/>
        <v>1</v>
      </c>
      <c r="K57" s="28" t="b">
        <f t="shared" si="3"/>
        <v>0</v>
      </c>
    </row>
    <row r="58" hidden="1">
      <c r="A58" s="35" t="str">
        <f>'Copy of INCEXC A'!A58</f>
        <v>https://doi.org/10.1145/1500175.1500178</v>
      </c>
      <c r="B58" s="35" t="str">
        <f>'Copy of INCEXC B'!A58</f>
        <v>https://doi.org/10.1145/1500175.1500178</v>
      </c>
      <c r="C58" s="28" t="b">
        <f t="shared" si="1"/>
        <v>1</v>
      </c>
      <c r="E58" s="28" t="str">
        <f>'Copy of INCEXC A'!C58</f>
        <v>RADCAP: an operational parallel processing facility</v>
      </c>
      <c r="F58" s="28" t="str">
        <f>'Copy of INCEXC A'!D58</f>
        <v>Kaiser</v>
      </c>
      <c r="G58" s="28" t="str">
        <f>'Copy of INCEXC B'!D58</f>
        <v>Danni</v>
      </c>
      <c r="H58" s="28" t="str">
        <f>'Copy of INCEXC A'!E58</f>
        <v>Exclude</v>
      </c>
      <c r="I58" s="28" t="str">
        <f>'Copy of INCEXC B'!E58</f>
        <v>Exclude</v>
      </c>
      <c r="J58" s="28" t="b">
        <f t="shared" si="2"/>
        <v>1</v>
      </c>
      <c r="K58" s="28" t="b">
        <f t="shared" si="3"/>
        <v>0</v>
      </c>
    </row>
    <row r="59" hidden="1">
      <c r="A59" s="35" t="str">
        <f>'Copy of INCEXC A'!A59</f>
        <v>https://doi.org/10.1145/1518701.1519021</v>
      </c>
      <c r="B59" s="35" t="str">
        <f>'Copy of INCEXC B'!A59</f>
        <v>https://doi.org/10.1145/1518701.1519021</v>
      </c>
      <c r="C59" s="28" t="b">
        <f t="shared" si="1"/>
        <v>1</v>
      </c>
      <c r="E59" s="28" t="str">
        <f>'Copy of INCEXC A'!C59</f>
        <v>I'm sorry</v>
      </c>
      <c r="F59" s="28" t="str">
        <f>'Copy of INCEXC A'!D59</f>
        <v>Kaiser</v>
      </c>
      <c r="G59" s="28" t="str">
        <f>'Copy of INCEXC B'!D59</f>
        <v>Taylor</v>
      </c>
      <c r="H59" s="28" t="str">
        <f>'Copy of INCEXC A'!E59</f>
        <v>Exclude</v>
      </c>
      <c r="I59" s="28" t="str">
        <f>'Copy of INCEXC B'!E59</f>
        <v>Include</v>
      </c>
      <c r="J59" s="28" t="b">
        <f t="shared" si="2"/>
        <v>0</v>
      </c>
      <c r="K59" s="28" t="b">
        <f t="shared" si="3"/>
        <v>0</v>
      </c>
    </row>
    <row r="60" hidden="1">
      <c r="A60" s="35" t="str">
        <f>'Copy of INCEXC A'!A60</f>
        <v>https://doi.org/10.1145/1596685.1596827</v>
      </c>
      <c r="B60" s="35" t="str">
        <f>'Copy of INCEXC B'!A60</f>
        <v>https://doi.org/10.1145/1596685.1596827</v>
      </c>
      <c r="C60" s="28" t="b">
        <f t="shared" si="1"/>
        <v>1</v>
      </c>
      <c r="E60" s="28" t="str">
        <f>'Copy of INCEXC A'!C60</f>
        <v>Window pains</v>
      </c>
      <c r="F60" s="28" t="str">
        <f>'Copy of INCEXC A'!D60</f>
        <v>Kaiser</v>
      </c>
      <c r="G60" s="28" t="str">
        <f>'Copy of INCEXC B'!D60</f>
        <v>Danni</v>
      </c>
      <c r="H60" s="28" t="str">
        <f>'Copy of INCEXC A'!E60</f>
        <v>Exclude</v>
      </c>
      <c r="I60" s="28" t="str">
        <f>'Copy of INCEXC B'!E60</f>
        <v>Exclude</v>
      </c>
      <c r="J60" s="28" t="b">
        <f t="shared" si="2"/>
        <v>1</v>
      </c>
      <c r="K60" s="28" t="b">
        <f t="shared" si="3"/>
        <v>0</v>
      </c>
    </row>
    <row r="61" hidden="1">
      <c r="A61" s="35" t="str">
        <f>'Copy of INCEXC A'!A61</f>
        <v>https://doi.org/10.1145/1621890.1621914</v>
      </c>
      <c r="B61" s="35" t="str">
        <f>'Copy of INCEXC B'!A61</f>
        <v>https://doi.org/10.1145/1621890.1621914</v>
      </c>
      <c r="C61" s="28" t="b">
        <f t="shared" si="1"/>
        <v>1</v>
      </c>
      <c r="E61" s="28" t="str">
        <f>'Copy of INCEXC A'!C61</f>
        <v>Dynamic web service orchestration applied to the device profile for web services in hierarchical networks</v>
      </c>
      <c r="F61" s="28" t="str">
        <f>'Copy of INCEXC A'!D61</f>
        <v>Kaiser</v>
      </c>
      <c r="G61" s="28" t="str">
        <f>'Copy of INCEXC B'!D61</f>
        <v>Danni</v>
      </c>
      <c r="H61" s="28" t="str">
        <f>'Copy of INCEXC A'!E61</f>
        <v>Exclude</v>
      </c>
      <c r="I61" s="28" t="str">
        <f>'Copy of INCEXC B'!E61</f>
        <v>Exclude</v>
      </c>
      <c r="J61" s="28" t="b">
        <f t="shared" si="2"/>
        <v>1</v>
      </c>
      <c r="K61" s="28" t="b">
        <f t="shared" si="3"/>
        <v>0</v>
      </c>
    </row>
    <row r="62" hidden="1">
      <c r="A62" s="35" t="str">
        <f>'Copy of INCEXC A'!A62</f>
        <v>https://doi.org/10.1145/1629575.1629577</v>
      </c>
      <c r="B62" s="35" t="str">
        <f>'Copy of INCEXC B'!A62</f>
        <v>https://doi.org/10.1145/1629575.1629577</v>
      </c>
      <c r="C62" s="28" t="b">
        <f t="shared" si="1"/>
        <v>1</v>
      </c>
      <c r="E62" s="28" t="str">
        <f>'Copy of INCEXC A'!C62</f>
        <v>FAWN: a fast array of wimpy nodes</v>
      </c>
      <c r="F62" s="28" t="str">
        <f>'Copy of INCEXC A'!D62</f>
        <v>Jonathan</v>
      </c>
      <c r="G62" s="28" t="str">
        <f>'Copy of INCEXC B'!D62</f>
        <v>Danni</v>
      </c>
      <c r="H62" s="28" t="str">
        <f>'Copy of INCEXC A'!E62</f>
        <v/>
      </c>
      <c r="I62" s="28" t="str">
        <f>'Copy of INCEXC B'!E62</f>
        <v>Exclude</v>
      </c>
      <c r="J62" s="28" t="b">
        <f t="shared" si="2"/>
        <v>0</v>
      </c>
      <c r="K62" s="28" t="b">
        <f t="shared" si="3"/>
        <v>0</v>
      </c>
    </row>
    <row r="63" hidden="1">
      <c r="A63" s="35" t="str">
        <f>'Copy of INCEXC A'!A63</f>
        <v>https://doi.org/10.1145/1640089.1640127</v>
      </c>
      <c r="B63" s="35" t="str">
        <f>'Copy of INCEXC B'!A63</f>
        <v>https://doi.org/10.1145/1640089.1640127</v>
      </c>
      <c r="C63" s="28" t="b">
        <f t="shared" si="1"/>
        <v>1</v>
      </c>
      <c r="E63" s="28" t="str">
        <f>'Copy of INCEXC A'!C63</f>
        <v>Regrowing a language: refactoring tools allow programming languages to evolve</v>
      </c>
      <c r="F63" s="28" t="str">
        <f>'Copy of INCEXC A'!D63</f>
        <v>Jonathan</v>
      </c>
      <c r="G63" s="28" t="str">
        <f>'Copy of INCEXC B'!D63</f>
        <v>Taylor</v>
      </c>
      <c r="H63" s="28" t="str">
        <f>'Copy of INCEXC A'!E63</f>
        <v/>
      </c>
      <c r="I63" s="28" t="str">
        <f>'Copy of INCEXC B'!E63</f>
        <v>Exclude</v>
      </c>
      <c r="J63" s="28" t="b">
        <f t="shared" si="2"/>
        <v>0</v>
      </c>
      <c r="K63" s="28" t="b">
        <f t="shared" si="3"/>
        <v>0</v>
      </c>
    </row>
    <row r="64" hidden="1">
      <c r="A64" s="35" t="str">
        <f>'Copy of INCEXC A'!A64</f>
        <v>https://doi.org/10.1145/1740390.1740407</v>
      </c>
      <c r="B64" s="35" t="str">
        <f>'Copy of INCEXC B'!A64</f>
        <v>https://doi.org/10.1145/1740390.1740407</v>
      </c>
      <c r="C64" s="28" t="b">
        <f t="shared" si="1"/>
        <v>1</v>
      </c>
      <c r="E64" s="28" t="str">
        <f>'Copy of INCEXC A'!C64</f>
        <v>Low-power amdahl-balanced blades for data intensive computing</v>
      </c>
      <c r="F64" s="28" t="str">
        <f>'Copy of INCEXC A'!D64</f>
        <v>Kaiser</v>
      </c>
      <c r="G64" s="28" t="str">
        <f>'Copy of INCEXC B'!D64</f>
        <v>Ceren</v>
      </c>
      <c r="H64" s="28" t="str">
        <f>'Copy of INCEXC A'!E64</f>
        <v>Exclude</v>
      </c>
      <c r="I64" s="28" t="str">
        <f>'Copy of INCEXC B'!E64</f>
        <v/>
      </c>
      <c r="J64" s="28" t="b">
        <f t="shared" si="2"/>
        <v>0</v>
      </c>
      <c r="K64" s="28" t="b">
        <f t="shared" si="3"/>
        <v>0</v>
      </c>
    </row>
    <row r="65" hidden="1">
      <c r="A65" s="35" t="str">
        <f>'Copy of INCEXC A'!A65</f>
        <v>https://doi.org/10.1145/1740390.1740408</v>
      </c>
      <c r="B65" s="35" t="str">
        <f>'Copy of INCEXC B'!A65</f>
        <v>https://doi.org/10.1145/1740390.1740408</v>
      </c>
      <c r="C65" s="28" t="b">
        <f t="shared" si="1"/>
        <v>1</v>
      </c>
      <c r="E65" s="28" t="str">
        <f>'Copy of INCEXC A'!C65</f>
        <v>An energy case for hybrid datacenters</v>
      </c>
      <c r="F65" s="28" t="str">
        <f>'Copy of INCEXC A'!D65</f>
        <v>Kaiser</v>
      </c>
      <c r="G65" s="28" t="str">
        <f>'Copy of INCEXC B'!D65</f>
        <v>Danni</v>
      </c>
      <c r="H65" s="28" t="str">
        <f>'Copy of INCEXC A'!E65</f>
        <v>Exclude</v>
      </c>
      <c r="I65" s="28" t="str">
        <f>'Copy of INCEXC B'!E65</f>
        <v>Exclude</v>
      </c>
      <c r="J65" s="28" t="b">
        <f t="shared" si="2"/>
        <v>1</v>
      </c>
      <c r="K65" s="28" t="b">
        <f t="shared" si="3"/>
        <v>0</v>
      </c>
    </row>
    <row r="66" hidden="1">
      <c r="A66" s="35" t="str">
        <f>'Copy of INCEXC A'!A66</f>
        <v>https://doi.org/10.1145/174690.174697</v>
      </c>
      <c r="B66" s="35" t="str">
        <f>'Copy of INCEXC B'!A66</f>
        <v>https://doi.org/10.1145/174690.174697</v>
      </c>
      <c r="C66" s="28" t="b">
        <f t="shared" si="1"/>
        <v>1</v>
      </c>
      <c r="E66" s="28" t="str">
        <f>'Copy of INCEXC A'!C66</f>
        <v>On Julius Caesar</v>
      </c>
      <c r="F66" s="28" t="str">
        <f>'Copy of INCEXC A'!D66</f>
        <v>Jonathan</v>
      </c>
      <c r="G66" s="28" t="str">
        <f>'Copy of INCEXC B'!D66</f>
        <v>Danni</v>
      </c>
      <c r="H66" s="28" t="str">
        <f>'Copy of INCEXC A'!E66</f>
        <v/>
      </c>
      <c r="I66" s="28" t="str">
        <f>'Copy of INCEXC B'!E66</f>
        <v>Exclude</v>
      </c>
      <c r="J66" s="28" t="b">
        <f t="shared" si="2"/>
        <v>0</v>
      </c>
      <c r="K66" s="28" t="b">
        <f t="shared" si="3"/>
        <v>0</v>
      </c>
    </row>
    <row r="67" hidden="1">
      <c r="A67" s="35" t="str">
        <f>'Copy of INCEXC A'!A67</f>
        <v>https://doi.org/10.1145/175208.175220</v>
      </c>
      <c r="B67" s="35" t="str">
        <f>'Copy of INCEXC B'!A67</f>
        <v>https://doi.org/10.1145/175208.175220</v>
      </c>
      <c r="C67" s="28" t="b">
        <f t="shared" si="1"/>
        <v>1</v>
      </c>
      <c r="E67" s="28" t="str">
        <f>'Copy of INCEXC A'!C67</f>
        <v>Israel: of swords and software plowshares</v>
      </c>
      <c r="F67" s="28" t="str">
        <f>'Copy of INCEXC A'!D67</f>
        <v>Marilyn</v>
      </c>
      <c r="G67" s="28" t="str">
        <f>'Copy of INCEXC B'!D67</f>
        <v>Taylor</v>
      </c>
      <c r="H67" s="28" t="str">
        <f>'Copy of INCEXC A'!E67</f>
        <v>Exclude</v>
      </c>
      <c r="I67" s="28" t="str">
        <f>'Copy of INCEXC B'!E67</f>
        <v>Exclude</v>
      </c>
      <c r="J67" s="28" t="b">
        <f t="shared" si="2"/>
        <v>1</v>
      </c>
      <c r="K67" s="28" t="b">
        <f t="shared" si="3"/>
        <v>0</v>
      </c>
    </row>
    <row r="68" hidden="1">
      <c r="A68" s="35" t="str">
        <f>'Copy of INCEXC A'!A68</f>
        <v>https://doi.org/10.1145/1755913.1755916</v>
      </c>
      <c r="B68" s="35" t="str">
        <f>'Copy of INCEXC B'!A68</f>
        <v>https://doi.org/10.1145/1755913.1755916</v>
      </c>
      <c r="C68" s="28" t="b">
        <f t="shared" si="1"/>
        <v>1</v>
      </c>
      <c r="E68" s="28" t="str">
        <f>'Copy of INCEXC A'!C68</f>
        <v>Differential RAID: rethinking RAID for SSD reliability</v>
      </c>
      <c r="F68" s="28" t="str">
        <f>'Copy of INCEXC A'!D68</f>
        <v>Kaiser</v>
      </c>
      <c r="G68" s="28" t="str">
        <f>'Copy of INCEXC B'!D68</f>
        <v>Taylor</v>
      </c>
      <c r="H68" s="28" t="str">
        <f>'Copy of INCEXC A'!E68</f>
        <v>Exclude</v>
      </c>
      <c r="I68" s="28" t="str">
        <f>'Copy of INCEXC B'!E68</f>
        <v>Exclude</v>
      </c>
      <c r="J68" s="28" t="b">
        <f t="shared" si="2"/>
        <v>1</v>
      </c>
      <c r="K68" s="28" t="b">
        <f t="shared" si="3"/>
        <v>0</v>
      </c>
    </row>
    <row r="69" hidden="1">
      <c r="A69" s="35" t="str">
        <f>'Copy of INCEXC A'!A69</f>
        <v>https://doi.org/10.1145/1791314.1791347</v>
      </c>
      <c r="B69" s="35" t="str">
        <f>'Copy of INCEXC B'!A69</f>
        <v>https://doi.org/10.1145/1791314.1791347</v>
      </c>
      <c r="C69" s="28" t="b">
        <f t="shared" si="1"/>
        <v>1</v>
      </c>
      <c r="E69" s="28" t="str">
        <f>'Copy of INCEXC A'!C69</f>
        <v>Energy-efficient cluster computing with FAWN: workloads and implications</v>
      </c>
      <c r="F69" s="28" t="str">
        <f>'Copy of INCEXC A'!D69</f>
        <v>Marilyn</v>
      </c>
      <c r="G69" s="28" t="str">
        <f>'Copy of INCEXC B'!D69</f>
        <v>Danni</v>
      </c>
      <c r="H69" s="28" t="str">
        <f>'Copy of INCEXC A'!E69</f>
        <v>Exclude</v>
      </c>
      <c r="I69" s="28" t="str">
        <f>'Copy of INCEXC B'!E69</f>
        <v>Exclude</v>
      </c>
      <c r="J69" s="28" t="b">
        <f t="shared" si="2"/>
        <v>1</v>
      </c>
      <c r="K69" s="28" t="b">
        <f t="shared" si="3"/>
        <v>0</v>
      </c>
    </row>
    <row r="70" hidden="1">
      <c r="A70" s="35" t="str">
        <f>'Copy of INCEXC A'!A70</f>
        <v>https://doi.org/10.1145/1807060.1807061</v>
      </c>
      <c r="B70" s="35" t="str">
        <f>'Copy of INCEXC B'!A70</f>
        <v>https://doi.org/10.1145/1807060.1807061</v>
      </c>
      <c r="C70" s="28" t="b">
        <f t="shared" si="1"/>
        <v>1</v>
      </c>
      <c r="E70" s="28" t="str">
        <f>'Copy of INCEXC A'!C70</f>
        <v>Differential RAID: Rethinking RAID for SSD reliability</v>
      </c>
      <c r="F70" s="28" t="str">
        <f>'Copy of INCEXC A'!D70</f>
        <v>Kaiser</v>
      </c>
      <c r="G70" s="28" t="str">
        <f>'Copy of INCEXC B'!D70</f>
        <v>Danni</v>
      </c>
      <c r="H70" s="28" t="str">
        <f>'Copy of INCEXC A'!E70</f>
        <v>Exclude</v>
      </c>
      <c r="I70" s="28" t="str">
        <f>'Copy of INCEXC B'!E70</f>
        <v>Exclude</v>
      </c>
      <c r="J70" s="28" t="b">
        <f t="shared" si="2"/>
        <v>1</v>
      </c>
      <c r="K70" s="28" t="b">
        <f t="shared" si="3"/>
        <v>0</v>
      </c>
    </row>
    <row r="71" hidden="1">
      <c r="A71" s="35" t="str">
        <f>'Copy of INCEXC A'!A71</f>
        <v>https://doi.org/10.1145/1807128.1807164</v>
      </c>
      <c r="B71" s="35" t="str">
        <f>'Copy of INCEXC B'!A71</f>
        <v>https://doi.org/10.1145/1807128.1807164</v>
      </c>
      <c r="C71" s="28" t="b">
        <f t="shared" si="1"/>
        <v>1</v>
      </c>
      <c r="E71" s="28" t="str">
        <f>'Copy of INCEXC A'!C71</f>
        <v>Robust and flexible power-proportional storage</v>
      </c>
      <c r="F71" s="28" t="str">
        <f>'Copy of INCEXC A'!D71</f>
        <v>Marilyn</v>
      </c>
      <c r="G71" s="28" t="str">
        <f>'Copy of INCEXC B'!D71</f>
        <v>Taylor</v>
      </c>
      <c r="H71" s="28" t="str">
        <f>'Copy of INCEXC A'!E71</f>
        <v>Exclude</v>
      </c>
      <c r="I71" s="28" t="str">
        <f>'Copy of INCEXC B'!E71</f>
        <v>Exclude</v>
      </c>
      <c r="J71" s="28" t="b">
        <f t="shared" si="2"/>
        <v>1</v>
      </c>
      <c r="K71" s="28" t="b">
        <f t="shared" si="3"/>
        <v>0</v>
      </c>
    </row>
    <row r="72" hidden="1">
      <c r="A72" s="35" t="str">
        <f>'Copy of INCEXC A'!A72</f>
        <v>https://doi.org/10.1145/1807167.1807194</v>
      </c>
      <c r="B72" s="35" t="str">
        <f>'Copy of INCEXC B'!A72</f>
        <v>https://doi.org/10.1145/1807167.1807194</v>
      </c>
      <c r="C72" s="28" t="b">
        <f t="shared" si="1"/>
        <v>1</v>
      </c>
      <c r="E72" s="28" t="str">
        <f>'Copy of INCEXC A'!C72</f>
        <v>Analyzing the energy efficiency of a database server</v>
      </c>
      <c r="F72" s="28" t="str">
        <f>'Copy of INCEXC A'!D72</f>
        <v>Jonathan</v>
      </c>
      <c r="G72" s="28" t="str">
        <f>'Copy of INCEXC B'!D72</f>
        <v>Danni</v>
      </c>
      <c r="H72" s="28" t="str">
        <f>'Copy of INCEXC A'!E72</f>
        <v/>
      </c>
      <c r="I72" s="28" t="str">
        <f>'Copy of INCEXC B'!E72</f>
        <v>Exclude</v>
      </c>
      <c r="J72" s="28" t="b">
        <f t="shared" si="2"/>
        <v>0</v>
      </c>
      <c r="K72" s="28" t="b">
        <f t="shared" si="3"/>
        <v>0</v>
      </c>
    </row>
    <row r="73" hidden="1">
      <c r="A73" s="35" t="str">
        <f>'Copy of INCEXC A'!A73</f>
        <v>https://doi.org/10.1145/1807167.1807324</v>
      </c>
      <c r="B73" s="35" t="str">
        <f>'Copy of INCEXC B'!A73</f>
        <v>https://doi.org/10.1145/1807167.1807324</v>
      </c>
      <c r="C73" s="28" t="b">
        <f t="shared" si="1"/>
        <v>1</v>
      </c>
      <c r="E73" s="28" t="str">
        <f>'Copy of INCEXC A'!C73</f>
        <v>Performing sound flash device measurements: some lessons from uFLIP</v>
      </c>
      <c r="F73" s="28" t="str">
        <f>'Copy of INCEXC A'!D73</f>
        <v>Kaiser</v>
      </c>
      <c r="G73" s="28" t="str">
        <f>'Copy of INCEXC B'!D73</f>
        <v>Taylor</v>
      </c>
      <c r="H73" s="28" t="str">
        <f>'Copy of INCEXC A'!E73</f>
        <v>Exclude</v>
      </c>
      <c r="I73" s="28" t="str">
        <f>'Copy of INCEXC B'!E73</f>
        <v>Exclude</v>
      </c>
      <c r="J73" s="28" t="b">
        <f t="shared" si="2"/>
        <v>1</v>
      </c>
      <c r="K73" s="28" t="b">
        <f t="shared" si="3"/>
        <v>0</v>
      </c>
    </row>
    <row r="74" hidden="1">
      <c r="A74" s="35" t="str">
        <f>'Copy of INCEXC A'!A74</f>
        <v>https://doi.org/10.1145/1809980.1810034</v>
      </c>
      <c r="B74" s="35" t="str">
        <f>'Copy of INCEXC B'!A74</f>
        <v>https://doi.org/10.1145/1809980.1810034</v>
      </c>
      <c r="C74" s="28" t="b">
        <f t="shared" si="1"/>
        <v>1</v>
      </c>
      <c r="E74" s="28" t="str">
        <f>'Copy of INCEXC A'!C74</f>
        <v>Um sistema web para acompanhar o crescimento e desenvolvimento do algodão</v>
      </c>
      <c r="F74" s="28" t="str">
        <f>'Copy of INCEXC A'!D74</f>
        <v>Kaiser</v>
      </c>
      <c r="G74" s="28" t="str">
        <f>'Copy of INCEXC B'!D74</f>
        <v>Taylor</v>
      </c>
      <c r="H74" s="28" t="str">
        <f>'Copy of INCEXC A'!E74</f>
        <v>Exclude</v>
      </c>
      <c r="I74" s="28" t="str">
        <f>'Copy of INCEXC B'!E74</f>
        <v>Exclude</v>
      </c>
      <c r="J74" s="28" t="b">
        <f t="shared" si="2"/>
        <v>1</v>
      </c>
      <c r="K74" s="28" t="b">
        <f t="shared" si="3"/>
        <v>0</v>
      </c>
    </row>
    <row r="75" hidden="1">
      <c r="A75" s="35" t="str">
        <f>'Copy of INCEXC A'!A75</f>
        <v>https://doi.org/10.1145/1815961.1816002</v>
      </c>
      <c r="B75" s="35" t="str">
        <f>'Copy of INCEXC B'!A75</f>
        <v>https://doi.org/10.1145/1815961.1816002</v>
      </c>
      <c r="C75" s="28" t="b">
        <f t="shared" si="1"/>
        <v>1</v>
      </c>
      <c r="E75" s="28" t="str">
        <f>'Copy of INCEXC A'!C75</f>
        <v>Web search using mobile cores: quantifying and mitigating the price of efficiency</v>
      </c>
      <c r="F75" s="28" t="str">
        <f>'Copy of INCEXC A'!D75</f>
        <v>Kaiser</v>
      </c>
      <c r="G75" s="28" t="str">
        <f>'Copy of INCEXC B'!D75</f>
        <v>Danni</v>
      </c>
      <c r="H75" s="28" t="str">
        <f>'Copy of INCEXC A'!E75</f>
        <v>Exclude</v>
      </c>
      <c r="I75" s="28" t="str">
        <f>'Copy of INCEXC B'!E75</f>
        <v>Exclude</v>
      </c>
      <c r="J75" s="28" t="b">
        <f t="shared" si="2"/>
        <v>1</v>
      </c>
      <c r="K75" s="28" t="b">
        <f t="shared" si="3"/>
        <v>0</v>
      </c>
    </row>
    <row r="76" hidden="1">
      <c r="A76" s="35" t="str">
        <f>'Copy of INCEXC A'!A76</f>
        <v>https://doi.org/10.1145/1823838.1823840</v>
      </c>
      <c r="B76" s="35" t="str">
        <f>'Copy of INCEXC B'!A76</f>
        <v>https://doi.org/10.1145/1823838.1823840</v>
      </c>
      <c r="C76" s="28" t="b">
        <f t="shared" si="1"/>
        <v>1</v>
      </c>
      <c r="E76" s="28" t="str">
        <f>'Copy of INCEXC A'!C76</f>
        <v>Storage research in industry and universities</v>
      </c>
      <c r="F76" s="28" t="str">
        <f>'Copy of INCEXC A'!D76</f>
        <v>Marilyn</v>
      </c>
      <c r="G76" s="28" t="str">
        <f>'Copy of INCEXC B'!D76</f>
        <v>Taylor</v>
      </c>
      <c r="H76" s="28" t="str">
        <f>'Copy of INCEXC A'!E76</f>
        <v>Exclude</v>
      </c>
      <c r="I76" s="28" t="str">
        <f>'Copy of INCEXC B'!E76</f>
        <v>Exclude</v>
      </c>
      <c r="J76" s="28" t="b">
        <f t="shared" si="2"/>
        <v>1</v>
      </c>
      <c r="K76" s="28" t="b">
        <f t="shared" si="3"/>
        <v>0</v>
      </c>
    </row>
    <row r="77" hidden="1">
      <c r="A77" s="35" t="str">
        <f>'Copy of INCEXC A'!A77</f>
        <v>https://doi.org/10.1145/1837915.1837918</v>
      </c>
      <c r="B77" s="35" t="str">
        <f>'Copy of INCEXC B'!A77</f>
        <v>https://doi.org/10.1145/1837915.1837918</v>
      </c>
      <c r="C77" s="28" t="b">
        <f t="shared" si="1"/>
        <v>1</v>
      </c>
      <c r="E77" s="28" t="str">
        <f>'Copy of INCEXC A'!C77</f>
        <v>Optimizing energy and performance for server-class file system workloads</v>
      </c>
      <c r="F77" s="28" t="str">
        <f>'Copy of INCEXC A'!D77</f>
        <v>Marilyn</v>
      </c>
      <c r="G77" s="28" t="str">
        <f>'Copy of INCEXC B'!D77</f>
        <v>Ceren</v>
      </c>
      <c r="H77" s="28" t="str">
        <f>'Copy of INCEXC A'!E77</f>
        <v>Exclude</v>
      </c>
      <c r="I77" s="28" t="str">
        <f>'Copy of INCEXC B'!E77</f>
        <v/>
      </c>
      <c r="J77" s="28" t="b">
        <f t="shared" si="2"/>
        <v>0</v>
      </c>
      <c r="K77" s="28" t="b">
        <f t="shared" si="3"/>
        <v>0</v>
      </c>
    </row>
    <row r="78" hidden="1">
      <c r="A78" s="35" t="str">
        <f>'Copy of INCEXC A'!A78</f>
        <v>https://doi.org/10.1145/1839676.1839692</v>
      </c>
      <c r="B78" s="35" t="str">
        <f>'Copy of INCEXC B'!A78</f>
        <v>https://doi.org/10.1145/1839676.1839692</v>
      </c>
      <c r="C78" s="28" t="b">
        <f t="shared" si="1"/>
        <v>1</v>
      </c>
      <c r="E78" s="28" t="str">
        <f>'Copy of INCEXC A'!C78</f>
        <v>Keeping bits safe: how hard can it be?</v>
      </c>
      <c r="F78" s="28" t="str">
        <f>'Copy of INCEXC A'!D78</f>
        <v>Jonathan</v>
      </c>
      <c r="G78" s="28" t="str">
        <f>'Copy of INCEXC B'!D78</f>
        <v>Taylor</v>
      </c>
      <c r="H78" s="28" t="str">
        <f>'Copy of INCEXC A'!E78</f>
        <v/>
      </c>
      <c r="I78" s="28" t="str">
        <f>'Copy of INCEXC B'!E78</f>
        <v>Exclude</v>
      </c>
      <c r="J78" s="28" t="b">
        <f t="shared" si="2"/>
        <v>0</v>
      </c>
      <c r="K78" s="28" t="b">
        <f t="shared" si="3"/>
        <v>0</v>
      </c>
    </row>
    <row r="79" hidden="1">
      <c r="A79" s="35" t="str">
        <f>'Copy of INCEXC A'!A79</f>
        <v>https://doi.org/10.1145/1866029.1866078</v>
      </c>
      <c r="B79" s="35" t="str">
        <f>'Copy of INCEXC B'!A79</f>
        <v>https://doi.org/10.1145/1866029.1866078</v>
      </c>
      <c r="C79" s="28" t="b">
        <f t="shared" si="1"/>
        <v>1</v>
      </c>
      <c r="E79" s="28" t="str">
        <f>'Copy of INCEXC A'!C79</f>
        <v>Soylent: a word processor with a crowd inside</v>
      </c>
      <c r="F79" s="28" t="str">
        <f>'Copy of INCEXC A'!D79</f>
        <v>Kaiser</v>
      </c>
      <c r="G79" s="28" t="str">
        <f>'Copy of INCEXC B'!D79</f>
        <v>Ceren</v>
      </c>
      <c r="H79" s="28" t="str">
        <f>'Copy of INCEXC A'!E79</f>
        <v>Exclude</v>
      </c>
      <c r="I79" s="28" t="str">
        <f>'Copy of INCEXC B'!E79</f>
        <v/>
      </c>
      <c r="J79" s="28" t="b">
        <f t="shared" si="2"/>
        <v>0</v>
      </c>
      <c r="K79" s="28" t="b">
        <f t="shared" si="3"/>
        <v>0</v>
      </c>
    </row>
    <row r="80" hidden="1">
      <c r="A80" s="35" t="str">
        <f>'Copy of INCEXC A'!A80</f>
        <v>https://doi.org/10.1145/1866296.1866298</v>
      </c>
      <c r="B80" s="35" t="str">
        <f>'Copy of INCEXC B'!A80</f>
        <v>https://doi.org/10.1145/1866296.1866298</v>
      </c>
      <c r="C80" s="28" t="b">
        <f t="shared" si="1"/>
        <v>1</v>
      </c>
      <c r="E80" s="28" t="str">
        <f>'Copy of INCEXC A'!C80</f>
        <v>Keeping Bits Safe: How Hard Can It Be? As storage systems grow larger and larger</v>
      </c>
      <c r="F80" s="28" t="str">
        <f>'Copy of INCEXC A'!D80</f>
        <v>Kaiser</v>
      </c>
      <c r="G80" s="28" t="str">
        <f>'Copy of INCEXC B'!D80</f>
        <v>Ceren</v>
      </c>
      <c r="H80" s="28" t="str">
        <f>'Copy of INCEXC A'!E80</f>
        <v>Exclude</v>
      </c>
      <c r="I80" s="28" t="str">
        <f>'Copy of INCEXC B'!E80</f>
        <v/>
      </c>
      <c r="J80" s="28" t="b">
        <f t="shared" si="2"/>
        <v>0</v>
      </c>
      <c r="K80" s="28" t="b">
        <f t="shared" si="3"/>
        <v>0</v>
      </c>
    </row>
    <row r="81" hidden="1">
      <c r="A81" s="35" t="str">
        <f>'Copy of INCEXC A'!A81</f>
        <v>https://doi.org/10.1145/1899928.1899942</v>
      </c>
      <c r="B81" s="35" t="str">
        <f>'Copy of INCEXC B'!A81</f>
        <v>https://doi.org/10.1145/1899928.1899942</v>
      </c>
      <c r="C81" s="28" t="b">
        <f t="shared" si="1"/>
        <v>1</v>
      </c>
      <c r="E81" s="28" t="str">
        <f>'Copy of INCEXC A'!C81</f>
        <v>Enabling a marketplace of clouds: VMware's vCloud director</v>
      </c>
      <c r="F81" s="28" t="str">
        <f>'Copy of INCEXC A'!D81</f>
        <v>Marilyn</v>
      </c>
      <c r="G81" s="28" t="str">
        <f>'Copy of INCEXC B'!D81</f>
        <v>Ceren</v>
      </c>
      <c r="H81" s="28" t="str">
        <f>'Copy of INCEXC A'!E81</f>
        <v>Exclude</v>
      </c>
      <c r="I81" s="28" t="str">
        <f>'Copy of INCEXC B'!E81</f>
        <v/>
      </c>
      <c r="J81" s="28" t="b">
        <f t="shared" si="2"/>
        <v>0</v>
      </c>
      <c r="K81" s="28" t="b">
        <f t="shared" si="3"/>
        <v>0</v>
      </c>
    </row>
    <row r="82" hidden="1">
      <c r="A82" s="35" t="str">
        <f>'Copy of INCEXC A'!A82</f>
        <v>https://doi.org/10.1145/1944862.1944886</v>
      </c>
      <c r="B82" s="35" t="str">
        <f>'Copy of INCEXC B'!A82</f>
        <v>https://doi.org/10.1145/1944862.1944886</v>
      </c>
      <c r="C82" s="28" t="b">
        <f t="shared" si="1"/>
        <v>1</v>
      </c>
      <c r="E82" s="28" t="str">
        <f>'Copy of INCEXC A'!C82</f>
        <v>SWEEP: evaluating computer system energy efficiency using synthetic workloads</v>
      </c>
      <c r="F82" s="28" t="str">
        <f>'Copy of INCEXC A'!D82</f>
        <v>Kaiser</v>
      </c>
      <c r="G82" s="28" t="str">
        <f>'Copy of INCEXC B'!D82</f>
        <v>Taylor</v>
      </c>
      <c r="H82" s="28" t="str">
        <f>'Copy of INCEXC A'!E82</f>
        <v>Exclude</v>
      </c>
      <c r="I82" s="28" t="str">
        <f>'Copy of INCEXC B'!E82</f>
        <v>Exclude</v>
      </c>
      <c r="J82" s="28" t="b">
        <f t="shared" si="2"/>
        <v>1</v>
      </c>
      <c r="K82" s="28" t="b">
        <f t="shared" si="3"/>
        <v>0</v>
      </c>
    </row>
    <row r="83" hidden="1">
      <c r="A83" s="35" t="str">
        <f>'Copy of INCEXC A'!A83</f>
        <v>https://doi.org/10.1145/1945023.1945029</v>
      </c>
      <c r="B83" s="35" t="str">
        <f>'Copy of INCEXC B'!A83</f>
        <v>https://doi.org/10.1145/1945023.1945029</v>
      </c>
      <c r="C83" s="28" t="b">
        <f t="shared" si="1"/>
        <v>1</v>
      </c>
      <c r="E83" s="28" t="str">
        <f>'Copy of INCEXC A'!C83</f>
        <v>Challenges and opportunities for efficient computing with FAWN</v>
      </c>
      <c r="F83" s="28" t="str">
        <f>'Copy of INCEXC A'!D83</f>
        <v>Kaiser</v>
      </c>
      <c r="G83" s="28" t="str">
        <f>'Copy of INCEXC B'!D83</f>
        <v>Danni</v>
      </c>
      <c r="H83" s="28" t="str">
        <f>'Copy of INCEXC A'!E83</f>
        <v>Exclude</v>
      </c>
      <c r="I83" s="28" t="str">
        <f>'Copy of INCEXC B'!E83</f>
        <v>Exclude</v>
      </c>
      <c r="J83" s="28" t="b">
        <f t="shared" si="2"/>
        <v>1</v>
      </c>
      <c r="K83" s="28" t="b">
        <f t="shared" si="3"/>
        <v>0</v>
      </c>
    </row>
    <row r="84" hidden="1">
      <c r="A84" s="35" t="str">
        <f>'Copy of INCEXC A'!A84</f>
        <v>https://doi.org/10.1145/1965724.1965746</v>
      </c>
      <c r="B84" s="35" t="str">
        <f>'Copy of INCEXC B'!A84</f>
        <v>https://doi.org/10.1145/1965724.1965746</v>
      </c>
      <c r="C84" s="28" t="b">
        <f t="shared" si="1"/>
        <v>1</v>
      </c>
      <c r="E84" s="28" t="str">
        <f>'Copy of INCEXC A'!C84</f>
        <v>FAWN: a fast array of wimpy nodes: technical perspective</v>
      </c>
      <c r="F84" s="28" t="str">
        <f>'Copy of INCEXC A'!D84</f>
        <v>Marilyn</v>
      </c>
      <c r="G84" s="28" t="str">
        <f>'Copy of INCEXC B'!D84</f>
        <v>Taylor</v>
      </c>
      <c r="H84" s="28" t="str">
        <f>'Copy of INCEXC A'!E84</f>
        <v>Exclude</v>
      </c>
      <c r="I84" s="28" t="str">
        <f>'Copy of INCEXC B'!E84</f>
        <v>Exclude</v>
      </c>
      <c r="J84" s="28" t="b">
        <f t="shared" si="2"/>
        <v>1</v>
      </c>
      <c r="K84" s="28" t="b">
        <f t="shared" si="3"/>
        <v>0</v>
      </c>
    </row>
    <row r="85" hidden="1">
      <c r="A85" s="35" t="str">
        <f>'Copy of INCEXC A'!A85</f>
        <v>https://doi.org/10.1145/1965724.1965747</v>
      </c>
      <c r="B85" s="35" t="str">
        <f>'Copy of INCEXC B'!A85</f>
        <v>https://doi.org/10.1145/1965724.1965747</v>
      </c>
      <c r="C85" s="28" t="b">
        <f t="shared" si="1"/>
        <v>1</v>
      </c>
      <c r="E85" s="28" t="str">
        <f>'Copy of INCEXC A'!C85</f>
        <v>FAWN: a fast array of wimpy nodes</v>
      </c>
      <c r="F85" s="28" t="str">
        <f>'Copy of INCEXC A'!D85</f>
        <v>Kaiser</v>
      </c>
      <c r="G85" s="28" t="str">
        <f>'Copy of INCEXC B'!D85</f>
        <v>Ceren</v>
      </c>
      <c r="H85" s="28" t="str">
        <f>'Copy of INCEXC A'!E85</f>
        <v>Exclude</v>
      </c>
      <c r="I85" s="28" t="str">
        <f>'Copy of INCEXC B'!E85</f>
        <v/>
      </c>
      <c r="J85" s="28" t="b">
        <f t="shared" si="2"/>
        <v>0</v>
      </c>
      <c r="K85" s="28" t="b">
        <f t="shared" si="3"/>
        <v>0</v>
      </c>
    </row>
    <row r="86" hidden="1">
      <c r="A86" s="35" t="str">
        <f>'Copy of INCEXC A'!A86</f>
        <v>https://doi.org/10.1145/196734.196738</v>
      </c>
      <c r="B86" s="35" t="str">
        <f>'Copy of INCEXC B'!A86</f>
        <v>https://doi.org/10.1145/196734.196738</v>
      </c>
      <c r="C86" s="28" t="b">
        <f t="shared" si="1"/>
        <v>1</v>
      </c>
      <c r="E86" s="28" t="str">
        <f>'Copy of INCEXC A'!C86</f>
        <v>Finding a happy medium: explaining the negative effects of electronic communication on social life at work</v>
      </c>
      <c r="F86" s="28" t="str">
        <f>'Copy of INCEXC A'!D86</f>
        <v>Marilyn</v>
      </c>
      <c r="G86" s="28" t="str">
        <f>'Copy of INCEXC B'!D86</f>
        <v>Ceren</v>
      </c>
      <c r="H86" s="28" t="str">
        <f>'Copy of INCEXC A'!E86</f>
        <v>Exclude</v>
      </c>
      <c r="I86" s="28" t="str">
        <f>'Copy of INCEXC B'!E86</f>
        <v/>
      </c>
      <c r="J86" s="28" t="b">
        <f t="shared" si="2"/>
        <v>0</v>
      </c>
      <c r="K86" s="28" t="b">
        <f t="shared" si="3"/>
        <v>0</v>
      </c>
    </row>
    <row r="87" hidden="1">
      <c r="A87" s="35" t="str">
        <f>'Copy of INCEXC A'!A87</f>
        <v>https://doi.org/10.1145/1978942.1979209</v>
      </c>
      <c r="B87" s="35" t="str">
        <f>'Copy of INCEXC B'!A87</f>
        <v>https://doi.org/10.1145/1978942.1979209</v>
      </c>
      <c r="C87" s="28" t="b">
        <f t="shared" si="1"/>
        <v>1</v>
      </c>
      <c r="E87" s="28" t="str">
        <f>'Copy of INCEXC A'!C87</f>
        <v>Evaluating longitudinal projects combining technology with temporal arts</v>
      </c>
      <c r="F87" s="28" t="str">
        <f>'Copy of INCEXC A'!D87</f>
        <v>Jonathan</v>
      </c>
      <c r="G87" s="28" t="str">
        <f>'Copy of INCEXC B'!D87</f>
        <v>Ceren</v>
      </c>
      <c r="H87" s="28" t="str">
        <f>'Copy of INCEXC A'!E87</f>
        <v/>
      </c>
      <c r="I87" s="28" t="str">
        <f>'Copy of INCEXC B'!E87</f>
        <v/>
      </c>
      <c r="J87" s="28" t="b">
        <f t="shared" si="2"/>
        <v>1</v>
      </c>
      <c r="K87" s="28" t="b">
        <f t="shared" si="3"/>
        <v>0</v>
      </c>
    </row>
    <row r="88" hidden="1">
      <c r="A88" s="35" t="str">
        <f>'Copy of INCEXC A'!A88</f>
        <v>https://doi.org/10.1145/1989323.1989327</v>
      </c>
      <c r="B88" s="35" t="str">
        <f>'Copy of INCEXC B'!A88</f>
        <v>https://doi.org/10.1145/1989323.1989327</v>
      </c>
      <c r="C88" s="28" t="b">
        <f t="shared" si="1"/>
        <v>1</v>
      </c>
      <c r="E88" s="28" t="str">
        <f>'Copy of INCEXC A'!C88</f>
        <v>SkimpyStash: RAM space skimpy key-value store on flash-based storage</v>
      </c>
      <c r="F88" s="28" t="str">
        <f>'Copy of INCEXC A'!D88</f>
        <v>Kaiser</v>
      </c>
      <c r="G88" s="28" t="str">
        <f>'Copy of INCEXC B'!D88</f>
        <v>Danni</v>
      </c>
      <c r="H88" s="28" t="str">
        <f>'Copy of INCEXC A'!E88</f>
        <v>Exclude</v>
      </c>
      <c r="I88" s="28" t="str">
        <f>'Copy of INCEXC B'!E88</f>
        <v>Exclude</v>
      </c>
      <c r="J88" s="28" t="b">
        <f t="shared" si="2"/>
        <v>1</v>
      </c>
      <c r="K88" s="28" t="b">
        <f t="shared" si="3"/>
        <v>0</v>
      </c>
    </row>
    <row r="89" hidden="1">
      <c r="A89" s="35" t="str">
        <f>'Copy of INCEXC A'!A89</f>
        <v>https://doi.org/10.1145/1989323.1989461</v>
      </c>
      <c r="B89" s="35" t="str">
        <f>'Copy of INCEXC B'!A89</f>
        <v>https://doi.org/10.1145/1989323.1989461</v>
      </c>
      <c r="C89" s="28" t="b">
        <f t="shared" si="1"/>
        <v>1</v>
      </c>
      <c r="E89" s="28" t="str">
        <f>'Copy of INCEXC A'!C89</f>
        <v>WattDB: an energy-proportional cluster of wimpy nodes</v>
      </c>
      <c r="F89" s="28" t="str">
        <f>'Copy of INCEXC A'!D89</f>
        <v>Kaiser</v>
      </c>
      <c r="G89" s="28" t="str">
        <f>'Copy of INCEXC B'!D89</f>
        <v>Taylor</v>
      </c>
      <c r="H89" s="28" t="str">
        <f>'Copy of INCEXC A'!E89</f>
        <v>Exclude</v>
      </c>
      <c r="I89" s="28" t="str">
        <f>'Copy of INCEXC B'!E89</f>
        <v>Exclude</v>
      </c>
      <c r="J89" s="28" t="b">
        <f t="shared" si="2"/>
        <v>1</v>
      </c>
      <c r="K89" s="28" t="b">
        <f t="shared" si="3"/>
        <v>0</v>
      </c>
    </row>
    <row r="90" hidden="1">
      <c r="A90" s="35" t="str">
        <f>'Copy of INCEXC A'!A90</f>
        <v>https://doi.org/10.1145/1995896.1995926</v>
      </c>
      <c r="B90" s="35" t="str">
        <f>'Copy of INCEXC B'!A90</f>
        <v>https://doi.org/10.1145/1995896.1995926</v>
      </c>
      <c r="C90" s="28" t="b">
        <f t="shared" si="1"/>
        <v>1</v>
      </c>
      <c r="E90" s="28" t="str">
        <f>'Copy of INCEXC A'!C90</f>
        <v>Optimizing the datacenter for data-centric workloads</v>
      </c>
      <c r="F90" s="28" t="str">
        <f>'Copy of INCEXC A'!D90</f>
        <v>Kaiser</v>
      </c>
      <c r="G90" s="28" t="str">
        <f>'Copy of INCEXC B'!D90</f>
        <v>Ceren</v>
      </c>
      <c r="H90" s="28" t="str">
        <f>'Copy of INCEXC A'!E90</f>
        <v>Exclude</v>
      </c>
      <c r="I90" s="28" t="str">
        <f>'Copy of INCEXC B'!E90</f>
        <v/>
      </c>
      <c r="J90" s="28" t="b">
        <f t="shared" si="2"/>
        <v>0</v>
      </c>
      <c r="K90" s="28" t="b">
        <f t="shared" si="3"/>
        <v>0</v>
      </c>
    </row>
    <row r="91" hidden="1">
      <c r="A91" s="35" t="str">
        <f>'Copy of INCEXC A'!A91</f>
        <v>https://doi.org/10.1145/199688.199776</v>
      </c>
      <c r="B91" s="35" t="str">
        <f>'Copy of INCEXC B'!A91</f>
        <v>https://doi.org/10.1145/199688.199776</v>
      </c>
      <c r="C91" s="28" t="b">
        <f t="shared" si="1"/>
        <v>1</v>
      </c>
      <c r="E91" s="28" t="str">
        <f>'Copy of INCEXC A'!C91</f>
        <v>Inexpensive advanced graphics applications for the C.S. majors graphics class</v>
      </c>
      <c r="F91" s="28" t="str">
        <f>'Copy of INCEXC A'!D91</f>
        <v>Marilyn</v>
      </c>
      <c r="G91" s="28" t="str">
        <f>'Copy of INCEXC B'!D91</f>
        <v>Danni</v>
      </c>
      <c r="H91" s="28" t="str">
        <f>'Copy of INCEXC A'!E91</f>
        <v>Exclude</v>
      </c>
      <c r="I91" s="28" t="str">
        <f>'Copy of INCEXC B'!E91</f>
        <v>Exclude</v>
      </c>
      <c r="J91" s="28" t="b">
        <f t="shared" si="2"/>
        <v>1</v>
      </c>
      <c r="K91" s="28" t="b">
        <f t="shared" si="3"/>
        <v>0</v>
      </c>
    </row>
    <row r="92" hidden="1">
      <c r="A92" s="35" t="str">
        <f>'Copy of INCEXC A'!A92</f>
        <v>https://doi.org/10.1145/2003690.2003693</v>
      </c>
      <c r="B92" s="35" t="str">
        <f>'Copy of INCEXC B'!A92</f>
        <v>https://doi.org/10.1145/2003690.2003693</v>
      </c>
      <c r="C92" s="28" t="b">
        <f t="shared" si="1"/>
        <v>1</v>
      </c>
      <c r="E92" s="28" t="str">
        <f>'Copy of INCEXC A'!C92</f>
        <v>Mobile processors for energy-efficient web search</v>
      </c>
      <c r="F92" s="28" t="str">
        <f>'Copy of INCEXC A'!D92</f>
        <v>Jonathan</v>
      </c>
      <c r="G92" s="28" t="str">
        <f>'Copy of INCEXC B'!D92</f>
        <v>Ceren</v>
      </c>
      <c r="H92" s="28" t="str">
        <f>'Copy of INCEXC A'!E92</f>
        <v/>
      </c>
      <c r="I92" s="28" t="str">
        <f>'Copy of INCEXC B'!E92</f>
        <v/>
      </c>
      <c r="J92" s="28" t="b">
        <f t="shared" si="2"/>
        <v>1</v>
      </c>
      <c r="K92" s="28" t="b">
        <f t="shared" si="3"/>
        <v>0</v>
      </c>
    </row>
    <row r="93" hidden="1">
      <c r="A93" s="35" t="str">
        <f>'Copy of INCEXC A'!A93</f>
        <v>https://doi.org/10.1145/2018584.2018596</v>
      </c>
      <c r="B93" s="35" t="str">
        <f>'Copy of INCEXC B'!A93</f>
        <v>https://doi.org/10.1145/2018584.2018596</v>
      </c>
      <c r="C93" s="28" t="b">
        <f t="shared" si="1"/>
        <v>1</v>
      </c>
      <c r="E93" s="28" t="str">
        <f>'Copy of INCEXC A'!C93</f>
        <v>A reality check for content centric networking</v>
      </c>
      <c r="F93" s="28" t="str">
        <f>'Copy of INCEXC A'!D93</f>
        <v>Kaiser</v>
      </c>
      <c r="G93" s="28" t="str">
        <f>'Copy of INCEXC B'!D93</f>
        <v>Taylor</v>
      </c>
      <c r="H93" s="28" t="str">
        <f>'Copy of INCEXC A'!E93</f>
        <v>Exclude</v>
      </c>
      <c r="I93" s="28" t="str">
        <f>'Copy of INCEXC B'!E93</f>
        <v>Exclude</v>
      </c>
      <c r="J93" s="28" t="b">
        <f t="shared" si="2"/>
        <v>1</v>
      </c>
      <c r="K93" s="28" t="b">
        <f t="shared" si="3"/>
        <v>0</v>
      </c>
    </row>
    <row r="94" hidden="1">
      <c r="A94" s="35" t="str">
        <f>'Copy of INCEXC A'!A94</f>
        <v>https://doi.org/10.1145/2038916.2038917</v>
      </c>
      <c r="B94" s="35" t="str">
        <f>'Copy of INCEXC B'!A94</f>
        <v>https://doi.org/10.1145/2038916.2038917</v>
      </c>
      <c r="C94" s="28" t="b">
        <f t="shared" si="1"/>
        <v>1</v>
      </c>
      <c r="E94" s="28" t="str">
        <f>'Copy of INCEXC A'!C94</f>
        <v>An efficient multi-tier tablet server storage architecture</v>
      </c>
      <c r="F94" s="28" t="str">
        <f>'Copy of INCEXC A'!D94</f>
        <v>Jonathan</v>
      </c>
      <c r="G94" s="28" t="str">
        <f>'Copy of INCEXC B'!D94</f>
        <v>Taylor</v>
      </c>
      <c r="H94" s="28" t="str">
        <f>'Copy of INCEXC A'!E94</f>
        <v/>
      </c>
      <c r="I94" s="28" t="str">
        <f>'Copy of INCEXC B'!E94</f>
        <v>Exclude</v>
      </c>
      <c r="J94" s="28" t="b">
        <f t="shared" si="2"/>
        <v>0</v>
      </c>
      <c r="K94" s="28" t="b">
        <f t="shared" si="3"/>
        <v>0</v>
      </c>
    </row>
    <row r="95" hidden="1">
      <c r="A95" s="35" t="str">
        <f>'Copy of INCEXC A'!A95</f>
        <v>https://doi.org/10.1145/2038916.2038939</v>
      </c>
      <c r="B95" s="35" t="str">
        <f>'Copy of INCEXC B'!A95</f>
        <v>https://doi.org/10.1145/2038916.2038939</v>
      </c>
      <c r="C95" s="28" t="b">
        <f t="shared" si="1"/>
        <v>1</v>
      </c>
      <c r="E95" s="28" t="str">
        <f>'Copy of INCEXC A'!C95</f>
        <v>Small cache</v>
      </c>
      <c r="F95" s="28" t="str">
        <f>'Copy of INCEXC A'!D95</f>
        <v>Jonathan</v>
      </c>
      <c r="G95" s="28" t="str">
        <f>'Copy of INCEXC B'!D95</f>
        <v>Ceren</v>
      </c>
      <c r="H95" s="28" t="str">
        <f>'Copy of INCEXC A'!E95</f>
        <v/>
      </c>
      <c r="I95" s="28" t="str">
        <f>'Copy of INCEXC B'!E95</f>
        <v/>
      </c>
      <c r="J95" s="28" t="b">
        <f t="shared" si="2"/>
        <v>1</v>
      </c>
      <c r="K95" s="28" t="b">
        <f t="shared" si="3"/>
        <v>0</v>
      </c>
    </row>
    <row r="96" hidden="1">
      <c r="A96" s="35" t="str">
        <f>'Copy of INCEXC A'!A96</f>
        <v>https://doi.org/10.1145/2043556.2043558</v>
      </c>
      <c r="B96" s="35" t="str">
        <f>'Copy of INCEXC B'!A96</f>
        <v>https://doi.org/10.1145/2043556.2043558</v>
      </c>
      <c r="C96" s="28" t="b">
        <f t="shared" si="1"/>
        <v>1</v>
      </c>
      <c r="E96" s="28" t="str">
        <f>'Copy of INCEXC A'!C96</f>
        <v>SILT: a memory-efficient</v>
      </c>
      <c r="F96" s="28" t="str">
        <f>'Copy of INCEXC A'!D96</f>
        <v>Jonathan</v>
      </c>
      <c r="G96" s="28" t="str">
        <f>'Copy of INCEXC B'!D96</f>
        <v>Ceren</v>
      </c>
      <c r="H96" s="28" t="str">
        <f>'Copy of INCEXC A'!E96</f>
        <v/>
      </c>
      <c r="I96" s="28" t="str">
        <f>'Copy of INCEXC B'!E96</f>
        <v/>
      </c>
      <c r="J96" s="28" t="b">
        <f t="shared" si="2"/>
        <v>1</v>
      </c>
      <c r="K96" s="28" t="b">
        <f t="shared" si="3"/>
        <v>0</v>
      </c>
    </row>
    <row r="97" hidden="1">
      <c r="A97" s="35" t="str">
        <f>'Copy of INCEXC A'!A97</f>
        <v>https://doi.org/10.1145/2043556.2043593</v>
      </c>
      <c r="B97" s="35" t="str">
        <f>'Copy of INCEXC B'!A97</f>
        <v>https://doi.org/10.1145/2043556.2043593</v>
      </c>
      <c r="C97" s="28" t="b">
        <f t="shared" si="1"/>
        <v>1</v>
      </c>
      <c r="E97" s="28" t="str">
        <f>'Copy of INCEXC A'!C97</f>
        <v>Don't settle for eventual: scalable causal consistency for wide-area storage with COPS</v>
      </c>
      <c r="F97" s="28" t="str">
        <f>'Copy of INCEXC A'!D97</f>
        <v>Jonathan</v>
      </c>
      <c r="G97" s="28" t="str">
        <f>'Copy of INCEXC B'!D97</f>
        <v>Ceren</v>
      </c>
      <c r="H97" s="28" t="str">
        <f>'Copy of INCEXC A'!E97</f>
        <v/>
      </c>
      <c r="I97" s="28" t="str">
        <f>'Copy of INCEXC B'!E97</f>
        <v/>
      </c>
      <c r="J97" s="28" t="b">
        <f t="shared" si="2"/>
        <v>1</v>
      </c>
      <c r="K97" s="28" t="b">
        <f t="shared" si="3"/>
        <v>0</v>
      </c>
    </row>
    <row r="98" hidden="1">
      <c r="A98" s="35" t="str">
        <f>'Copy of INCEXC A'!A98</f>
        <v>https://doi.org/10.1145/2107502.2107511</v>
      </c>
      <c r="B98" s="35" t="str">
        <f>'Copy of INCEXC B'!A98</f>
        <v>https://doi.org/10.1145/2107502.2107511</v>
      </c>
      <c r="C98" s="28" t="b">
        <f t="shared" si="1"/>
        <v>1</v>
      </c>
      <c r="E98" s="28" t="str">
        <f>'Copy of INCEXC A'!C98</f>
        <v>The hare and the tortoise: taming wireless losses by exploiting wired reliability</v>
      </c>
      <c r="F98" s="28" t="str">
        <f>'Copy of INCEXC A'!D98</f>
        <v>Marilyn</v>
      </c>
      <c r="G98" s="28" t="str">
        <f>'Copy of INCEXC B'!D98</f>
        <v>Ceren</v>
      </c>
      <c r="H98" s="28" t="str">
        <f>'Copy of INCEXC A'!E98</f>
        <v>Exclude</v>
      </c>
      <c r="I98" s="28" t="str">
        <f>'Copy of INCEXC B'!E98</f>
        <v/>
      </c>
      <c r="J98" s="28" t="b">
        <f t="shared" si="2"/>
        <v>0</v>
      </c>
      <c r="K98" s="28" t="b">
        <f t="shared" si="3"/>
        <v>0</v>
      </c>
    </row>
    <row r="99" hidden="1">
      <c r="A99" s="35" t="str">
        <f>'Copy of INCEXC A'!A99</f>
        <v>https://doi.org/10.1145/2110205.2110209</v>
      </c>
      <c r="B99" s="35" t="str">
        <f>'Copy of INCEXC B'!A99</f>
        <v>https://doi.org/10.1145/2110205.2110209</v>
      </c>
      <c r="C99" s="28" t="b">
        <f t="shared" si="1"/>
        <v>1</v>
      </c>
      <c r="E99" s="28" t="str">
        <f>'Copy of INCEXC A'!C99</f>
        <v>Using active NVRAM for I/O staging</v>
      </c>
      <c r="F99" s="28" t="str">
        <f>'Copy of INCEXC A'!D99</f>
        <v>Kaiser</v>
      </c>
      <c r="G99" s="28" t="str">
        <f>'Copy of INCEXC B'!D99</f>
        <v>Ceren</v>
      </c>
      <c r="H99" s="28" t="str">
        <f>'Copy of INCEXC A'!E99</f>
        <v>Exclude</v>
      </c>
      <c r="I99" s="28" t="str">
        <f>'Copy of INCEXC B'!E99</f>
        <v/>
      </c>
      <c r="J99" s="28" t="b">
        <f t="shared" si="2"/>
        <v>0</v>
      </c>
      <c r="K99" s="28" t="b">
        <f t="shared" si="3"/>
        <v>0</v>
      </c>
    </row>
    <row r="100" hidden="1">
      <c r="A100" s="35" t="str">
        <f>'Copy of INCEXC A'!A100</f>
        <v>https://doi.org/10.1145/2124295.2124300</v>
      </c>
      <c r="B100" s="35" t="str">
        <f>'Copy of INCEXC B'!A100</f>
        <v>https://doi.org/10.1145/2124295.2124300</v>
      </c>
      <c r="C100" s="28" t="b">
        <f t="shared" si="1"/>
        <v>1</v>
      </c>
      <c r="E100" s="28" t="str">
        <f>'Copy of INCEXC A'!C100</f>
        <v>Auralist: introducing serendipity into music recommendation</v>
      </c>
      <c r="F100" s="28" t="str">
        <f>'Copy of INCEXC A'!D100</f>
        <v>Kaiser</v>
      </c>
      <c r="G100" s="28" t="str">
        <f>'Copy of INCEXC B'!D100</f>
        <v>Ceren</v>
      </c>
      <c r="H100" s="28" t="str">
        <f>'Copy of INCEXC A'!E100</f>
        <v>Exclude</v>
      </c>
      <c r="I100" s="28" t="str">
        <f>'Copy of INCEXC B'!E100</f>
        <v/>
      </c>
      <c r="J100" s="28" t="b">
        <f t="shared" si="2"/>
        <v>0</v>
      </c>
      <c r="K100" s="28" t="b">
        <f t="shared" si="3"/>
        <v>0</v>
      </c>
    </row>
    <row r="101" hidden="1">
      <c r="A101" s="35" t="str">
        <f>'Copy of INCEXC A'!A101</f>
        <v>https://doi.org/10.1145/2133382.2133388</v>
      </c>
      <c r="B101" s="35" t="str">
        <f>'Copy of INCEXC B'!A101</f>
        <v>https://doi.org/10.1145/2133382.2133388</v>
      </c>
      <c r="C101" s="28" t="b">
        <f t="shared" si="1"/>
        <v>1</v>
      </c>
      <c r="E101" s="28" t="str">
        <f>'Copy of INCEXC A'!C101</f>
        <v>A Massively Parallel</v>
      </c>
      <c r="F101" s="28" t="str">
        <f>'Copy of INCEXC A'!D101</f>
        <v>Jonathan</v>
      </c>
      <c r="G101" s="28" t="str">
        <f>'Copy of INCEXC B'!D101</f>
        <v>Taylor</v>
      </c>
      <c r="H101" s="28" t="str">
        <f>'Copy of INCEXC A'!E101</f>
        <v/>
      </c>
      <c r="I101" s="28" t="str">
        <f>'Copy of INCEXC B'!E101</f>
        <v>Exclude</v>
      </c>
      <c r="J101" s="28" t="b">
        <f t="shared" si="2"/>
        <v>0</v>
      </c>
      <c r="K101" s="28" t="b">
        <f t="shared" si="3"/>
        <v>0</v>
      </c>
    </row>
    <row r="102" hidden="1">
      <c r="A102" s="35" t="str">
        <f>'Copy of INCEXC A'!A102</f>
        <v>https://doi.org/10.1145/2146382.2146391</v>
      </c>
      <c r="B102" s="35" t="str">
        <f>'Copy of INCEXC B'!A102</f>
        <v>https://doi.org/10.1145/2146382.2146391</v>
      </c>
      <c r="C102" s="28" t="b">
        <f t="shared" si="1"/>
        <v>1</v>
      </c>
      <c r="E102" s="28" t="str">
        <f>'Copy of INCEXC A'!C102</f>
        <v>From paxos to CORFU: a flash-speed shared log</v>
      </c>
      <c r="F102" s="28" t="str">
        <f>'Copy of INCEXC A'!D102</f>
        <v>Kaiser</v>
      </c>
      <c r="G102" s="28" t="str">
        <f>'Copy of INCEXC B'!D102</f>
        <v>Taylor</v>
      </c>
      <c r="H102" s="28" t="str">
        <f>'Copy of INCEXC A'!E102</f>
        <v>Exclude</v>
      </c>
      <c r="I102" s="28" t="str">
        <f>'Copy of INCEXC B'!E102</f>
        <v>Exclude</v>
      </c>
      <c r="J102" s="28" t="b">
        <f t="shared" si="2"/>
        <v>1</v>
      </c>
      <c r="K102" s="28" t="b">
        <f t="shared" si="3"/>
        <v>0</v>
      </c>
    </row>
    <row r="103" hidden="1">
      <c r="A103" s="35" t="str">
        <f>'Copy of INCEXC A'!A103</f>
        <v>https://doi.org/10.1145/2155620.2155651</v>
      </c>
      <c r="B103" s="35" t="str">
        <f>'Copy of INCEXC B'!A103</f>
        <v>https://doi.org/10.1145/2155620.2155651</v>
      </c>
      <c r="C103" s="28" t="b">
        <f t="shared" si="1"/>
        <v>1</v>
      </c>
      <c r="E103" s="28" t="str">
        <f>'Copy of INCEXC A'!C103</f>
        <v>System-level integrated server architectures for scale-out datacenters</v>
      </c>
      <c r="F103" s="28" t="str">
        <f>'Copy of INCEXC A'!D103</f>
        <v>Kaiser</v>
      </c>
      <c r="G103" s="28" t="str">
        <f>'Copy of INCEXC B'!D103</f>
        <v>Taylor</v>
      </c>
      <c r="H103" s="28" t="str">
        <f>'Copy of INCEXC A'!E103</f>
        <v>Exclude</v>
      </c>
      <c r="I103" s="28" t="str">
        <f>'Copy of INCEXC B'!E103</f>
        <v>Exclude</v>
      </c>
      <c r="J103" s="28" t="b">
        <f t="shared" si="2"/>
        <v>1</v>
      </c>
      <c r="K103" s="28" t="b">
        <f t="shared" si="3"/>
        <v>0</v>
      </c>
    </row>
    <row r="104" hidden="1">
      <c r="A104" s="35" t="str">
        <f>'Copy of INCEXC A'!A104</f>
        <v>https://doi.org/10.1145/2188286.2188316</v>
      </c>
      <c r="B104" s="35" t="str">
        <f>'Copy of INCEXC B'!A104</f>
        <v>https://doi.org/10.1145/2188286.2188316</v>
      </c>
      <c r="C104" s="28" t="b">
        <f t="shared" si="1"/>
        <v>1</v>
      </c>
      <c r="E104" s="28" t="str">
        <f>'Copy of INCEXC A'!C104</f>
        <v>Studying hardware and software trade-offs for a real-life web 2.0 workload</v>
      </c>
      <c r="F104" s="28" t="str">
        <f>'Copy of INCEXC A'!D104</f>
        <v>Marilyn</v>
      </c>
      <c r="G104" s="28" t="str">
        <f>'Copy of INCEXC B'!D104</f>
        <v>Ceren</v>
      </c>
      <c r="H104" s="28" t="str">
        <f>'Copy of INCEXC A'!E104</f>
        <v>Exclude</v>
      </c>
      <c r="I104" s="28" t="str">
        <f>'Copy of INCEXC B'!E104</f>
        <v/>
      </c>
      <c r="J104" s="28" t="b">
        <f t="shared" si="2"/>
        <v>0</v>
      </c>
      <c r="K104" s="28" t="b">
        <f t="shared" si="3"/>
        <v>0</v>
      </c>
    </row>
    <row r="105" hidden="1">
      <c r="A105" s="35" t="str">
        <f>'Copy of INCEXC A'!A105</f>
        <v>https://doi.org/10.1145/221270.221624</v>
      </c>
      <c r="B105" s="35" t="str">
        <f>'Copy of INCEXC B'!A105</f>
        <v>https://doi.org/10.1145/221270.221624</v>
      </c>
      <c r="C105" s="28" t="b">
        <f t="shared" si="1"/>
        <v>1</v>
      </c>
      <c r="E105" s="28" t="str">
        <f>'Copy of INCEXC A'!C105</f>
        <v>Application of knowledge base design techniques to genetic markers</v>
      </c>
      <c r="F105" s="28" t="str">
        <f>'Copy of INCEXC A'!D105</f>
        <v>Kaiser</v>
      </c>
      <c r="G105" s="28" t="str">
        <f>'Copy of INCEXC B'!D105</f>
        <v>Danni</v>
      </c>
      <c r="H105" s="28" t="str">
        <f>'Copy of INCEXC A'!E105</f>
        <v>Exclude</v>
      </c>
      <c r="I105" s="28" t="str">
        <f>'Copy of INCEXC B'!E105</f>
        <v>Exclude</v>
      </c>
      <c r="J105" s="28" t="b">
        <f t="shared" si="2"/>
        <v>1</v>
      </c>
      <c r="K105" s="28" t="b">
        <f t="shared" si="3"/>
        <v>0</v>
      </c>
    </row>
    <row r="106" hidden="1">
      <c r="A106" s="35" t="str">
        <f>'Copy of INCEXC A'!A106</f>
        <v>https://doi.org/10.1145/2212908.2212915</v>
      </c>
      <c r="B106" s="35" t="str">
        <f>'Copy of INCEXC B'!A106</f>
        <v>https://doi.org/10.1145/2212908.2212915</v>
      </c>
      <c r="C106" s="28" t="b">
        <f t="shared" si="1"/>
        <v>1</v>
      </c>
      <c r="E106" s="28" t="str">
        <f>'Copy of INCEXC A'!C106</f>
        <v>A limits study of benefits from nanostore-based future data-centric system architectures</v>
      </c>
      <c r="F106" s="28" t="str">
        <f>'Copy of INCEXC A'!D106</f>
        <v>Kaiser</v>
      </c>
      <c r="G106" s="28" t="str">
        <f>'Copy of INCEXC B'!D106</f>
        <v>Ceren</v>
      </c>
      <c r="H106" s="28" t="str">
        <f>'Copy of INCEXC A'!E106</f>
        <v>Exclude</v>
      </c>
      <c r="I106" s="28" t="str">
        <f>'Copy of INCEXC B'!E106</f>
        <v/>
      </c>
      <c r="J106" s="28" t="b">
        <f t="shared" si="2"/>
        <v>0</v>
      </c>
      <c r="K106" s="28" t="b">
        <f t="shared" si="3"/>
        <v>0</v>
      </c>
    </row>
    <row r="107" hidden="1">
      <c r="A107" s="35" t="str">
        <f>'Copy of INCEXC A'!A107</f>
        <v>https://doi.org/10.1145/2254756.2254766</v>
      </c>
      <c r="B107" s="35" t="str">
        <f>'Copy of INCEXC B'!A107</f>
        <v>https://doi.org/10.1145/2254756.2254766</v>
      </c>
      <c r="C107" s="28" t="b">
        <f t="shared" si="1"/>
        <v>1</v>
      </c>
      <c r="E107" s="28" t="str">
        <f>'Copy of INCEXC A'!C107</f>
        <v>Workload analysis of a large-scale key-value store</v>
      </c>
      <c r="F107" s="28" t="str">
        <f>'Copy of INCEXC A'!D107</f>
        <v>Kaiser</v>
      </c>
      <c r="G107" s="28" t="str">
        <f>'Copy of INCEXC B'!D107</f>
        <v>Danni</v>
      </c>
      <c r="H107" s="28" t="str">
        <f>'Copy of INCEXC A'!E107</f>
        <v>Exclude</v>
      </c>
      <c r="I107" s="28" t="str">
        <f>'Copy of INCEXC B'!E107</f>
        <v>Exclude</v>
      </c>
      <c r="J107" s="28" t="b">
        <f t="shared" si="2"/>
        <v>1</v>
      </c>
      <c r="K107" s="28" t="b">
        <f t="shared" si="3"/>
        <v>0</v>
      </c>
    </row>
    <row r="108" hidden="1">
      <c r="A108" s="35" t="str">
        <f>'Copy of INCEXC A'!A108</f>
        <v>https://doi.org/10.1145/2336727.2336738</v>
      </c>
      <c r="B108" s="35" t="str">
        <f>'Copy of INCEXC B'!A108</f>
        <v>https://doi.org/10.1145/2336727.2336738</v>
      </c>
      <c r="C108" s="28" t="b">
        <f t="shared" si="1"/>
        <v>1</v>
      </c>
      <c r="E108" s="28" t="str">
        <f>'Copy of INCEXC A'!C108</f>
        <v>An investigation of player to player character identification via personal pronouns</v>
      </c>
      <c r="F108" s="28" t="str">
        <f>'Copy of INCEXC A'!D108</f>
        <v>Jonathan</v>
      </c>
      <c r="G108" s="28" t="str">
        <f>'Copy of INCEXC B'!D108</f>
        <v>Ceren</v>
      </c>
      <c r="H108" s="28" t="str">
        <f>'Copy of INCEXC A'!E108</f>
        <v/>
      </c>
      <c r="I108" s="28" t="str">
        <f>'Copy of INCEXC B'!E108</f>
        <v/>
      </c>
      <c r="J108" s="28" t="b">
        <f t="shared" si="2"/>
        <v>1</v>
      </c>
      <c r="K108" s="28" t="b">
        <f t="shared" si="3"/>
        <v>0</v>
      </c>
    </row>
    <row r="109" hidden="1">
      <c r="A109" s="35" t="str">
        <f>'Copy of INCEXC A'!A109</f>
        <v>https://doi.org/10.1145/2342356.2342360</v>
      </c>
      <c r="B109" s="35" t="str">
        <f>'Copy of INCEXC B'!A109</f>
        <v>https://doi.org/10.1145/2342356.2342360</v>
      </c>
      <c r="C109" s="28" t="b">
        <f t="shared" si="1"/>
        <v>1</v>
      </c>
      <c r="E109" s="28" t="str">
        <f>'Copy of INCEXC A'!C109</f>
        <v>HyperDex: a distributed</v>
      </c>
      <c r="F109" s="28" t="str">
        <f>'Copy of INCEXC A'!D109</f>
        <v>Marilyn</v>
      </c>
      <c r="G109" s="28" t="str">
        <f>'Copy of INCEXC B'!D109</f>
        <v>Ceren</v>
      </c>
      <c r="H109" s="28" t="str">
        <f>'Copy of INCEXC A'!E109</f>
        <v>Exclude</v>
      </c>
      <c r="I109" s="28" t="str">
        <f>'Copy of INCEXC B'!E109</f>
        <v/>
      </c>
      <c r="J109" s="28" t="b">
        <f t="shared" si="2"/>
        <v>0</v>
      </c>
      <c r="K109" s="28" t="b">
        <f t="shared" si="3"/>
        <v>0</v>
      </c>
    </row>
    <row r="110" hidden="1">
      <c r="A110" s="35" t="str">
        <f>'Copy of INCEXC A'!A110</f>
        <v>https://doi.org/10.1145/2365946.2365951</v>
      </c>
      <c r="B110" s="35" t="str">
        <f>'Copy of INCEXC B'!A110</f>
        <v>https://doi.org/10.1145/2365946.2365951</v>
      </c>
      <c r="C110" s="28" t="b">
        <f t="shared" si="1"/>
        <v>1</v>
      </c>
      <c r="E110" s="28" t="str">
        <f>'Copy of INCEXC A'!C110</f>
        <v>get lost	GetLostBot!: annoying people by offering recommendations when they are not wanted</v>
      </c>
      <c r="F110" s="28" t="str">
        <f>'Copy of INCEXC A'!D110</f>
        <v>Jonathan</v>
      </c>
      <c r="G110" s="28" t="str">
        <f>'Copy of INCEXC B'!D110</f>
        <v>Danni</v>
      </c>
      <c r="H110" s="28" t="str">
        <f>'Copy of INCEXC A'!E110</f>
        <v/>
      </c>
      <c r="I110" s="28" t="str">
        <f>'Copy of INCEXC B'!E110</f>
        <v>Exclude</v>
      </c>
      <c r="J110" s="28" t="b">
        <f t="shared" si="2"/>
        <v>0</v>
      </c>
      <c r="K110" s="28" t="b">
        <f t="shared" si="3"/>
        <v>0</v>
      </c>
    </row>
    <row r="111" hidden="1">
      <c r="A111" s="35" t="str">
        <f>'Copy of INCEXC A'!A111</f>
        <v>https://doi.org/10.1145/2377677.2377681</v>
      </c>
      <c r="B111" s="35" t="str">
        <f>'Copy of INCEXC B'!A111</f>
        <v>https://doi.org/10.1145/2377677.2377681</v>
      </c>
      <c r="C111" s="28" t="b">
        <f t="shared" si="1"/>
        <v>1</v>
      </c>
      <c r="E111" s="28" t="str">
        <f>'Copy of INCEXC A'!C111</f>
        <v>HyperDex: a distributed</v>
      </c>
      <c r="F111" s="28" t="str">
        <f>'Copy of INCEXC A'!D111</f>
        <v>Kaiser</v>
      </c>
      <c r="G111" s="28" t="str">
        <f>'Copy of INCEXC B'!D111</f>
        <v>Taylor</v>
      </c>
      <c r="H111" s="28" t="str">
        <f>'Copy of INCEXC A'!E111</f>
        <v>Exclude</v>
      </c>
      <c r="I111" s="28" t="str">
        <f>'Copy of INCEXC B'!E111</f>
        <v>Exclude</v>
      </c>
      <c r="J111" s="28" t="b">
        <f t="shared" si="2"/>
        <v>1</v>
      </c>
      <c r="K111" s="28" t="b">
        <f t="shared" si="3"/>
        <v>0</v>
      </c>
    </row>
    <row r="112" hidden="1">
      <c r="A112" s="35" t="str">
        <f>'Copy of INCEXC A'!A112</f>
        <v>https://doi.org/10.1145/2378356.2378361</v>
      </c>
      <c r="B112" s="35" t="str">
        <f>'Copy of INCEXC B'!A112</f>
        <v>https://doi.org/10.1145/2378356.2378361</v>
      </c>
      <c r="C112" s="28" t="b">
        <f t="shared" si="1"/>
        <v>1</v>
      </c>
      <c r="E112" s="28" t="str">
        <f>'Copy of INCEXC A'!C112</f>
        <v>Flex-KV: enabling high-performance and flexible KV systems</v>
      </c>
      <c r="F112" s="28" t="str">
        <f>'Copy of INCEXC A'!D112</f>
        <v>Kaiser</v>
      </c>
      <c r="G112" s="28" t="str">
        <f>'Copy of INCEXC B'!D112</f>
        <v>Ceren</v>
      </c>
      <c r="H112" s="28" t="str">
        <f>'Copy of INCEXC A'!E112</f>
        <v>Exclude</v>
      </c>
      <c r="I112" s="28" t="str">
        <f>'Copy of INCEXC B'!E112</f>
        <v/>
      </c>
      <c r="J112" s="28" t="b">
        <f t="shared" si="2"/>
        <v>0</v>
      </c>
      <c r="K112" s="28" t="b">
        <f t="shared" si="3"/>
        <v>0</v>
      </c>
    </row>
    <row r="113" hidden="1">
      <c r="A113" s="35" t="str">
        <f>'Copy of INCEXC A'!A113</f>
        <v>https://doi.org/10.1145/238168.238181</v>
      </c>
      <c r="B113" s="35" t="str">
        <f>'Copy of INCEXC B'!A113</f>
        <v>https://doi.org/10.1145/238168.238181</v>
      </c>
      <c r="C113" s="28" t="b">
        <f t="shared" si="1"/>
        <v>1</v>
      </c>
      <c r="E113" s="28" t="str">
        <f>'Copy of INCEXC A'!C113</f>
        <v>Securing ATM networks</v>
      </c>
      <c r="F113" s="28" t="str">
        <f>'Copy of INCEXC A'!D113</f>
        <v>Kaiser</v>
      </c>
      <c r="G113" s="28" t="str">
        <f>'Copy of INCEXC B'!D113</f>
        <v>Taylor</v>
      </c>
      <c r="H113" s="28" t="str">
        <f>'Copy of INCEXC A'!E113</f>
        <v>Exclude</v>
      </c>
      <c r="I113" s="28" t="str">
        <f>'Copy of INCEXC B'!E113</f>
        <v>Exclude</v>
      </c>
      <c r="J113" s="28" t="b">
        <f t="shared" si="2"/>
        <v>1</v>
      </c>
      <c r="K113" s="28" t="b">
        <f t="shared" si="3"/>
        <v>0</v>
      </c>
    </row>
    <row r="114" hidden="1">
      <c r="A114" s="35" t="str">
        <f>'Copy of INCEXC A'!A114</f>
        <v>https://doi.org/10.1145/2391229.2391237</v>
      </c>
      <c r="B114" s="35" t="str">
        <f>'Copy of INCEXC B'!A114</f>
        <v>https://doi.org/10.1145/2391229.2391237</v>
      </c>
      <c r="C114" s="28" t="b">
        <f t="shared" si="1"/>
        <v>1</v>
      </c>
      <c r="E114" s="28" t="str">
        <f>'Copy of INCEXC A'!C114</f>
        <v>Using vector interfaces to deliver millions of IOPS from a networked key-value storage server</v>
      </c>
      <c r="F114" s="28" t="str">
        <f>'Copy of INCEXC A'!D114</f>
        <v>Marilyn</v>
      </c>
      <c r="G114" s="28" t="str">
        <f>'Copy of INCEXC B'!D114</f>
        <v>Ceren</v>
      </c>
      <c r="H114" s="28" t="str">
        <f>'Copy of INCEXC A'!E114</f>
        <v>Exclude</v>
      </c>
      <c r="I114" s="28" t="str">
        <f>'Copy of INCEXC B'!E114</f>
        <v/>
      </c>
      <c r="J114" s="28" t="b">
        <f t="shared" si="2"/>
        <v>0</v>
      </c>
      <c r="K114" s="28" t="b">
        <f t="shared" si="3"/>
        <v>0</v>
      </c>
    </row>
    <row r="115" hidden="1">
      <c r="A115" s="35" t="str">
        <f>'Copy of INCEXC A'!A115</f>
        <v>https://doi.org/10.1145/2465351.2465361</v>
      </c>
      <c r="B115" s="35" t="str">
        <f>'Copy of INCEXC B'!A115</f>
        <v>https://doi.org/10.1145/2465351.2465361</v>
      </c>
      <c r="C115" s="28" t="b">
        <f t="shared" si="1"/>
        <v>1</v>
      </c>
      <c r="E115" s="28" t="str">
        <f>'Copy of INCEXC A'!C115</f>
        <v>ChainReaction: a causal+ consistent datastore based on chain replication</v>
      </c>
      <c r="F115" s="28" t="str">
        <f>'Copy of INCEXC A'!D115</f>
        <v>Kaiser</v>
      </c>
      <c r="G115" s="28" t="str">
        <f>'Copy of INCEXC B'!D115</f>
        <v>Ceren</v>
      </c>
      <c r="H115" s="28" t="str">
        <f>'Copy of INCEXC A'!E115</f>
        <v>Exclude</v>
      </c>
      <c r="I115" s="28" t="str">
        <f>'Copy of INCEXC B'!E115</f>
        <v/>
      </c>
      <c r="J115" s="28" t="b">
        <f t="shared" si="2"/>
        <v>0</v>
      </c>
      <c r="K115" s="28" t="b">
        <f t="shared" si="3"/>
        <v>0</v>
      </c>
    </row>
    <row r="116" hidden="1">
      <c r="A116" s="35" t="str">
        <f>'Copy of INCEXC A'!A116</f>
        <v>https://doi.org/10.1145/2465529.2465553</v>
      </c>
      <c r="B116" s="35" t="str">
        <f>'Copy of INCEXC B'!A116</f>
        <v>https://doi.org/10.1145/2465529.2465553</v>
      </c>
      <c r="C116" s="28" t="b">
        <f t="shared" si="1"/>
        <v>1</v>
      </c>
      <c r="E116" s="28" t="str">
        <f>'Copy of INCEXC A'!C116</f>
        <v>On understanding the energy consumption of ARM-based multicore servers</v>
      </c>
      <c r="F116" s="28" t="str">
        <f>'Copy of INCEXC A'!D116</f>
        <v>Kaiser</v>
      </c>
      <c r="G116" s="28" t="str">
        <f>'Copy of INCEXC B'!D116</f>
        <v>Ceren</v>
      </c>
      <c r="H116" s="28" t="str">
        <f>'Copy of INCEXC A'!E116</f>
        <v>Exclude</v>
      </c>
      <c r="I116" s="28" t="str">
        <f>'Copy of INCEXC B'!E116</f>
        <v/>
      </c>
      <c r="J116" s="28" t="b">
        <f t="shared" si="2"/>
        <v>0</v>
      </c>
      <c r="K116" s="28" t="b">
        <f t="shared" si="3"/>
        <v>0</v>
      </c>
    </row>
    <row r="117" hidden="1">
      <c r="A117" s="35" t="str">
        <f>'Copy of INCEXC A'!A117</f>
        <v>https://doi.org/10.1145/2482767.2482793</v>
      </c>
      <c r="B117" s="35" t="str">
        <f>'Copy of INCEXC B'!A117</f>
        <v>https://doi.org/10.1145/2482767.2482793</v>
      </c>
      <c r="C117" s="28" t="b">
        <f t="shared" si="1"/>
        <v>1</v>
      </c>
      <c r="E117" s="28" t="str">
        <f>'Copy of INCEXC A'!C117</f>
        <v>Investigating hybrid SSD FTL schemes for Hadoop workloads</v>
      </c>
      <c r="F117" s="28" t="str">
        <f>'Copy of INCEXC A'!D117</f>
        <v>Kaiser</v>
      </c>
      <c r="G117" s="28" t="str">
        <f>'Copy of INCEXC B'!D117</f>
        <v>Taylor</v>
      </c>
      <c r="H117" s="28" t="str">
        <f>'Copy of INCEXC A'!E117</f>
        <v>Exclude</v>
      </c>
      <c r="I117" s="28" t="str">
        <f>'Copy of INCEXC B'!E117</f>
        <v>Exclude</v>
      </c>
      <c r="J117" s="28" t="b">
        <f t="shared" si="2"/>
        <v>1</v>
      </c>
      <c r="K117" s="28" t="b">
        <f t="shared" si="3"/>
        <v>0</v>
      </c>
    </row>
    <row r="118" hidden="1">
      <c r="A118" s="35" t="str">
        <f>'Copy of INCEXC A'!A118</f>
        <v>https://doi.org/10.1145/2503210.2503281</v>
      </c>
      <c r="B118" s="35" t="str">
        <f>'Copy of INCEXC B'!A118</f>
        <v>https://doi.org/10.1145/2503210.2503281</v>
      </c>
      <c r="C118" s="28" t="b">
        <f t="shared" si="1"/>
        <v>1</v>
      </c>
      <c r="E118" s="28" t="str">
        <f>'Copy of INCEXC A'!C118</f>
        <v>Supercomputing with commodity CPUs: are mobile SoCs ready for HPC?</v>
      </c>
      <c r="F118" s="28" t="str">
        <f>'Copy of INCEXC A'!D118</f>
        <v>Kaiser</v>
      </c>
      <c r="G118" s="28" t="str">
        <f>'Copy of INCEXC B'!D118</f>
        <v>Ceren</v>
      </c>
      <c r="H118" s="28" t="str">
        <f>'Copy of INCEXC A'!E118</f>
        <v>Exclude</v>
      </c>
      <c r="I118" s="28" t="str">
        <f>'Copy of INCEXC B'!E118</f>
        <v/>
      </c>
      <c r="J118" s="28" t="b">
        <f t="shared" si="2"/>
        <v>0</v>
      </c>
      <c r="K118" s="28" t="b">
        <f t="shared" si="3"/>
        <v>0</v>
      </c>
    </row>
    <row r="119" hidden="1">
      <c r="A119" s="35" t="str">
        <f>'Copy of INCEXC A'!A119</f>
        <v>https://doi.org/10.1145/2504847</v>
      </c>
      <c r="B119" s="35" t="str">
        <f>'Copy of INCEXC B'!A119</f>
        <v>https://doi.org/10.1145/2504847</v>
      </c>
      <c r="C119" s="28" t="b">
        <f t="shared" si="1"/>
        <v>1</v>
      </c>
      <c r="E119" s="28" t="str">
        <f>'Copy of INCEXC A'!C119</f>
        <v>Putting the person back into personalization</v>
      </c>
      <c r="F119" s="28" t="str">
        <f>'Copy of INCEXC A'!D119</f>
        <v>Marilyn</v>
      </c>
      <c r="G119" s="28" t="str">
        <f>'Copy of INCEXC B'!D119</f>
        <v>Taylor</v>
      </c>
      <c r="H119" s="28" t="str">
        <f>'Copy of INCEXC A'!E119</f>
        <v>Exclude</v>
      </c>
      <c r="I119" s="28" t="str">
        <f>'Copy of INCEXC B'!E119</f>
        <v>Exclude</v>
      </c>
      <c r="J119" s="28" t="b">
        <f t="shared" si="2"/>
        <v>1</v>
      </c>
      <c r="K119" s="28" t="b">
        <f t="shared" si="3"/>
        <v>0</v>
      </c>
    </row>
    <row r="120" hidden="1">
      <c r="A120" s="35" t="str">
        <f>'Copy of INCEXC A'!A120</f>
        <v>https://doi.org/10.1145/2508363.2508381</v>
      </c>
      <c r="B120" s="35" t="str">
        <f>'Copy of INCEXC B'!A120</f>
        <v>https://doi.org/10.1145/2508363.2508381</v>
      </c>
      <c r="C120" s="28" t="b">
        <f t="shared" si="1"/>
        <v>1</v>
      </c>
      <c r="E120" s="28" t="str">
        <f>'Copy of INCEXC A'!C120</f>
        <v>PatchNet: a patch-based image representation for interactive library-driven image editing</v>
      </c>
      <c r="F120" s="28" t="str">
        <f>'Copy of INCEXC A'!D120</f>
        <v>Marilyn</v>
      </c>
      <c r="G120" s="28" t="str">
        <f>'Copy of INCEXC B'!D120</f>
        <v>Taylor</v>
      </c>
      <c r="H120" s="28" t="str">
        <f>'Copy of INCEXC A'!E120</f>
        <v>Exclude</v>
      </c>
      <c r="I120" s="28" t="str">
        <f>'Copy of INCEXC B'!E120</f>
        <v>Exclude</v>
      </c>
      <c r="J120" s="28" t="b">
        <f t="shared" si="2"/>
        <v>1</v>
      </c>
      <c r="K120" s="28" t="b">
        <f t="shared" si="3"/>
        <v>0</v>
      </c>
    </row>
    <row r="121" hidden="1">
      <c r="A121" s="35" t="str">
        <f>'Copy of INCEXC A'!A121</f>
        <v>https://doi.org/10.1145/2512348</v>
      </c>
      <c r="B121" s="35" t="str">
        <f>'Copy of INCEXC B'!A121</f>
        <v>https://doi.org/10.1145/2512348</v>
      </c>
      <c r="C121" s="28" t="b">
        <f t="shared" si="1"/>
        <v>1</v>
      </c>
      <c r="E121" s="28" t="str">
        <f>'Copy of INCEXC A'!C121</f>
        <v>Read-Performance Optimization for Deduplication-Based Storage Systems in the Cloud</v>
      </c>
      <c r="F121" s="28" t="str">
        <f>'Copy of INCEXC A'!D121</f>
        <v>Kaiser</v>
      </c>
      <c r="G121" s="28" t="str">
        <f>'Copy of INCEXC B'!D121</f>
        <v>Ceren</v>
      </c>
      <c r="H121" s="28" t="str">
        <f>'Copy of INCEXC A'!E121</f>
        <v>Exclude</v>
      </c>
      <c r="I121" s="28" t="str">
        <f>'Copy of INCEXC B'!E121</f>
        <v/>
      </c>
      <c r="J121" s="28" t="b">
        <f t="shared" si="2"/>
        <v>0</v>
      </c>
      <c r="K121" s="28" t="b">
        <f t="shared" si="3"/>
        <v>0</v>
      </c>
    </row>
    <row r="122" hidden="1">
      <c r="A122" s="35" t="str">
        <f>'Copy of INCEXC A'!A122</f>
        <v>https://doi.org/10.1145/2523616.2523635</v>
      </c>
      <c r="B122" s="35" t="str">
        <f>'Copy of INCEXC B'!A122</f>
        <v>https://doi.org/10.1145/2523616.2523635</v>
      </c>
      <c r="C122" s="28" t="b">
        <f t="shared" si="1"/>
        <v>1</v>
      </c>
      <c r="E122" s="28" t="str">
        <f>'Copy of INCEXC A'!C122</f>
        <v>Pico replication: a high availability framework for middleboxes</v>
      </c>
      <c r="F122" s="28" t="str">
        <f>'Copy of INCEXC A'!D122</f>
        <v>Jonathan</v>
      </c>
      <c r="G122" s="28" t="str">
        <f>'Copy of INCEXC B'!D122</f>
        <v>Danni</v>
      </c>
      <c r="H122" s="28" t="str">
        <f>'Copy of INCEXC A'!E122</f>
        <v/>
      </c>
      <c r="I122" s="28" t="str">
        <f>'Copy of INCEXC B'!E122</f>
        <v>Exclude</v>
      </c>
      <c r="J122" s="28" t="b">
        <f t="shared" si="2"/>
        <v>0</v>
      </c>
      <c r="K122" s="28" t="b">
        <f t="shared" si="3"/>
        <v>0</v>
      </c>
    </row>
    <row r="123" hidden="1">
      <c r="A123" s="35" t="str">
        <f>'Copy of INCEXC A'!A123</f>
        <v>https://doi.org/10.1145/2536536.2536628</v>
      </c>
      <c r="B123" s="35" t="str">
        <f>'Copy of INCEXC B'!A123</f>
        <v>https://doi.org/10.1145/2536536.2536628</v>
      </c>
      <c r="C123" s="28" t="b">
        <f t="shared" si="1"/>
        <v>1</v>
      </c>
      <c r="E123" s="28" t="str">
        <f>'Copy of INCEXC A'!C123</f>
        <v>Introducing media literacy at school: new devices</v>
      </c>
      <c r="F123" s="28" t="str">
        <f>'Copy of INCEXC A'!D123</f>
        <v>Jonathan</v>
      </c>
      <c r="G123" s="28" t="str">
        <f>'Copy of INCEXC B'!D123</f>
        <v>Ceren</v>
      </c>
      <c r="H123" s="28" t="str">
        <f>'Copy of INCEXC A'!E123</f>
        <v/>
      </c>
      <c r="I123" s="28" t="str">
        <f>'Copy of INCEXC B'!E123</f>
        <v/>
      </c>
      <c r="J123" s="28" t="b">
        <f t="shared" si="2"/>
        <v>1</v>
      </c>
      <c r="K123" s="28" t="b">
        <f t="shared" si="3"/>
        <v>0</v>
      </c>
    </row>
    <row r="124" hidden="1">
      <c r="A124" s="35" t="str">
        <f>'Copy of INCEXC A'!A124</f>
        <v>https://doi.org/10.1145/2541940.2541951</v>
      </c>
      <c r="B124" s="35" t="str">
        <f>'Copy of INCEXC B'!A124</f>
        <v>https://doi.org/10.1145/2541940.2541951</v>
      </c>
      <c r="C124" s="28" t="b">
        <f t="shared" si="1"/>
        <v>1</v>
      </c>
      <c r="E124" s="28" t="str">
        <f>'Copy of INCEXC A'!C124</f>
        <v>Integrated 3D-stacked server designs for increasing physical density of key-value stores</v>
      </c>
      <c r="F124" s="28" t="str">
        <f>'Copy of INCEXC A'!D124</f>
        <v>Marilyn</v>
      </c>
      <c r="G124" s="28" t="str">
        <f>'Copy of INCEXC B'!D124</f>
        <v>Ceren</v>
      </c>
      <c r="H124" s="28" t="str">
        <f>'Copy of INCEXC A'!E124</f>
        <v>Exclude</v>
      </c>
      <c r="I124" s="28" t="str">
        <f>'Copy of INCEXC B'!E124</f>
        <v/>
      </c>
      <c r="J124" s="28" t="b">
        <f t="shared" si="2"/>
        <v>0</v>
      </c>
      <c r="K124" s="28" t="b">
        <f t="shared" si="3"/>
        <v>0</v>
      </c>
    </row>
    <row r="125" hidden="1">
      <c r="A125" s="35" t="str">
        <f>'Copy of INCEXC A'!A125</f>
        <v>https://doi.org/10.1145/2559206.2581287</v>
      </c>
      <c r="B125" s="35" t="str">
        <f>'Copy of INCEXC B'!A125</f>
        <v>https://doi.org/10.1145/2559206.2581287</v>
      </c>
      <c r="C125" s="28" t="b">
        <f t="shared" si="1"/>
        <v>1</v>
      </c>
      <c r="E125" s="28" t="str">
        <f>'Copy of INCEXC A'!C125</f>
        <v>The art of deleting snapshots</v>
      </c>
      <c r="F125" s="28" t="str">
        <f>'Copy of INCEXC A'!D125</f>
        <v>Marilyn</v>
      </c>
      <c r="G125" s="28" t="str">
        <f>'Copy of INCEXC B'!D125</f>
        <v>Ceren</v>
      </c>
      <c r="H125" s="28" t="str">
        <f>'Copy of INCEXC A'!E125</f>
        <v>Exclude</v>
      </c>
      <c r="I125" s="28" t="str">
        <f>'Copy of INCEXC B'!E125</f>
        <v/>
      </c>
      <c r="J125" s="28" t="b">
        <f t="shared" si="2"/>
        <v>0</v>
      </c>
      <c r="K125" s="28" t="b">
        <f t="shared" si="3"/>
        <v>0</v>
      </c>
    </row>
    <row r="126" hidden="1">
      <c r="A126" s="35" t="str">
        <f>'Copy of INCEXC A'!A126</f>
        <v>https://doi.org/10.1145/262116.262142</v>
      </c>
      <c r="B126" s="35" t="str">
        <f>'Copy of INCEXC B'!A126</f>
        <v>https://doi.org/10.1145/262116.262142</v>
      </c>
      <c r="C126" s="28" t="b">
        <f t="shared" si="1"/>
        <v>1</v>
      </c>
      <c r="E126" s="28" t="str">
        <f>'Copy of INCEXC A'!C126</f>
        <v>Low power error control for wireless links</v>
      </c>
      <c r="F126" s="28" t="str">
        <f>'Copy of INCEXC A'!D126</f>
        <v>Marilyn</v>
      </c>
      <c r="G126" s="28" t="str">
        <f>'Copy of INCEXC B'!D126</f>
        <v>Danni</v>
      </c>
      <c r="H126" s="28" t="str">
        <f>'Copy of INCEXC A'!E126</f>
        <v>Exclude</v>
      </c>
      <c r="I126" s="28" t="str">
        <f>'Copy of INCEXC B'!E126</f>
        <v>Exclude</v>
      </c>
      <c r="J126" s="28" t="b">
        <f t="shared" si="2"/>
        <v>1</v>
      </c>
      <c r="K126" s="28" t="b">
        <f t="shared" si="3"/>
        <v>0</v>
      </c>
    </row>
    <row r="127" hidden="1">
      <c r="A127" s="35" t="str">
        <f>'Copy of INCEXC A'!A127</f>
        <v>https://doi.org/10.1145/2631187</v>
      </c>
      <c r="B127" s="35" t="str">
        <f>'Copy of INCEXC B'!A127</f>
        <v>https://doi.org/10.1145/2631187</v>
      </c>
      <c r="C127" s="28" t="b">
        <f t="shared" si="1"/>
        <v>1</v>
      </c>
      <c r="E127" s="28" t="str">
        <f>'Copy of INCEXC A'!C127</f>
        <v>Feedback</v>
      </c>
      <c r="F127" s="28" t="str">
        <f>'Copy of INCEXC A'!D127</f>
        <v>Marilyn</v>
      </c>
      <c r="G127" s="28" t="str">
        <f>'Copy of INCEXC B'!D127</f>
        <v>Danni</v>
      </c>
      <c r="H127" s="28" t="str">
        <f>'Copy of INCEXC A'!E127</f>
        <v>Exclude</v>
      </c>
      <c r="I127" s="28" t="str">
        <f>'Copy of INCEXC B'!E127</f>
        <v>Exclude</v>
      </c>
      <c r="J127" s="28" t="b">
        <f t="shared" si="2"/>
        <v>1</v>
      </c>
      <c r="K127" s="28" t="b">
        <f t="shared" si="3"/>
        <v>0</v>
      </c>
    </row>
    <row r="128" hidden="1">
      <c r="A128" s="35" t="str">
        <f>'Copy of INCEXC A'!A128</f>
        <v>https://doi.org/10.1145/2656204</v>
      </c>
      <c r="B128" s="35" t="str">
        <f>'Copy of INCEXC B'!A128</f>
        <v>https://doi.org/10.1145/2656204</v>
      </c>
      <c r="C128" s="28" t="b">
        <f t="shared" si="1"/>
        <v>1</v>
      </c>
      <c r="E128" s="28" t="str">
        <f>'Copy of INCEXC A'!C128</f>
        <v>Cloud Computing: Survey on Energy Efficiency</v>
      </c>
      <c r="F128" s="28" t="str">
        <f>'Copy of INCEXC A'!D128</f>
        <v>Kaiser</v>
      </c>
      <c r="G128" s="28" t="str">
        <f>'Copy of INCEXC B'!D128</f>
        <v>Ceren</v>
      </c>
      <c r="H128" s="28" t="str">
        <f>'Copy of INCEXC A'!E128</f>
        <v>Exclude</v>
      </c>
      <c r="I128" s="28" t="str">
        <f>'Copy of INCEXC B'!E128</f>
        <v/>
      </c>
      <c r="J128" s="28" t="b">
        <f t="shared" si="2"/>
        <v>0</v>
      </c>
      <c r="K128" s="28" t="b">
        <f t="shared" si="3"/>
        <v>0</v>
      </c>
    </row>
    <row r="129" hidden="1">
      <c r="A129" s="35" t="str">
        <f>'Copy of INCEXC A'!A129</f>
        <v>https://doi.org/10.1145/266399.266405</v>
      </c>
      <c r="B129" s="35" t="str">
        <f>'Copy of INCEXC B'!A129</f>
        <v>https://doi.org/10.1145/266399.266405</v>
      </c>
      <c r="C129" s="28" t="b">
        <f t="shared" si="1"/>
        <v>1</v>
      </c>
      <c r="E129" s="28" t="str">
        <f>'Copy of INCEXC A'!C129</f>
        <v>Programming complex objects in spreadsheets: an empirical study comparing textual formula entry with direct manipulation and gestures</v>
      </c>
      <c r="F129" s="28" t="str">
        <f>'Copy of INCEXC A'!D129</f>
        <v>Kaiser</v>
      </c>
      <c r="G129" s="28" t="str">
        <f>'Copy of INCEXC B'!D129</f>
        <v>Taylor</v>
      </c>
      <c r="H129" s="28" t="str">
        <f>'Copy of INCEXC A'!E129</f>
        <v>Exclude</v>
      </c>
      <c r="I129" s="28" t="str">
        <f>'Copy of INCEXC B'!E129</f>
        <v>Exclude</v>
      </c>
      <c r="J129" s="28" t="b">
        <f t="shared" si="2"/>
        <v>1</v>
      </c>
      <c r="K129" s="28" t="b">
        <f t="shared" si="3"/>
        <v>0</v>
      </c>
    </row>
    <row r="130" hidden="1">
      <c r="A130" s="35" t="str">
        <f>'Copy of INCEXC A'!A130</f>
        <v>https://doi.org/10.1145/2666216.2666222</v>
      </c>
      <c r="B130" s="35" t="str">
        <f>'Copy of INCEXC B'!A130</f>
        <v>https://doi.org/10.1145/2666216.2666222</v>
      </c>
      <c r="C130" s="28" t="b">
        <f t="shared" si="1"/>
        <v>1</v>
      </c>
      <c r="E130" s="28" t="str">
        <f>'Copy of INCEXC A'!C130</f>
        <v>All of the Things: Engaging Complex Assemblages in Communication Design</v>
      </c>
      <c r="F130" s="28" t="str">
        <f>'Copy of INCEXC A'!D130</f>
        <v>Kaiser</v>
      </c>
      <c r="G130" s="28" t="str">
        <f>'Copy of INCEXC B'!D130</f>
        <v>Danni</v>
      </c>
      <c r="H130" s="28" t="str">
        <f>'Copy of INCEXC A'!E130</f>
        <v>Exclude</v>
      </c>
      <c r="I130" s="28" t="str">
        <f>'Copy of INCEXC B'!E130</f>
        <v>Exclude</v>
      </c>
      <c r="J130" s="28" t="b">
        <f t="shared" si="2"/>
        <v>1</v>
      </c>
      <c r="K130" s="28" t="b">
        <f t="shared" si="3"/>
        <v>0</v>
      </c>
    </row>
    <row r="131" hidden="1">
      <c r="A131" s="35" t="str">
        <f>'Copy of INCEXC A'!A131</f>
        <v>https://doi.org/10.1145/2668260.2668291</v>
      </c>
      <c r="B131" s="35" t="str">
        <f>'Copy of INCEXC B'!A131</f>
        <v>https://doi.org/10.1145/2668260.2668291</v>
      </c>
      <c r="C131" s="28" t="b">
        <f t="shared" si="1"/>
        <v>1</v>
      </c>
      <c r="E131" s="28" t="str">
        <f>'Copy of INCEXC A'!C131</f>
        <v>Opinion Mining from Arabic Quotations</v>
      </c>
      <c r="F131" s="28" t="str">
        <f>'Copy of INCEXC A'!D131</f>
        <v>Jonathan</v>
      </c>
      <c r="G131" s="28" t="str">
        <f>'Copy of INCEXC B'!D131</f>
        <v>Ceren</v>
      </c>
      <c r="H131" s="28" t="str">
        <f>'Copy of INCEXC A'!E131</f>
        <v/>
      </c>
      <c r="I131" s="28" t="str">
        <f>'Copy of INCEXC B'!E131</f>
        <v/>
      </c>
      <c r="J131" s="28" t="b">
        <f t="shared" si="2"/>
        <v>1</v>
      </c>
      <c r="K131" s="28" t="b">
        <f t="shared" si="3"/>
        <v>0</v>
      </c>
    </row>
    <row r="132" hidden="1">
      <c r="A132" s="35" t="str">
        <f>'Copy of INCEXC A'!A132</f>
        <v>https://doi.org/10.1145/2700312</v>
      </c>
      <c r="B132" s="35" t="str">
        <f>'Copy of INCEXC B'!A132</f>
        <v>https://doi.org/10.1145/2700312</v>
      </c>
      <c r="C132" s="28" t="b">
        <f t="shared" si="1"/>
        <v>1</v>
      </c>
      <c r="E132" s="28" t="str">
        <f>'Copy of INCEXC A'!C132</f>
        <v>On the Trade-Offs among Performance</v>
      </c>
      <c r="F132" s="28" t="str">
        <f>'Copy of INCEXC A'!D132</f>
        <v>Jonathan</v>
      </c>
      <c r="G132" s="28" t="str">
        <f>'Copy of INCEXC B'!D132</f>
        <v>Danni</v>
      </c>
      <c r="H132" s="28" t="str">
        <f>'Copy of INCEXC A'!E132</f>
        <v/>
      </c>
      <c r="I132" s="28" t="str">
        <f>'Copy of INCEXC B'!E132</f>
        <v>Exclude</v>
      </c>
      <c r="J132" s="28" t="b">
        <f t="shared" si="2"/>
        <v>0</v>
      </c>
      <c r="K132" s="28" t="b">
        <f t="shared" si="3"/>
        <v>0</v>
      </c>
    </row>
    <row r="133" hidden="1">
      <c r="A133" s="35" t="str">
        <f>'Copy of INCEXC A'!A133</f>
        <v>https://doi.org/10.1145/2723372.2742798</v>
      </c>
      <c r="B133" s="35" t="str">
        <f>'Copy of INCEXC B'!A133</f>
        <v>https://doi.org/10.1145/2723372.2742798</v>
      </c>
      <c r="C133" s="28" t="b">
        <f t="shared" si="1"/>
        <v>1</v>
      </c>
      <c r="E133" s="28" t="str">
        <f>'Copy of INCEXC A'!C133</f>
        <v>Purity: Building Fast</v>
      </c>
      <c r="F133" s="28" t="str">
        <f>'Copy of INCEXC A'!D133</f>
        <v>Jonathan</v>
      </c>
      <c r="G133" s="28" t="str">
        <f>'Copy of INCEXC B'!D133</f>
        <v>Taylor</v>
      </c>
      <c r="H133" s="28" t="str">
        <f>'Copy of INCEXC A'!E133</f>
        <v/>
      </c>
      <c r="I133" s="28" t="str">
        <f>'Copy of INCEXC B'!E133</f>
        <v>Exclude</v>
      </c>
      <c r="J133" s="28" t="b">
        <f t="shared" si="2"/>
        <v>0</v>
      </c>
      <c r="K133" s="28" t="b">
        <f t="shared" si="3"/>
        <v>0</v>
      </c>
    </row>
    <row r="134" hidden="1">
      <c r="A134" s="35" t="str">
        <f>'Copy of INCEXC A'!A134</f>
        <v>https://doi.org/10.1145/2741948.2741956</v>
      </c>
      <c r="B134" s="35" t="str">
        <f>'Copy of INCEXC B'!A134</f>
        <v>https://doi.org/10.1145/2741948.2741956</v>
      </c>
      <c r="C134" s="28" t="b">
        <f t="shared" si="1"/>
        <v>1</v>
      </c>
      <c r="E134" s="28" t="str">
        <f>'Copy of INCEXC A'!C134</f>
        <v>GD-Wheel: a cost-aware replacement policy for key-value stores</v>
      </c>
      <c r="F134" s="28" t="str">
        <f>'Copy of INCEXC A'!D134</f>
        <v>Marilyn</v>
      </c>
      <c r="G134" s="28" t="str">
        <f>'Copy of INCEXC B'!D134</f>
        <v>Taylor</v>
      </c>
      <c r="H134" s="28" t="str">
        <f>'Copy of INCEXC A'!E134</f>
        <v>Exclude</v>
      </c>
      <c r="I134" s="28" t="str">
        <f>'Copy of INCEXC B'!E134</f>
        <v>Exclude</v>
      </c>
      <c r="J134" s="28" t="b">
        <f t="shared" si="2"/>
        <v>1</v>
      </c>
      <c r="K134" s="28" t="b">
        <f t="shared" si="3"/>
        <v>0</v>
      </c>
    </row>
    <row r="135" hidden="1">
      <c r="A135" s="35" t="str">
        <f>'Copy of INCEXC A'!A135</f>
        <v>https://doi.org/10.1145/2742488</v>
      </c>
      <c r="B135" s="35" t="str">
        <f>'Copy of INCEXC B'!A135</f>
        <v>https://doi.org/10.1145/2742488</v>
      </c>
      <c r="C135" s="28" t="b">
        <f t="shared" si="1"/>
        <v>1</v>
      </c>
      <c r="E135" s="28" t="str">
        <f>'Copy of INCEXC A'!C135</f>
        <v>Energy Efficiency Techniques in Cloud Computing: A Survey and Taxonomy</v>
      </c>
      <c r="F135" s="28" t="str">
        <f>'Copy of INCEXC A'!D135</f>
        <v>Kaiser</v>
      </c>
      <c r="G135" s="28" t="str">
        <f>'Copy of INCEXC B'!D135</f>
        <v>Ceren</v>
      </c>
      <c r="H135" s="28" t="str">
        <f>'Copy of INCEXC A'!E135</f>
        <v>Exclude</v>
      </c>
      <c r="I135" s="28" t="str">
        <f>'Copy of INCEXC B'!E135</f>
        <v/>
      </c>
      <c r="J135" s="28" t="b">
        <f t="shared" si="2"/>
        <v>0</v>
      </c>
      <c r="K135" s="28" t="b">
        <f t="shared" si="3"/>
        <v>0</v>
      </c>
    </row>
    <row r="136" hidden="1">
      <c r="A136" s="35" t="str">
        <f>'Copy of INCEXC A'!A136</f>
        <v>https://doi.org/10.1145/274644.274667</v>
      </c>
      <c r="B136" s="35" t="str">
        <f>'Copy of INCEXC B'!A136</f>
        <v>https://doi.org/10.1145/274644.274667</v>
      </c>
      <c r="C136" s="28" t="b">
        <f t="shared" si="1"/>
        <v>1</v>
      </c>
      <c r="E136" s="28" t="str">
        <f>'Copy of INCEXC A'!C136</f>
        <v>When my face is the interface: an experimental comparison of interacting with one's own face or someone else's face</v>
      </c>
      <c r="F136" s="28" t="str">
        <f>'Copy of INCEXC A'!D136</f>
        <v>Kaiser</v>
      </c>
      <c r="G136" s="28" t="str">
        <f>'Copy of INCEXC B'!D136</f>
        <v>Taylor</v>
      </c>
      <c r="H136" s="28" t="str">
        <f>'Copy of INCEXC A'!E136</f>
        <v>Exclude</v>
      </c>
      <c r="I136" s="28" t="str">
        <f>'Copy of INCEXC B'!E136</f>
        <v>Exclude</v>
      </c>
      <c r="J136" s="28" t="b">
        <f t="shared" si="2"/>
        <v>1</v>
      </c>
      <c r="K136" s="28" t="b">
        <f t="shared" si="3"/>
        <v>0</v>
      </c>
    </row>
    <row r="137" hidden="1">
      <c r="A137" s="35" t="str">
        <f>'Copy of INCEXC A'!A137</f>
        <v>https://doi.org/10.1145/2757667.2757680</v>
      </c>
      <c r="B137" s="35" t="str">
        <f>'Copy of INCEXC B'!A137</f>
        <v>https://doi.org/10.1145/2757667.2757680</v>
      </c>
      <c r="C137" s="28" t="b">
        <f t="shared" si="1"/>
        <v>1</v>
      </c>
      <c r="E137" s="28" t="str">
        <f>'Copy of INCEXC A'!C137</f>
        <v>SMRDB: key-value data store for shingled magnetic recording disks</v>
      </c>
      <c r="F137" s="28" t="str">
        <f>'Copy of INCEXC A'!D137</f>
        <v>Jonathan</v>
      </c>
      <c r="G137" s="28" t="str">
        <f>'Copy of INCEXC B'!D137</f>
        <v>Ceren</v>
      </c>
      <c r="H137" s="28" t="str">
        <f>'Copy of INCEXC A'!E137</f>
        <v/>
      </c>
      <c r="I137" s="28" t="str">
        <f>'Copy of INCEXC B'!E137</f>
        <v/>
      </c>
      <c r="J137" s="28" t="b">
        <f t="shared" si="2"/>
        <v>1</v>
      </c>
      <c r="K137" s="28" t="b">
        <f t="shared" si="3"/>
        <v>0</v>
      </c>
    </row>
    <row r="138" hidden="1">
      <c r="A138" s="35" t="str">
        <f>'Copy of INCEXC A'!A138</f>
        <v>https://doi.org/10.1145/2771937.2771939</v>
      </c>
      <c r="B138" s="35" t="str">
        <f>'Copy of INCEXC B'!A138</f>
        <v>https://doi.org/10.1145/2771937.2771939</v>
      </c>
      <c r="C138" s="28" t="b">
        <f t="shared" si="1"/>
        <v>1</v>
      </c>
      <c r="E138" s="28" t="str">
        <f>'Copy of INCEXC A'!C138</f>
        <v>Energy-Efficient Query Processing on Embedded CPU-GPU Architectures</v>
      </c>
      <c r="F138" s="28" t="str">
        <f>'Copy of INCEXC A'!D138</f>
        <v>Kaiser</v>
      </c>
      <c r="G138" s="28" t="str">
        <f>'Copy of INCEXC B'!D138</f>
        <v>Taylor</v>
      </c>
      <c r="H138" s="28" t="str">
        <f>'Copy of INCEXC A'!E138</f>
        <v>Exclude</v>
      </c>
      <c r="I138" s="28" t="str">
        <f>'Copy of INCEXC B'!E138</f>
        <v>Exclude</v>
      </c>
      <c r="J138" s="28" t="b">
        <f t="shared" si="2"/>
        <v>1</v>
      </c>
      <c r="K138" s="28" t="b">
        <f t="shared" si="3"/>
        <v>0</v>
      </c>
    </row>
    <row r="139" hidden="1">
      <c r="A139" s="35" t="str">
        <f>'Copy of INCEXC A'!A139</f>
        <v>https://doi.org/10.1145/2791285</v>
      </c>
      <c r="B139" s="35" t="str">
        <f>'Copy of INCEXC B'!A139</f>
        <v>https://doi.org/10.1145/2791285</v>
      </c>
      <c r="C139" s="28" t="b">
        <f t="shared" si="1"/>
        <v>1</v>
      </c>
      <c r="E139" s="28" t="str">
        <f>'Copy of INCEXC A'!C139</f>
        <v>Soylent: a word processor with a crowd inside</v>
      </c>
      <c r="F139" s="28" t="str">
        <f>'Copy of INCEXC A'!D139</f>
        <v>Kaiser</v>
      </c>
      <c r="G139" s="28" t="str">
        <f>'Copy of INCEXC B'!D139</f>
        <v>Taylor</v>
      </c>
      <c r="H139" s="28" t="str">
        <f>'Copy of INCEXC A'!E139</f>
        <v>Exclude</v>
      </c>
      <c r="I139" s="28" t="str">
        <f>'Copy of INCEXC B'!E139</f>
        <v>Exclude</v>
      </c>
      <c r="J139" s="28" t="b">
        <f t="shared" si="2"/>
        <v>1</v>
      </c>
      <c r="K139" s="28" t="b">
        <f t="shared" si="3"/>
        <v>0</v>
      </c>
    </row>
    <row r="140" hidden="1">
      <c r="A140" s="35" t="str">
        <f>'Copy of INCEXC A'!A140</f>
        <v>https://doi.org/10.1145/2798729</v>
      </c>
      <c r="B140" s="35" t="str">
        <f>'Copy of INCEXC B'!A140</f>
        <v>https://doi.org/10.1145/2798729</v>
      </c>
      <c r="C140" s="28" t="b">
        <f t="shared" si="1"/>
        <v>1</v>
      </c>
      <c r="E140" s="28" t="str">
        <f>'Copy of INCEXC A'!C140</f>
        <v>BetrFS: Write-Optimization in a Kernel File System</v>
      </c>
      <c r="F140" s="28" t="str">
        <f>'Copy of INCEXC A'!D140</f>
        <v>Marilyn</v>
      </c>
      <c r="G140" s="28" t="str">
        <f>'Copy of INCEXC B'!D140</f>
        <v>Danni</v>
      </c>
      <c r="H140" s="28" t="str">
        <f>'Copy of INCEXC A'!E140</f>
        <v>Exclude</v>
      </c>
      <c r="I140" s="28" t="str">
        <f>'Copy of INCEXC B'!E140</f>
        <v>Exclude</v>
      </c>
      <c r="J140" s="28" t="b">
        <f t="shared" si="2"/>
        <v>1</v>
      </c>
      <c r="K140" s="28" t="b">
        <f t="shared" si="3"/>
        <v>0</v>
      </c>
    </row>
    <row r="141" hidden="1">
      <c r="A141" s="35" t="str">
        <f>'Copy of INCEXC A'!A141</f>
        <v>https://doi.org/10.1145/2806777.2806850</v>
      </c>
      <c r="B141" s="35" t="str">
        <f>'Copy of INCEXC B'!A141</f>
        <v>https://doi.org/10.1145/2806777.2806850</v>
      </c>
      <c r="C141" s="28" t="b">
        <f t="shared" si="1"/>
        <v>1</v>
      </c>
      <c r="E141" s="28" t="str">
        <f>'Copy of INCEXC A'!C141</f>
        <v>DSwitch: a dual mode direct and network attached disk</v>
      </c>
      <c r="F141" s="28" t="str">
        <f>'Copy of INCEXC A'!D141</f>
        <v>Kaiser</v>
      </c>
      <c r="G141" s="28" t="str">
        <f>'Copy of INCEXC B'!D141</f>
        <v>Ceren</v>
      </c>
      <c r="H141" s="28" t="str">
        <f>'Copy of INCEXC A'!E141</f>
        <v>Exclude</v>
      </c>
      <c r="I141" s="28" t="str">
        <f>'Copy of INCEXC B'!E141</f>
        <v/>
      </c>
      <c r="J141" s="28" t="b">
        <f t="shared" si="2"/>
        <v>0</v>
      </c>
      <c r="K141" s="28" t="b">
        <f t="shared" si="3"/>
        <v>0</v>
      </c>
    </row>
    <row r="142" hidden="1">
      <c r="A142" s="35" t="str">
        <f>'Copy of INCEXC A'!A142</f>
        <v>https://doi.org/10.1145/2807591.2807636</v>
      </c>
      <c r="B142" s="35" t="str">
        <f>'Copy of INCEXC B'!A142</f>
        <v>https://doi.org/10.1145/2807591.2807636</v>
      </c>
      <c r="C142" s="28" t="b">
        <f t="shared" si="1"/>
        <v>1</v>
      </c>
      <c r="E142" s="28" t="str">
        <f>'Copy of INCEXC A'!C142</f>
        <v>Multi-objective job placement in clusters</v>
      </c>
      <c r="F142" s="28" t="str">
        <f>'Copy of INCEXC A'!D142</f>
        <v>Kaiser</v>
      </c>
      <c r="G142" s="28" t="str">
        <f>'Copy of INCEXC B'!D142</f>
        <v>Danni</v>
      </c>
      <c r="H142" s="28" t="str">
        <f>'Copy of INCEXC A'!E142</f>
        <v>Exclude</v>
      </c>
      <c r="I142" s="28" t="str">
        <f>'Copy of INCEXC B'!E142</f>
        <v>Exclude</v>
      </c>
      <c r="J142" s="28" t="b">
        <f t="shared" si="2"/>
        <v>1</v>
      </c>
      <c r="K142" s="28" t="b">
        <f t="shared" si="3"/>
        <v>0</v>
      </c>
    </row>
    <row r="143" hidden="1">
      <c r="A143" s="35" t="str">
        <f>'Copy of INCEXC A'!A143</f>
        <v>https://doi.org/10.1145/2830903.2830908</v>
      </c>
      <c r="B143" s="35" t="str">
        <f>'Copy of INCEXC B'!A143</f>
        <v>https://doi.org/10.1145/2830903.2830908</v>
      </c>
      <c r="C143" s="28" t="b">
        <f t="shared" si="1"/>
        <v>1</v>
      </c>
      <c r="E143" s="28" t="str">
        <f>'Copy of INCEXC A'!C143</f>
        <v>Evolution of fault tolerance</v>
      </c>
      <c r="F143" s="28" t="str">
        <f>'Copy of INCEXC A'!D143</f>
        <v>Marilyn</v>
      </c>
      <c r="G143" s="28" t="str">
        <f>'Copy of INCEXC B'!D143</f>
        <v>Taylor</v>
      </c>
      <c r="H143" s="28" t="str">
        <f>'Copy of INCEXC A'!E143</f>
        <v>Exclude</v>
      </c>
      <c r="I143" s="28" t="str">
        <f>'Copy of INCEXC B'!E143</f>
        <v>Exclude</v>
      </c>
      <c r="J143" s="28" t="b">
        <f t="shared" si="2"/>
        <v>1</v>
      </c>
      <c r="K143" s="28" t="b">
        <f t="shared" si="3"/>
        <v>0</v>
      </c>
    </row>
    <row r="144" hidden="1">
      <c r="A144" s="35" t="str">
        <f>'Copy of INCEXC A'!A144</f>
        <v>https://doi.org/10.1145/28395.28431</v>
      </c>
      <c r="B144" s="35" t="str">
        <f>'Copy of INCEXC B'!A144</f>
        <v>https://doi.org/10.1145/28395.28431</v>
      </c>
      <c r="C144" s="28" t="b">
        <f t="shared" si="1"/>
        <v>1</v>
      </c>
      <c r="E144" s="28" t="str">
        <f>'Copy of INCEXC A'!C144</f>
        <v>A new graphy triconnectivity algorithm and its parallelization</v>
      </c>
      <c r="F144" s="28" t="str">
        <f>'Copy of INCEXC A'!D144</f>
        <v>Marilyn</v>
      </c>
      <c r="G144" s="28" t="str">
        <f>'Copy of INCEXC B'!D144</f>
        <v>Danni</v>
      </c>
      <c r="H144" s="28" t="str">
        <f>'Copy of INCEXC A'!E144</f>
        <v>Exclude</v>
      </c>
      <c r="I144" s="28" t="str">
        <f>'Copy of INCEXC B'!E144</f>
        <v>Exclude</v>
      </c>
      <c r="J144" s="28" t="b">
        <f t="shared" si="2"/>
        <v>1</v>
      </c>
      <c r="K144" s="28" t="b">
        <f t="shared" si="3"/>
        <v>0</v>
      </c>
    </row>
    <row r="145" hidden="1">
      <c r="A145" s="35" t="str">
        <f>'Copy of INCEXC A'!A145</f>
        <v>https://doi.org/10.1145/2897824.2925888</v>
      </c>
      <c r="B145" s="35" t="str">
        <f>'Copy of INCEXC B'!A145</f>
        <v>https://doi.org/10.1145/2897824.2925888</v>
      </c>
      <c r="C145" s="28" t="b">
        <f t="shared" si="1"/>
        <v>1</v>
      </c>
      <c r="E145" s="28" t="str">
        <f>'Copy of INCEXC A'!C145</f>
        <v>Designing structurally-sound ornamental curve networks</v>
      </c>
      <c r="F145" s="28" t="str">
        <f>'Copy of INCEXC A'!D145</f>
        <v>Jonathan</v>
      </c>
      <c r="G145" s="28" t="str">
        <f>'Copy of INCEXC B'!D145</f>
        <v>Danni</v>
      </c>
      <c r="H145" s="28" t="str">
        <f>'Copy of INCEXC A'!E145</f>
        <v/>
      </c>
      <c r="I145" s="28" t="str">
        <f>'Copy of INCEXC B'!E145</f>
        <v>Exclude</v>
      </c>
      <c r="J145" s="28" t="b">
        <f t="shared" si="2"/>
        <v>0</v>
      </c>
      <c r="K145" s="28" t="b">
        <f t="shared" si="3"/>
        <v>0</v>
      </c>
    </row>
    <row r="146" hidden="1">
      <c r="A146" s="35" t="str">
        <f>'Copy of INCEXC A'!A146</f>
        <v>https://doi.org/10.1145/2901318.2901337</v>
      </c>
      <c r="B146" s="35" t="str">
        <f>'Copy of INCEXC B'!A146</f>
        <v>https://doi.org/10.1145/2901318.2901337</v>
      </c>
      <c r="C146" s="28" t="b">
        <f t="shared" si="1"/>
        <v>1</v>
      </c>
      <c r="E146" s="28" t="str">
        <f>'Copy of INCEXC A'!C146</f>
        <v>Flash storage disaggregation</v>
      </c>
      <c r="F146" s="28" t="str">
        <f>'Copy of INCEXC A'!D146</f>
        <v>Marilyn</v>
      </c>
      <c r="G146" s="28" t="str">
        <f>'Copy of INCEXC B'!D146</f>
        <v>Ceren</v>
      </c>
      <c r="H146" s="28" t="str">
        <f>'Copy of INCEXC A'!E146</f>
        <v>Exclude</v>
      </c>
      <c r="I146" s="28" t="str">
        <f>'Copy of INCEXC B'!E146</f>
        <v/>
      </c>
      <c r="J146" s="28" t="b">
        <f t="shared" si="2"/>
        <v>0</v>
      </c>
      <c r="K146" s="28" t="b">
        <f t="shared" si="3"/>
        <v>0</v>
      </c>
    </row>
    <row r="147" hidden="1">
      <c r="A147" s="35" t="str">
        <f>'Copy of INCEXC A'!A147</f>
        <v>https://doi.org/10.1145/2933349.2933359</v>
      </c>
      <c r="B147" s="35" t="str">
        <f>'Copy of INCEXC B'!A147</f>
        <v>https://doi.org/10.1145/2933349.2933359</v>
      </c>
      <c r="C147" s="28" t="b">
        <f t="shared" si="1"/>
        <v>1</v>
      </c>
      <c r="E147" s="28" t="str">
        <f>'Copy of INCEXC A'!C147</f>
        <v>OLTP on a server-grade ARM: power</v>
      </c>
      <c r="F147" s="28" t="str">
        <f>'Copy of INCEXC A'!D147</f>
        <v>Kaiser</v>
      </c>
      <c r="G147" s="28" t="str">
        <f>'Copy of INCEXC B'!D147</f>
        <v>Taylor</v>
      </c>
      <c r="H147" s="28" t="str">
        <f>'Copy of INCEXC A'!E147</f>
        <v>Exclude</v>
      </c>
      <c r="I147" s="28" t="str">
        <f>'Copy of INCEXC B'!E147</f>
        <v>Exclude</v>
      </c>
      <c r="J147" s="28" t="b">
        <f t="shared" si="2"/>
        <v>1</v>
      </c>
      <c r="K147" s="28" t="b">
        <f t="shared" si="3"/>
        <v>0</v>
      </c>
    </row>
    <row r="148" hidden="1">
      <c r="A148" s="35" t="str">
        <f>'Copy of INCEXC A'!A148</f>
        <v>https://doi.org/10.1145/296336.296354</v>
      </c>
      <c r="B148" s="35" t="str">
        <f>'Copy of INCEXC B'!A148</f>
        <v>https://doi.org/10.1145/296336.296354</v>
      </c>
      <c r="C148" s="28" t="b">
        <f t="shared" si="1"/>
        <v>1</v>
      </c>
      <c r="E148" s="28" t="str">
        <f>'Copy of INCEXC A'!C148</f>
        <v>Who exactly is trying to help us? The ethos of help systems in popular computer applications</v>
      </c>
      <c r="F148" s="28" t="str">
        <f>'Copy of INCEXC A'!D148</f>
        <v>Marilyn</v>
      </c>
      <c r="G148" s="28" t="str">
        <f>'Copy of INCEXC B'!D148</f>
        <v>Taylor</v>
      </c>
      <c r="H148" s="28" t="str">
        <f>'Copy of INCEXC A'!E148</f>
        <v>Exclude</v>
      </c>
      <c r="I148" s="28" t="str">
        <f>'Copy of INCEXC B'!E148</f>
        <v>Exclude</v>
      </c>
      <c r="J148" s="28" t="b">
        <f t="shared" si="2"/>
        <v>1</v>
      </c>
      <c r="K148" s="28" t="b">
        <f t="shared" si="3"/>
        <v>0</v>
      </c>
    </row>
    <row r="149" hidden="1">
      <c r="A149" s="35" t="str">
        <f>'Copy of INCEXC A'!A149</f>
        <v>https://doi.org/10.1145/2964284.2984067</v>
      </c>
      <c r="B149" s="35" t="str">
        <f>'Copy of INCEXC B'!A149</f>
        <v>https://doi.org/10.1145/2964284.2984067</v>
      </c>
      <c r="C149" s="28" t="b">
        <f t="shared" si="1"/>
        <v>1</v>
      </c>
      <c r="E149" s="28" t="str">
        <f>'Copy of INCEXC A'!C149</f>
        <v>Tracking Natural Events through Social Media and Computer Vision</v>
      </c>
      <c r="F149" s="28" t="str">
        <f>'Copy of INCEXC A'!D149</f>
        <v>Marilyn</v>
      </c>
      <c r="G149" s="28" t="str">
        <f>'Copy of INCEXC B'!D149</f>
        <v>Ceren</v>
      </c>
      <c r="H149" s="28" t="str">
        <f>'Copy of INCEXC A'!E149</f>
        <v>Exclude</v>
      </c>
      <c r="I149" s="28" t="str">
        <f>'Copy of INCEXC B'!E149</f>
        <v/>
      </c>
      <c r="J149" s="28" t="b">
        <f t="shared" si="2"/>
        <v>0</v>
      </c>
      <c r="K149" s="28" t="b">
        <f t="shared" si="3"/>
        <v>0</v>
      </c>
    </row>
    <row r="150" hidden="1">
      <c r="A150" s="35" t="str">
        <f>'Copy of INCEXC A'!A150</f>
        <v>https://doi.org/10.1145/2983927</v>
      </c>
      <c r="B150" s="35" t="str">
        <f>'Copy of INCEXC B'!A150</f>
        <v>https://doi.org/10.1145/2983927</v>
      </c>
      <c r="C150" s="28" t="b">
        <f t="shared" si="1"/>
        <v>1</v>
      </c>
      <c r="E150" s="28" t="str">
        <f>'Copy of INCEXC A'!C150</f>
        <v>Effects of Speed</v>
      </c>
      <c r="F150" s="28" t="str">
        <f>'Copy of INCEXC A'!D150</f>
        <v>Kaiser</v>
      </c>
      <c r="G150" s="28" t="str">
        <f>'Copy of INCEXC B'!D150</f>
        <v>Taylor</v>
      </c>
      <c r="H150" s="28" t="str">
        <f>'Copy of INCEXC A'!E150</f>
        <v>Exclude</v>
      </c>
      <c r="I150" s="28" t="str">
        <f>'Copy of INCEXC B'!E150</f>
        <v>Exclude</v>
      </c>
      <c r="J150" s="28" t="b">
        <f t="shared" si="2"/>
        <v>1</v>
      </c>
      <c r="K150" s="28" t="b">
        <f t="shared" si="3"/>
        <v>0</v>
      </c>
    </row>
    <row r="151" hidden="1">
      <c r="A151" s="35" t="str">
        <f>'Copy of INCEXC A'!A151</f>
        <v>https://doi.org/10.1145/2987550.2987579</v>
      </c>
      <c r="B151" s="35" t="str">
        <f>'Copy of INCEXC B'!A151</f>
        <v>https://doi.org/10.1145/2987550.2987579</v>
      </c>
      <c r="C151" s="28" t="b">
        <f t="shared" si="1"/>
        <v>1</v>
      </c>
      <c r="E151" s="28" t="str">
        <f>'Copy of INCEXC A'!C151</f>
        <v>Towards Weakly Consistent Local Storage Systems</v>
      </c>
      <c r="F151" s="28" t="str">
        <f>'Copy of INCEXC A'!D151</f>
        <v>Kaiser</v>
      </c>
      <c r="G151" s="28" t="str">
        <f>'Copy of INCEXC B'!D151</f>
        <v>Danni</v>
      </c>
      <c r="H151" s="28" t="str">
        <f>'Copy of INCEXC A'!E151</f>
        <v>Exclude</v>
      </c>
      <c r="I151" s="28" t="str">
        <f>'Copy of INCEXC B'!E151</f>
        <v>Exclude</v>
      </c>
      <c r="J151" s="28" t="b">
        <f t="shared" si="2"/>
        <v>1</v>
      </c>
      <c r="K151" s="28" t="b">
        <f t="shared" si="3"/>
        <v>0</v>
      </c>
    </row>
    <row r="152" hidden="1">
      <c r="A152" s="35" t="str">
        <f>'Copy of INCEXC A'!A152</f>
        <v>https://doi.org/10.1145/3007210</v>
      </c>
      <c r="B152" s="35" t="str">
        <f>'Copy of INCEXC B'!A152</f>
        <v>https://doi.org/10.1145/3007210</v>
      </c>
      <c r="C152" s="28" t="b">
        <f t="shared" si="1"/>
        <v>1</v>
      </c>
      <c r="E152" s="28" t="str">
        <f>'Copy of INCEXC A'!C152</f>
        <v>Debating Technology for Dialogical Argument: Sensemaking</v>
      </c>
      <c r="F152" s="28" t="str">
        <f>'Copy of INCEXC A'!D152</f>
        <v>Jonathan</v>
      </c>
      <c r="G152" s="28" t="str">
        <f>'Copy of INCEXC B'!D152</f>
        <v>Taylor</v>
      </c>
      <c r="H152" s="28" t="str">
        <f>'Copy of INCEXC A'!E152</f>
        <v/>
      </c>
      <c r="I152" s="28" t="str">
        <f>'Copy of INCEXC B'!E152</f>
        <v>Exclude</v>
      </c>
      <c r="J152" s="28" t="b">
        <f t="shared" si="2"/>
        <v>0</v>
      </c>
      <c r="K152" s="28" t="b">
        <f t="shared" si="3"/>
        <v>0</v>
      </c>
    </row>
    <row r="153" hidden="1">
      <c r="A153" s="35" t="str">
        <f>'Copy of INCEXC A'!A153</f>
        <v>https://doi.org/10.1145/3033273</v>
      </c>
      <c r="B153" s="35" t="str">
        <f>'Copy of INCEXC B'!A153</f>
        <v>https://doi.org/10.1145/3033273</v>
      </c>
      <c r="C153" s="28" t="b">
        <f t="shared" si="1"/>
        <v>1</v>
      </c>
      <c r="E153" s="28" t="str">
        <f>'Copy of INCEXC A'!C153</f>
        <v>WiscKey: Separating Keys from Values in SSD-Conscious Storage</v>
      </c>
      <c r="F153" s="28" t="str">
        <f>'Copy of INCEXC A'!D153</f>
        <v>Marilyn</v>
      </c>
      <c r="G153" s="28" t="str">
        <f>'Copy of INCEXC B'!D153</f>
        <v>Danni</v>
      </c>
      <c r="H153" s="28" t="str">
        <f>'Copy of INCEXC A'!E153</f>
        <v>Exclude</v>
      </c>
      <c r="I153" s="28" t="str">
        <f>'Copy of INCEXC B'!E153</f>
        <v>Exclude</v>
      </c>
      <c r="J153" s="28" t="b">
        <f t="shared" si="2"/>
        <v>1</v>
      </c>
      <c r="K153" s="28" t="b">
        <f t="shared" si="3"/>
        <v>0</v>
      </c>
    </row>
    <row r="154" hidden="1">
      <c r="A154" s="35" t="str">
        <f>'Copy of INCEXC A'!A154</f>
        <v>https://doi.org/10.1145/3041960</v>
      </c>
      <c r="B154" s="35" t="str">
        <f>'Copy of INCEXC B'!A154</f>
        <v>https://doi.org/10.1145/3041960</v>
      </c>
      <c r="C154" s="28" t="b">
        <f t="shared" si="1"/>
        <v>1</v>
      </c>
      <c r="E154" s="28" t="str">
        <f>'Copy of INCEXC A'!C154</f>
        <v>Smart Computing and Sensing Technologies for Animal Welfare: A Systematic Review</v>
      </c>
      <c r="F154" s="28" t="str">
        <f>'Copy of INCEXC A'!D154</f>
        <v>Jonathan</v>
      </c>
      <c r="G154" s="28" t="str">
        <f>'Copy of INCEXC B'!D154</f>
        <v>Danni</v>
      </c>
      <c r="H154" s="28" t="str">
        <f>'Copy of INCEXC A'!E154</f>
        <v/>
      </c>
      <c r="I154" s="28" t="str">
        <f>'Copy of INCEXC B'!E154</f>
        <v>Exclude</v>
      </c>
      <c r="J154" s="28" t="b">
        <f t="shared" si="2"/>
        <v>0</v>
      </c>
      <c r="K154" s="28" t="b">
        <f t="shared" si="3"/>
        <v>0</v>
      </c>
    </row>
    <row r="155" hidden="1">
      <c r="A155" s="35" t="str">
        <f>'Copy of INCEXC A'!A155</f>
        <v>https://doi.org/10.1145/3056662.3056667</v>
      </c>
      <c r="B155" s="35" t="str">
        <f>'Copy of INCEXC B'!A155</f>
        <v>https://doi.org/10.1145/3056662.3056667</v>
      </c>
      <c r="C155" s="28" t="b">
        <f t="shared" si="1"/>
        <v>1</v>
      </c>
      <c r="E155" s="28" t="str">
        <f>'Copy of INCEXC A'!C155</f>
        <v>Performance and energy efficiency of big data systems: characterization</v>
      </c>
      <c r="F155" s="28" t="str">
        <f>'Copy of INCEXC A'!D155</f>
        <v>Kaiser</v>
      </c>
      <c r="G155" s="28" t="str">
        <f>'Copy of INCEXC B'!D155</f>
        <v>Ceren</v>
      </c>
      <c r="H155" s="28" t="str">
        <f>'Copy of INCEXC A'!E155</f>
        <v>Exclude</v>
      </c>
      <c r="I155" s="28" t="str">
        <f>'Copy of INCEXC B'!E155</f>
        <v/>
      </c>
      <c r="J155" s="28" t="b">
        <f t="shared" si="2"/>
        <v>0</v>
      </c>
      <c r="K155" s="28" t="b">
        <f t="shared" si="3"/>
        <v>0</v>
      </c>
    </row>
    <row r="156" hidden="1">
      <c r="A156" s="35" t="str">
        <f>'Copy of INCEXC A'!A156</f>
        <v>https://doi.org/10.1145/3078468.3078471</v>
      </c>
      <c r="B156" s="35" t="str">
        <f>'Copy of INCEXC B'!A156</f>
        <v>https://doi.org/10.1145/3078468.3078471</v>
      </c>
      <c r="C156" s="28" t="b">
        <f t="shared" si="1"/>
        <v>1</v>
      </c>
      <c r="E156" s="28" t="str">
        <f>'Copy of INCEXC A'!C156</f>
        <v>Freewrite: creating (almost) zero-cost writes to SSD in applications</v>
      </c>
      <c r="F156" s="28" t="str">
        <f>'Copy of INCEXC A'!D156</f>
        <v>Kaiser</v>
      </c>
      <c r="G156" s="28" t="str">
        <f>'Copy of INCEXC B'!D156</f>
        <v>Taylor</v>
      </c>
      <c r="H156" s="28" t="str">
        <f>'Copy of INCEXC A'!E156</f>
        <v>Exclude</v>
      </c>
      <c r="I156" s="28" t="str">
        <f>'Copy of INCEXC B'!E156</f>
        <v>Exclude</v>
      </c>
      <c r="J156" s="28" t="b">
        <f t="shared" si="2"/>
        <v>1</v>
      </c>
      <c r="K156" s="28" t="b">
        <f t="shared" si="3"/>
        <v>0</v>
      </c>
    </row>
    <row r="157" hidden="1">
      <c r="A157" s="35" t="str">
        <f>'Copy of INCEXC A'!A157</f>
        <v>https://doi.org/10.1145/3085574</v>
      </c>
      <c r="B157" s="35" t="str">
        <f>'Copy of INCEXC B'!A157</f>
        <v>https://doi.org/10.1145/3085574</v>
      </c>
      <c r="C157" s="28" t="b">
        <f t="shared" si="1"/>
        <v>1</v>
      </c>
      <c r="E157" s="28" t="str">
        <f>'Copy of INCEXC A'!C157</f>
        <v>How to choose a conference</v>
      </c>
      <c r="F157" s="28" t="str">
        <f>'Copy of INCEXC A'!D157</f>
        <v>Marilyn</v>
      </c>
      <c r="G157" s="28" t="str">
        <f>'Copy of INCEXC B'!D157</f>
        <v>Ceren</v>
      </c>
      <c r="H157" s="28" t="str">
        <f>'Copy of INCEXC A'!E157</f>
        <v>Exclude</v>
      </c>
      <c r="I157" s="28" t="str">
        <f>'Copy of INCEXC B'!E157</f>
        <v/>
      </c>
      <c r="J157" s="28" t="b">
        <f t="shared" si="2"/>
        <v>0</v>
      </c>
      <c r="K157" s="28" t="b">
        <f t="shared" si="3"/>
        <v>0</v>
      </c>
    </row>
    <row r="158" hidden="1">
      <c r="A158" s="35" t="str">
        <f>'Copy of INCEXC A'!A158</f>
        <v>https://doi.org/10.1145/309831.309929</v>
      </c>
      <c r="B158" s="35" t="str">
        <f>'Copy of INCEXC B'!A158</f>
        <v>https://doi.org/10.1145/309831.309929</v>
      </c>
      <c r="C158" s="28" t="b">
        <f t="shared" si="1"/>
        <v>1</v>
      </c>
      <c r="E158" s="28" t="str">
        <f>'Copy of INCEXC A'!C158</f>
        <v>Shifted normal forms of polynomial matrices</v>
      </c>
      <c r="F158" s="28" t="str">
        <f>'Copy of INCEXC A'!D158</f>
        <v>Marilyn</v>
      </c>
      <c r="G158" s="28" t="str">
        <f>'Copy of INCEXC B'!D158</f>
        <v>Taylor</v>
      </c>
      <c r="H158" s="28" t="str">
        <f>'Copy of INCEXC A'!E158</f>
        <v>Exclude</v>
      </c>
      <c r="I158" s="28" t="str">
        <f>'Copy of INCEXC B'!E158</f>
        <v>Exclude</v>
      </c>
      <c r="J158" s="28" t="b">
        <f t="shared" si="2"/>
        <v>1</v>
      </c>
      <c r="K158" s="28" t="b">
        <f t="shared" si="3"/>
        <v>0</v>
      </c>
    </row>
    <row r="159" hidden="1">
      <c r="A159" s="35" t="str">
        <f>'Copy of INCEXC A'!A159</f>
        <v>https://doi.org/10.1145/3126594.3126640</v>
      </c>
      <c r="B159" s="35" t="str">
        <f>'Copy of INCEXC B'!A159</f>
        <v>https://doi.org/10.1145/3126594.3126640</v>
      </c>
      <c r="C159" s="28" t="b">
        <f t="shared" si="1"/>
        <v>1</v>
      </c>
      <c r="E159" s="28" t="str">
        <f>'Copy of INCEXC A'!C159</f>
        <v>More than a Feeling: The MiFace Framework for Defining Facial Communication Mappings</v>
      </c>
      <c r="F159" s="28" t="str">
        <f>'Copy of INCEXC A'!D159</f>
        <v>Kaiser</v>
      </c>
      <c r="G159" s="28" t="str">
        <f>'Copy of INCEXC B'!D159</f>
        <v>Taylor</v>
      </c>
      <c r="H159" s="28" t="str">
        <f>'Copy of INCEXC A'!E159</f>
        <v>Exclude</v>
      </c>
      <c r="I159" s="28" t="str">
        <f>'Copy of INCEXC B'!E159</f>
        <v>Exclude</v>
      </c>
      <c r="J159" s="28" t="b">
        <f t="shared" si="2"/>
        <v>1</v>
      </c>
      <c r="K159" s="28" t="b">
        <f t="shared" si="3"/>
        <v>0</v>
      </c>
    </row>
    <row r="160" hidden="1">
      <c r="A160" s="35" t="str">
        <f>'Copy of INCEXC A'!A160</f>
        <v>https://doi.org/10.1145/3232162</v>
      </c>
      <c r="B160" s="35" t="str">
        <f>'Copy of INCEXC B'!A160</f>
        <v>https://doi.org/10.1145/3232162</v>
      </c>
      <c r="C160" s="28" t="b">
        <f t="shared" si="1"/>
        <v>1</v>
      </c>
      <c r="E160" s="28" t="str">
        <f>'Copy of INCEXC A'!C160</f>
        <v>Scale-Out vs Scale-Up: A Study of ARM-based SoCs on Server-Class Workloads</v>
      </c>
      <c r="F160" s="28" t="str">
        <f>'Copy of INCEXC A'!D160</f>
        <v>Marilyn</v>
      </c>
      <c r="G160" s="28" t="str">
        <f>'Copy of INCEXC B'!D160</f>
        <v>Ceren</v>
      </c>
      <c r="H160" s="28" t="str">
        <f>'Copy of INCEXC A'!E160</f>
        <v>Exclude</v>
      </c>
      <c r="I160" s="28" t="str">
        <f>'Copy of INCEXC B'!E160</f>
        <v/>
      </c>
      <c r="J160" s="28" t="b">
        <f t="shared" si="2"/>
        <v>0</v>
      </c>
      <c r="K160" s="28" t="b">
        <f t="shared" si="3"/>
        <v>0</v>
      </c>
    </row>
    <row r="161" hidden="1">
      <c r="A161" s="35" t="str">
        <f>'Copy of INCEXC A'!A161</f>
        <v>https://doi.org/10.1145/3241038</v>
      </c>
      <c r="B161" s="35" t="str">
        <f>'Copy of INCEXC B'!A161</f>
        <v>https://doi.org/10.1145/3241038</v>
      </c>
      <c r="C161" s="28" t="b">
        <f t="shared" si="1"/>
        <v>1</v>
      </c>
      <c r="E161" s="28" t="str">
        <f>'Copy of INCEXC A'!C161</f>
        <v>A Taxonomy and Future Directions for Sustainable Cloud Computing: 360 Degree View</v>
      </c>
      <c r="F161" s="28" t="str">
        <f>'Copy of INCEXC A'!D161</f>
        <v>Kaiser</v>
      </c>
      <c r="G161" s="28" t="str">
        <f>'Copy of INCEXC B'!D161</f>
        <v>Danni</v>
      </c>
      <c r="H161" s="28" t="str">
        <f>'Copy of INCEXC A'!E161</f>
        <v>Exclude</v>
      </c>
      <c r="I161" s="28" t="str">
        <f>'Copy of INCEXC B'!E161</f>
        <v>Exclude</v>
      </c>
      <c r="J161" s="28" t="b">
        <f t="shared" si="2"/>
        <v>1</v>
      </c>
      <c r="K161" s="28" t="b">
        <f t="shared" si="3"/>
        <v>0</v>
      </c>
    </row>
    <row r="162" hidden="1">
      <c r="A162" s="35" t="str">
        <f>'Copy of INCEXC A'!A162</f>
        <v>https://doi.org/10.1145/3267809.3267847</v>
      </c>
      <c r="B162" s="35" t="str">
        <f>'Copy of INCEXC B'!A162</f>
        <v>https://doi.org/10.1145/3267809.3267847</v>
      </c>
      <c r="C162" s="28" t="b">
        <f t="shared" si="1"/>
        <v>1</v>
      </c>
      <c r="E162" s="28" t="str">
        <f>'Copy of INCEXC A'!C162</f>
        <v>Cascade Mapping: Optimizing Memory Efficiency for Flash-based Key-value Caching</v>
      </c>
      <c r="F162" s="28" t="str">
        <f>'Copy of INCEXC A'!D162</f>
        <v>Jonathan</v>
      </c>
      <c r="G162" s="28" t="str">
        <f>'Copy of INCEXC B'!D162</f>
        <v>Taylor</v>
      </c>
      <c r="H162" s="28" t="str">
        <f>'Copy of INCEXC A'!E162</f>
        <v/>
      </c>
      <c r="I162" s="28" t="str">
        <f>'Copy of INCEXC B'!E162</f>
        <v>Exclude</v>
      </c>
      <c r="J162" s="28" t="b">
        <f t="shared" si="2"/>
        <v>0</v>
      </c>
      <c r="K162" s="28" t="b">
        <f t="shared" si="3"/>
        <v>0</v>
      </c>
    </row>
    <row r="163" hidden="1">
      <c r="A163" s="35" t="str">
        <f>'Copy of INCEXC A'!A163</f>
        <v>https://doi.org/10.1145/3273982.3273989</v>
      </c>
      <c r="B163" s="35" t="str">
        <f>'Copy of INCEXC B'!A163</f>
        <v>https://doi.org/10.1145/3273982.3273989</v>
      </c>
      <c r="C163" s="28" t="b">
        <f t="shared" si="1"/>
        <v>1</v>
      </c>
      <c r="E163" s="28" t="str">
        <f>'Copy of INCEXC A'!C163</f>
        <v>Morpheus: Exploring the Potential of Near-Data Processing for Creating Application Objects in Heterogeneous Computing</v>
      </c>
      <c r="F163" s="28" t="str">
        <f>'Copy of INCEXC A'!D163</f>
        <v>Kaiser</v>
      </c>
      <c r="G163" s="28" t="str">
        <f>'Copy of INCEXC B'!D163</f>
        <v>Danni</v>
      </c>
      <c r="H163" s="28" t="str">
        <f>'Copy of INCEXC A'!E163</f>
        <v>Exclude</v>
      </c>
      <c r="I163" s="28" t="str">
        <f>'Copy of INCEXC B'!E163</f>
        <v>Exclude</v>
      </c>
      <c r="J163" s="28" t="b">
        <f t="shared" si="2"/>
        <v>1</v>
      </c>
      <c r="K163" s="28" t="b">
        <f t="shared" si="3"/>
        <v>0</v>
      </c>
    </row>
    <row r="164" hidden="1">
      <c r="A164" s="35" t="str">
        <f>'Copy of INCEXC A'!A164</f>
        <v>https://doi.org/10.1145/3289604</v>
      </c>
      <c r="B164" s="35" t="str">
        <f>'Copy of INCEXC B'!A164</f>
        <v>https://doi.org/10.1145/3289604</v>
      </c>
      <c r="C164" s="28" t="b">
        <f t="shared" si="1"/>
        <v>1</v>
      </c>
      <c r="E164" s="28" t="str">
        <f>'Copy of INCEXC A'!C164</f>
        <v>Leveraging Glocality for Fast Failure Recovery in Distributed RAM Storage</v>
      </c>
      <c r="F164" s="28" t="str">
        <f>'Copy of INCEXC A'!D164</f>
        <v>Marilyn</v>
      </c>
      <c r="G164" s="28" t="str">
        <f>'Copy of INCEXC B'!D164</f>
        <v>Danni</v>
      </c>
      <c r="H164" s="28" t="str">
        <f>'Copy of INCEXC A'!E164</f>
        <v>Exclude</v>
      </c>
      <c r="I164" s="28" t="str">
        <f>'Copy of INCEXC B'!E164</f>
        <v>Exclude</v>
      </c>
      <c r="J164" s="28" t="b">
        <f t="shared" si="2"/>
        <v>1</v>
      </c>
      <c r="K164" s="28" t="b">
        <f t="shared" si="3"/>
        <v>0</v>
      </c>
    </row>
    <row r="165" hidden="1">
      <c r="A165" s="35" t="str">
        <f>'Copy of INCEXC A'!A165</f>
        <v>https://doi.org/10.1145/3290607.3312915</v>
      </c>
      <c r="B165" s="35" t="str">
        <f>'Copy of INCEXC B'!A165</f>
        <v>https://doi.org/10.1145/3290607.3312915</v>
      </c>
      <c r="C165" s="28" t="b">
        <f t="shared" si="1"/>
        <v>1</v>
      </c>
      <c r="E165" s="28" t="str">
        <f>'Copy of INCEXC A'!C165</f>
        <v>It Sounds Like A Woman: Exploring Gender Stereotypes in South Korean Voice Assistants</v>
      </c>
      <c r="F165" s="28" t="str">
        <f>'Copy of INCEXC A'!D165</f>
        <v>Marilyn</v>
      </c>
      <c r="G165" s="28" t="str">
        <f>'Copy of INCEXC B'!D165</f>
        <v>Taylor</v>
      </c>
      <c r="H165" s="28" t="str">
        <f>'Copy of INCEXC A'!E165</f>
        <v>Exclude</v>
      </c>
      <c r="I165" s="28" t="str">
        <f>'Copy of INCEXC B'!E165</f>
        <v>Exclude</v>
      </c>
      <c r="J165" s="28" t="b">
        <f t="shared" si="2"/>
        <v>1</v>
      </c>
      <c r="K165" s="28" t="b">
        <f t="shared" si="3"/>
        <v>0</v>
      </c>
    </row>
    <row r="166" hidden="1">
      <c r="A166" s="35" t="str">
        <f>'Copy of INCEXC A'!A166</f>
        <v>https://doi.org/10.1145/3297858.3304022</v>
      </c>
      <c r="B166" s="35" t="str">
        <f>'Copy of INCEXC B'!A166</f>
        <v>https://doi.org/10.1145/3297858.3304022</v>
      </c>
      <c r="C166" s="28" t="b">
        <f t="shared" si="1"/>
        <v>1</v>
      </c>
      <c r="E166" s="28" t="str">
        <f>'Copy of INCEXC A'!C166</f>
        <v>LightStore: Software-defined Network-attached Key-value Drives</v>
      </c>
      <c r="F166" s="28" t="str">
        <f>'Copy of INCEXC A'!D166</f>
        <v>Kaiser</v>
      </c>
      <c r="G166" s="28" t="str">
        <f>'Copy of INCEXC B'!D166</f>
        <v>Danni</v>
      </c>
      <c r="H166" s="28" t="str">
        <f>'Copy of INCEXC A'!E166</f>
        <v>Exclude</v>
      </c>
      <c r="I166" s="28" t="str">
        <f>'Copy of INCEXC B'!E166</f>
        <v>Exclude</v>
      </c>
      <c r="J166" s="28" t="b">
        <f t="shared" si="2"/>
        <v>1</v>
      </c>
      <c r="K166" s="28" t="b">
        <f t="shared" si="3"/>
        <v>0</v>
      </c>
    </row>
    <row r="167" hidden="1">
      <c r="A167" s="35" t="str">
        <f>'Copy of INCEXC A'!A167</f>
        <v>https://doi.org/10.1145/3308558.3313400</v>
      </c>
      <c r="B167" s="35" t="str">
        <f>'Copy of INCEXC B'!A167</f>
        <v>https://doi.org/10.1145/3308558.3313400</v>
      </c>
      <c r="C167" s="28" t="b">
        <f t="shared" si="1"/>
        <v>1</v>
      </c>
      <c r="E167" s="28" t="str">
        <f>'Copy of INCEXC A'!C167</f>
        <v>Exploring Perceived Emotional Intelligence of Personality-Driven Virtual Agents in Handling User Challenges</v>
      </c>
      <c r="F167" s="28" t="str">
        <f>'Copy of INCEXC A'!D167</f>
        <v>Kaiser</v>
      </c>
      <c r="G167" s="28" t="str">
        <f>'Copy of INCEXC B'!D167</f>
        <v>Ceren</v>
      </c>
      <c r="H167" s="28" t="str">
        <f>'Copy of INCEXC A'!E167</f>
        <v>Exclude</v>
      </c>
      <c r="I167" s="28" t="str">
        <f>'Copy of INCEXC B'!E167</f>
        <v/>
      </c>
      <c r="J167" s="28" t="b">
        <f t="shared" si="2"/>
        <v>0</v>
      </c>
      <c r="K167" s="28" t="b">
        <f t="shared" si="3"/>
        <v>0</v>
      </c>
    </row>
    <row r="168" hidden="1">
      <c r="A168" s="35" t="str">
        <f>'Copy of INCEXC A'!A168</f>
        <v>https://doi.org/10.1145/3313831.3376612</v>
      </c>
      <c r="B168" s="35" t="str">
        <f>'Copy of INCEXC B'!A168</f>
        <v>https://doi.org/10.1145/3313831.3376612</v>
      </c>
      <c r="C168" s="28" t="b">
        <f t="shared" si="1"/>
        <v>1</v>
      </c>
      <c r="E168" s="28" t="str">
        <f>'Copy of INCEXC A'!C168</f>
        <v>The Government's Dividend: Complex Perceptions of Social Media Misinformation in China</v>
      </c>
      <c r="F168" s="28" t="str">
        <f>'Copy of INCEXC A'!D168</f>
        <v>Marilyn</v>
      </c>
      <c r="G168" s="28" t="str">
        <f>'Copy of INCEXC B'!D168</f>
        <v>Taylor</v>
      </c>
      <c r="H168" s="28" t="str">
        <f>'Copy of INCEXC A'!E168</f>
        <v>Exclude</v>
      </c>
      <c r="I168" s="28" t="str">
        <f>'Copy of INCEXC B'!E168</f>
        <v>Exclude</v>
      </c>
      <c r="J168" s="28" t="b">
        <f t="shared" si="2"/>
        <v>1</v>
      </c>
      <c r="K168" s="28" t="b">
        <f t="shared" si="3"/>
        <v>0</v>
      </c>
    </row>
    <row r="169" hidden="1">
      <c r="A169" s="35" t="str">
        <f>'Copy of INCEXC A'!A169</f>
        <v>https://doi.org/10.1145/332040.332406</v>
      </c>
      <c r="B169" s="35" t="str">
        <f>'Copy of INCEXC B'!A169</f>
        <v>https://doi.org/10.1145/332040.332406</v>
      </c>
      <c r="C169" s="28" t="b">
        <f t="shared" si="1"/>
        <v>1</v>
      </c>
      <c r="E169" s="28" t="str">
        <f>'Copy of INCEXC A'!C169</f>
        <v>The effects of animated characters on anxiety</v>
      </c>
      <c r="F169" s="28" t="str">
        <f>'Copy of INCEXC A'!D169</f>
        <v>Marilyn</v>
      </c>
      <c r="G169" s="28" t="str">
        <f>'Copy of INCEXC B'!D169</f>
        <v>Taylor</v>
      </c>
      <c r="H169" s="28" t="str">
        <f>'Copy of INCEXC A'!E169</f>
        <v>Exclude</v>
      </c>
      <c r="I169" s="28" t="str">
        <f>'Copy of INCEXC B'!E169</f>
        <v>Exclude</v>
      </c>
      <c r="J169" s="28" t="b">
        <f t="shared" si="2"/>
        <v>1</v>
      </c>
      <c r="K169" s="28" t="b">
        <f t="shared" si="3"/>
        <v>0</v>
      </c>
    </row>
    <row r="170" hidden="1">
      <c r="A170" s="35" t="str">
        <f>'Copy of INCEXC A'!A170</f>
        <v>https://doi.org/10.1145/3330393.3330402</v>
      </c>
      <c r="B170" s="35" t="str">
        <f>'Copy of INCEXC B'!A170</f>
        <v>https://doi.org/10.1145/3330393.3330402</v>
      </c>
      <c r="C170" s="28" t="b">
        <f t="shared" si="1"/>
        <v>1</v>
      </c>
      <c r="E170" s="28" t="str">
        <f>'Copy of INCEXC A'!C170</f>
        <v>A Biogeography-Based Optimization Algorithm for Criminisi Algorithm</v>
      </c>
      <c r="F170" s="28" t="str">
        <f>'Copy of INCEXC A'!D170</f>
        <v>Kaiser</v>
      </c>
      <c r="G170" s="28" t="str">
        <f>'Copy of INCEXC B'!D170</f>
        <v>Danni</v>
      </c>
      <c r="H170" s="28" t="str">
        <f>'Copy of INCEXC A'!E170</f>
        <v>Exclude</v>
      </c>
      <c r="I170" s="28" t="str">
        <f>'Copy of INCEXC B'!E170</f>
        <v>Exclude</v>
      </c>
      <c r="J170" s="28" t="b">
        <f t="shared" si="2"/>
        <v>1</v>
      </c>
      <c r="K170" s="28" t="b">
        <f t="shared" si="3"/>
        <v>0</v>
      </c>
    </row>
    <row r="171" hidden="1">
      <c r="A171" s="35" t="str">
        <f>'Copy of INCEXC A'!A171</f>
        <v>https://doi.org/10.1145/333140.333146</v>
      </c>
      <c r="B171" s="35" t="str">
        <f>'Copy of INCEXC B'!A171</f>
        <v>https://doi.org/10.1145/333140.333146</v>
      </c>
      <c r="C171" s="28" t="b">
        <f t="shared" si="1"/>
        <v>1</v>
      </c>
      <c r="E171" s="28" t="str">
        <f>'Copy of INCEXC A'!C171</f>
        <v>Networking on the network</v>
      </c>
      <c r="F171" s="28" t="str">
        <f>'Copy of INCEXC A'!D171</f>
        <v>Kaiser</v>
      </c>
      <c r="G171" s="28" t="str">
        <f>'Copy of INCEXC B'!D171</f>
        <v>Danni</v>
      </c>
      <c r="H171" s="28" t="str">
        <f>'Copy of INCEXC A'!E171</f>
        <v>Exclude</v>
      </c>
      <c r="I171" s="28" t="str">
        <f>'Copy of INCEXC B'!E171</f>
        <v>Exclude</v>
      </c>
      <c r="J171" s="28" t="b">
        <f t="shared" si="2"/>
        <v>1</v>
      </c>
      <c r="K171" s="28" t="b">
        <f t="shared" si="3"/>
        <v>0</v>
      </c>
    </row>
    <row r="172" hidden="1">
      <c r="A172" s="35" t="str">
        <f>'Copy of INCEXC A'!A172</f>
        <v>https://doi.org/10.1145/3331543.3342580</v>
      </c>
      <c r="B172" s="35" t="str">
        <f>'Copy of INCEXC B'!A172</f>
        <v>https://doi.org/10.1145/3331543.3342580</v>
      </c>
      <c r="C172" s="28" t="b">
        <f t="shared" si="1"/>
        <v>1</v>
      </c>
      <c r="E172" s="28" t="str">
        <f>'Copy of INCEXC A'!C172</f>
        <v>Mobile game programming in Haskell</v>
      </c>
      <c r="F172" s="28" t="str">
        <f>'Copy of INCEXC A'!D172</f>
        <v>Kaiser</v>
      </c>
      <c r="G172" s="28" t="str">
        <f>'Copy of INCEXC B'!D172</f>
        <v>Ceren</v>
      </c>
      <c r="H172" s="28" t="str">
        <f>'Copy of INCEXC A'!E172</f>
        <v>Exclude</v>
      </c>
      <c r="I172" s="28" t="str">
        <f>'Copy of INCEXC B'!E172</f>
        <v/>
      </c>
      <c r="J172" s="28" t="b">
        <f t="shared" si="2"/>
        <v>0</v>
      </c>
      <c r="K172" s="28" t="b">
        <f t="shared" si="3"/>
        <v>0</v>
      </c>
    </row>
    <row r="173" hidden="1">
      <c r="A173" s="35" t="str">
        <f>'Copy of INCEXC A'!A173</f>
        <v>https://doi.org/10.1145/3339458</v>
      </c>
      <c r="B173" s="35" t="str">
        <f>'Copy of INCEXC B'!A173</f>
        <v>https://doi.org/10.1145/3339458</v>
      </c>
      <c r="C173" s="28" t="b">
        <f t="shared" si="1"/>
        <v>1</v>
      </c>
      <c r="E173" s="28" t="str">
        <f>'Copy of INCEXC A'!C173</f>
        <v>The algorithm that changed quantum machine learning</v>
      </c>
      <c r="F173" s="28" t="str">
        <f>'Copy of INCEXC A'!D173</f>
        <v>Kaiser</v>
      </c>
      <c r="G173" s="28" t="str">
        <f>'Copy of INCEXC B'!D173</f>
        <v>Ceren</v>
      </c>
      <c r="H173" s="28" t="str">
        <f>'Copy of INCEXC A'!E173</f>
        <v>Exclude</v>
      </c>
      <c r="I173" s="28" t="str">
        <f>'Copy of INCEXC B'!E173</f>
        <v/>
      </c>
      <c r="J173" s="28" t="b">
        <f t="shared" si="2"/>
        <v>0</v>
      </c>
      <c r="K173" s="28" t="b">
        <f t="shared" si="3"/>
        <v>0</v>
      </c>
    </row>
    <row r="174" hidden="1">
      <c r="A174" s="35" t="str">
        <f>'Copy of INCEXC A'!A174</f>
        <v>https://doi.org/10.1145/3363459.3363540</v>
      </c>
      <c r="B174" s="35" t="str">
        <f>'Copy of INCEXC B'!A174</f>
        <v>https://doi.org/10.1145/3363459.3363540</v>
      </c>
      <c r="C174" s="28" t="b">
        <f t="shared" si="1"/>
        <v>1</v>
      </c>
      <c r="E174" s="28" t="str">
        <f>'Copy of INCEXC A'!C174</f>
        <v>Climate Change Impacts on Campus Buildings Energy Use: An AI-based Scenario Analysis</v>
      </c>
      <c r="F174" s="28" t="str">
        <f>'Copy of INCEXC A'!D174</f>
        <v>Jonathan</v>
      </c>
      <c r="G174" s="28" t="str">
        <f>'Copy of INCEXC B'!D174</f>
        <v>Taylor</v>
      </c>
      <c r="H174" s="28" t="str">
        <f>'Copy of INCEXC A'!E174</f>
        <v/>
      </c>
      <c r="I174" s="28" t="str">
        <f>'Copy of INCEXC B'!E174</f>
        <v>Exclude</v>
      </c>
      <c r="J174" s="28" t="b">
        <f t="shared" si="2"/>
        <v>0</v>
      </c>
      <c r="K174" s="28" t="b">
        <f t="shared" si="3"/>
        <v>0</v>
      </c>
    </row>
    <row r="175" hidden="1">
      <c r="A175" s="35" t="str">
        <f>'Copy of INCEXC A'!A175</f>
        <v>https://doi.org/10.1145/3383668.3419909</v>
      </c>
      <c r="B175" s="35" t="str">
        <f>'Copy of INCEXC B'!A175</f>
        <v>https://doi.org/10.1145/3383668.3419909</v>
      </c>
      <c r="C175" s="28" t="b">
        <f t="shared" si="1"/>
        <v>1</v>
      </c>
      <c r="E175" s="28" t="str">
        <f>'Copy of INCEXC A'!C175</f>
        <v>Unpacking Mathematical Play within Makerspaces using Embodied Cognition</v>
      </c>
      <c r="F175" s="28" t="str">
        <f>'Copy of INCEXC A'!D175</f>
        <v>Kaiser</v>
      </c>
      <c r="G175" s="28" t="str">
        <f>'Copy of INCEXC B'!D175</f>
        <v>Danni</v>
      </c>
      <c r="H175" s="28" t="str">
        <f>'Copy of INCEXC A'!E175</f>
        <v>Exclude</v>
      </c>
      <c r="I175" s="28" t="str">
        <f>'Copy of INCEXC B'!E175</f>
        <v>Exclude</v>
      </c>
      <c r="J175" s="28" t="b">
        <f t="shared" si="2"/>
        <v>1</v>
      </c>
      <c r="K175" s="28" t="b">
        <f t="shared" si="3"/>
        <v>0</v>
      </c>
    </row>
    <row r="176" hidden="1">
      <c r="A176" s="35" t="str">
        <f>'Copy of INCEXC A'!A176</f>
        <v>https://doi.org/10.1145/3384473</v>
      </c>
      <c r="B176" s="35" t="str">
        <f>'Copy of INCEXC B'!A176</f>
        <v>https://doi.org/10.1145/3384473</v>
      </c>
      <c r="C176" s="28" t="b">
        <f t="shared" si="1"/>
        <v>1</v>
      </c>
      <c r="E176" s="28" t="str">
        <f>'Copy of INCEXC A'!C176</f>
        <v>Mining the Local Dependency Itemset in a Products Network</v>
      </c>
      <c r="F176" s="28" t="str">
        <f>'Copy of INCEXC A'!D176</f>
        <v>Jonathan</v>
      </c>
      <c r="G176" s="28" t="str">
        <f>'Copy of INCEXC B'!D176</f>
        <v>Taylor</v>
      </c>
      <c r="H176" s="28" t="str">
        <f>'Copy of INCEXC A'!E176</f>
        <v/>
      </c>
      <c r="I176" s="28" t="str">
        <f>'Copy of INCEXC B'!E176</f>
        <v>Exclude</v>
      </c>
      <c r="J176" s="28" t="b">
        <f t="shared" si="2"/>
        <v>0</v>
      </c>
      <c r="K176" s="28" t="b">
        <f t="shared" si="3"/>
        <v>0</v>
      </c>
    </row>
    <row r="177" hidden="1">
      <c r="A177" s="35" t="str">
        <f>'Copy of INCEXC A'!A177</f>
        <v>https://doi.org/10.1145/3387514.3405863</v>
      </c>
      <c r="B177" s="35" t="str">
        <f>'Copy of INCEXC B'!A177</f>
        <v>https://doi.org/10.1145/3387514.3405863</v>
      </c>
      <c r="C177" s="28" t="b">
        <f t="shared" si="1"/>
        <v>1</v>
      </c>
      <c r="E177" s="28" t="str">
        <f>'Copy of INCEXC A'!C177</f>
        <v>Fault Tolerant Service Function Chaining</v>
      </c>
      <c r="F177" s="28" t="str">
        <f>'Copy of INCEXC A'!D177</f>
        <v>Marilyn</v>
      </c>
      <c r="G177" s="28" t="str">
        <f>'Copy of INCEXC B'!D177</f>
        <v>Ceren</v>
      </c>
      <c r="H177" s="28" t="str">
        <f>'Copy of INCEXC A'!E177</f>
        <v>Exclude</v>
      </c>
      <c r="I177" s="28" t="str">
        <f>'Copy of INCEXC B'!E177</f>
        <v/>
      </c>
      <c r="J177" s="28" t="b">
        <f t="shared" si="2"/>
        <v>0</v>
      </c>
      <c r="K177" s="28" t="b">
        <f t="shared" si="3"/>
        <v>0</v>
      </c>
    </row>
    <row r="178" hidden="1">
      <c r="A178" s="35" t="str">
        <f>'Copy of INCEXC A'!A178</f>
        <v>https://doi.org/10.1145/343048.343076</v>
      </c>
      <c r="B178" s="35" t="str">
        <f>'Copy of INCEXC B'!A178</f>
        <v>https://doi.org/10.1145/343048.343076</v>
      </c>
      <c r="C178" s="28" t="b">
        <f t="shared" si="1"/>
        <v>1</v>
      </c>
      <c r="E178" s="28" t="str">
        <f>'Copy of INCEXC A'!C178</f>
        <v>Enter the usability engineer: integrating HCI and software engineering</v>
      </c>
      <c r="F178" s="28" t="str">
        <f>'Copy of INCEXC A'!D178</f>
        <v>Jonathan</v>
      </c>
      <c r="G178" s="28" t="str">
        <f>'Copy of INCEXC B'!D178</f>
        <v>Ceren</v>
      </c>
      <c r="H178" s="28" t="str">
        <f>'Copy of INCEXC A'!E178</f>
        <v/>
      </c>
      <c r="I178" s="28" t="str">
        <f>'Copy of INCEXC B'!E178</f>
        <v/>
      </c>
      <c r="J178" s="28" t="b">
        <f t="shared" si="2"/>
        <v>1</v>
      </c>
      <c r="K178" s="28" t="b">
        <f t="shared" si="3"/>
        <v>0</v>
      </c>
    </row>
    <row r="179" hidden="1">
      <c r="A179" s="35" t="str">
        <f>'Copy of INCEXC A'!A179</f>
        <v>https://doi.org/10.1145/3442381.3449990</v>
      </c>
      <c r="B179" s="35" t="str">
        <f>'Copy of INCEXC B'!A179</f>
        <v>https://doi.org/10.1145/3442381.3449990</v>
      </c>
      <c r="C179" s="28" t="b">
        <f t="shared" si="1"/>
        <v>1</v>
      </c>
      <c r="E179" s="28" t="str">
        <f>'Copy of INCEXC A'!C179</f>
        <v>A Longitudinal Study of Removed Apps in iOS App Store</v>
      </c>
      <c r="F179" s="28" t="str">
        <f>'Copy of INCEXC A'!D179</f>
        <v>Jonathan</v>
      </c>
      <c r="G179" s="28" t="str">
        <f>'Copy of INCEXC B'!D179</f>
        <v>Ceren</v>
      </c>
      <c r="H179" s="28" t="str">
        <f>'Copy of INCEXC A'!E179</f>
        <v/>
      </c>
      <c r="I179" s="28" t="str">
        <f>'Copy of INCEXC B'!E179</f>
        <v/>
      </c>
      <c r="J179" s="28" t="b">
        <f t="shared" si="2"/>
        <v>1</v>
      </c>
      <c r="K179" s="28" t="b">
        <f t="shared" si="3"/>
        <v>0</v>
      </c>
    </row>
    <row r="180" hidden="1">
      <c r="A180" s="35" t="str">
        <f>'Copy of INCEXC A'!A180</f>
        <v>https://doi.org/10.1145/3448018.3458007</v>
      </c>
      <c r="B180" s="35" t="str">
        <f>'Copy of INCEXC B'!A180</f>
        <v>https://doi.org/10.1145/3448018.3458007</v>
      </c>
      <c r="C180" s="28" t="b">
        <f t="shared" si="1"/>
        <v>1</v>
      </c>
      <c r="E180" s="28" t="str">
        <f>'Copy of INCEXC A'!C180</f>
        <v>Fixation: A universal framework for experimental eye&amp;nbsp;movement research✱</v>
      </c>
      <c r="F180" s="28" t="str">
        <f>'Copy of INCEXC A'!D180</f>
        <v>Kaiser</v>
      </c>
      <c r="G180" s="28" t="str">
        <f>'Copy of INCEXC B'!D180</f>
        <v>Ceren</v>
      </c>
      <c r="H180" s="28" t="str">
        <f>'Copy of INCEXC A'!E180</f>
        <v>Exclude</v>
      </c>
      <c r="I180" s="28" t="str">
        <f>'Copy of INCEXC B'!E180</f>
        <v>Exclude</v>
      </c>
      <c r="J180" s="28" t="b">
        <f t="shared" si="2"/>
        <v>1</v>
      </c>
      <c r="K180" s="28" t="b">
        <f t="shared" si="3"/>
        <v>0</v>
      </c>
    </row>
    <row r="181" hidden="1">
      <c r="A181" s="35" t="str">
        <f>'Copy of INCEXC A'!A181</f>
        <v>https://doi.org/10.1145/3461778.3462087</v>
      </c>
      <c r="B181" s="35" t="str">
        <f>'Copy of INCEXC B'!A181</f>
        <v>https://doi.org/10.1145/3461778.3462087</v>
      </c>
      <c r="C181" s="28" t="b">
        <f t="shared" si="1"/>
        <v>1</v>
      </c>
      <c r="E181" s="28" t="str">
        <f>'Copy of INCEXC A'!C181</f>
        <v>Analysis of Gender Stereotypes for the Design of Service Robots: Case Study on the Chinese Catering Market</v>
      </c>
      <c r="F181" s="28" t="str">
        <f>'Copy of INCEXC A'!D181</f>
        <v>Kaiser</v>
      </c>
      <c r="G181" s="28" t="str">
        <f>'Copy of INCEXC B'!D181</f>
        <v>Danni</v>
      </c>
      <c r="H181" s="28" t="str">
        <f>'Copy of INCEXC A'!E181</f>
        <v>Exclude</v>
      </c>
      <c r="I181" s="28" t="str">
        <f>'Copy of INCEXC B'!E181</f>
        <v>Exclude</v>
      </c>
      <c r="J181" s="28" t="b">
        <f t="shared" si="2"/>
        <v>1</v>
      </c>
      <c r="K181" s="28" t="b">
        <f t="shared" si="3"/>
        <v>0</v>
      </c>
    </row>
    <row r="182" hidden="1">
      <c r="A182" s="35" t="str">
        <f>'Copy of INCEXC A'!A182</f>
        <v>https://doi.org/10.1145/3491102.3517546</v>
      </c>
      <c r="B182" s="35" t="str">
        <f>'Copy of INCEXC B'!A182</f>
        <v>https://doi.org/10.1145/3491102.3517546</v>
      </c>
      <c r="C182" s="28" t="b">
        <f t="shared" si="1"/>
        <v>1</v>
      </c>
      <c r="E182" s="28" t="str">
        <f>'Copy of INCEXC A'!C182</f>
        <v>A Little Too Personal: Effects of Standardization versus Personalization on Job Acquisition</v>
      </c>
      <c r="F182" s="28" t="str">
        <f>'Copy of INCEXC A'!D182</f>
        <v>Marilyn</v>
      </c>
      <c r="G182" s="28" t="str">
        <f>'Copy of INCEXC B'!D182</f>
        <v>Ceren</v>
      </c>
      <c r="H182" s="28" t="str">
        <f>'Copy of INCEXC A'!E182</f>
        <v>Exclude</v>
      </c>
      <c r="I182" s="28" t="str">
        <f>'Copy of INCEXC B'!E182</f>
        <v/>
      </c>
      <c r="J182" s="28" t="b">
        <f t="shared" si="2"/>
        <v>0</v>
      </c>
      <c r="K182" s="28" t="b">
        <f t="shared" si="3"/>
        <v>0</v>
      </c>
    </row>
    <row r="183" hidden="1">
      <c r="A183" s="35" t="str">
        <f>'Copy of INCEXC A'!A183</f>
        <v>https://doi.org/10.1145/3492833</v>
      </c>
      <c r="B183" s="35" t="str">
        <f>'Copy of INCEXC B'!A183</f>
        <v>https://doi.org/10.1145/3492833</v>
      </c>
      <c r="C183" s="28" t="b">
        <f t="shared" si="1"/>
        <v>1</v>
      </c>
      <c r="E183" s="28" t="str">
        <f>'Copy of INCEXC A'!C183</f>
        <v>Access Under Duress: Pandemic-Era Lessons on Digital Participation and Datafication in Civic Engagement</v>
      </c>
      <c r="F183" s="28" t="str">
        <f>'Copy of INCEXC A'!D183</f>
        <v>Kaiser</v>
      </c>
      <c r="G183" s="28" t="str">
        <f>'Copy of INCEXC B'!D183</f>
        <v>Ceren</v>
      </c>
      <c r="H183" s="28" t="str">
        <f>'Copy of INCEXC A'!E183</f>
        <v>Exclude</v>
      </c>
      <c r="I183" s="28" t="str">
        <f>'Copy of INCEXC B'!E183</f>
        <v/>
      </c>
      <c r="J183" s="28" t="b">
        <f t="shared" si="2"/>
        <v>0</v>
      </c>
      <c r="K183" s="28" t="b">
        <f t="shared" si="3"/>
        <v>0</v>
      </c>
    </row>
    <row r="184" hidden="1">
      <c r="A184" s="35" t="str">
        <f>'Copy of INCEXC A'!A184</f>
        <v>https://doi.org/10.1145/3511047.3536406</v>
      </c>
      <c r="B184" s="35" t="str">
        <f>'Copy of INCEXC B'!A184</f>
        <v>https://doi.org/10.1145/3511047.3536406</v>
      </c>
      <c r="C184" s="28" t="b">
        <f t="shared" si="1"/>
        <v>1</v>
      </c>
      <c r="E184" s="28" t="str">
        <f>'Copy of INCEXC A'!C184</f>
        <v>Optimizing the User Experience in VR-based Anti-Bullying Education</v>
      </c>
      <c r="F184" s="28" t="str">
        <f>'Copy of INCEXC A'!D184</f>
        <v>Jonathan</v>
      </c>
      <c r="G184" s="28" t="str">
        <f>'Copy of INCEXC B'!D184</f>
        <v>Danni</v>
      </c>
      <c r="H184" s="28" t="str">
        <f>'Copy of INCEXC A'!E184</f>
        <v/>
      </c>
      <c r="I184" s="28" t="str">
        <f>'Copy of INCEXC B'!E184</f>
        <v>Exclude</v>
      </c>
      <c r="J184" s="28" t="b">
        <f t="shared" si="2"/>
        <v>0</v>
      </c>
      <c r="K184" s="28" t="b">
        <f t="shared" si="3"/>
        <v>0</v>
      </c>
    </row>
    <row r="185" hidden="1">
      <c r="A185" s="35" t="str">
        <f>'Copy of INCEXC A'!A185</f>
        <v>https://doi.org/10.1145/3528381</v>
      </c>
      <c r="B185" s="35" t="str">
        <f>'Copy of INCEXC B'!A185</f>
        <v>https://doi.org/10.1145/3528381</v>
      </c>
      <c r="C185" s="28" t="b">
        <f t="shared" si="1"/>
        <v>1</v>
      </c>
      <c r="E185" s="28" t="str">
        <f>'Copy of INCEXC A'!C185</f>
        <v>Government as a Brain: How Can Governments Better Understand</v>
      </c>
      <c r="F185" s="28" t="str">
        <f>'Copy of INCEXC A'!D185</f>
        <v>Marilyn</v>
      </c>
      <c r="G185" s="28" t="str">
        <f>'Copy of INCEXC B'!D185</f>
        <v>Taylor</v>
      </c>
      <c r="H185" s="28" t="str">
        <f>'Copy of INCEXC A'!E185</f>
        <v>Exclude</v>
      </c>
      <c r="I185" s="28" t="str">
        <f>'Copy of INCEXC B'!E185</f>
        <v>Exclude</v>
      </c>
      <c r="J185" s="28" t="b">
        <f t="shared" si="2"/>
        <v>1</v>
      </c>
      <c r="K185" s="28" t="b">
        <f t="shared" si="3"/>
        <v>0</v>
      </c>
    </row>
    <row r="186" hidden="1">
      <c r="A186" s="35" t="str">
        <f>'Copy of INCEXC A'!A186</f>
        <v>https://doi.org/10.1145/3538225</v>
      </c>
      <c r="B186" s="35" t="str">
        <f>'Copy of INCEXC B'!A186</f>
        <v>https://doi.org/10.1145/3538225</v>
      </c>
      <c r="C186" s="28" t="b">
        <f t="shared" si="1"/>
        <v>1</v>
      </c>
      <c r="E186" s="28" t="str">
        <f>'Copy of INCEXC A'!C186</f>
        <v>Energy-Efficient Database Systems: A Systematic Survey</v>
      </c>
      <c r="F186" s="28" t="str">
        <f>'Copy of INCEXC A'!D186</f>
        <v>Kaiser</v>
      </c>
      <c r="G186" s="28" t="str">
        <f>'Copy of INCEXC B'!D186</f>
        <v>Taylor</v>
      </c>
      <c r="H186" s="28" t="str">
        <f>'Copy of INCEXC A'!E186</f>
        <v>Exclude</v>
      </c>
      <c r="I186" s="28" t="str">
        <f>'Copy of INCEXC B'!E186</f>
        <v>Exclude</v>
      </c>
      <c r="J186" s="28" t="b">
        <f t="shared" si="2"/>
        <v>1</v>
      </c>
      <c r="K186" s="28" t="b">
        <f t="shared" si="3"/>
        <v>0</v>
      </c>
    </row>
    <row r="187" hidden="1">
      <c r="A187" s="35" t="str">
        <f>'Copy of INCEXC A'!A187</f>
        <v>https://doi.org/10.1145/3544549.3582735</v>
      </c>
      <c r="B187" s="35" t="str">
        <f>'Copy of INCEXC B'!A187</f>
        <v>https://doi.org/10.1145/3544549.3582735</v>
      </c>
      <c r="C187" s="28" t="b">
        <f t="shared" si="1"/>
        <v>1</v>
      </c>
      <c r="E187" s="28" t="str">
        <f>'Copy of INCEXC A'!C187</f>
        <v>Enough With “Human-AI Collaboration”</v>
      </c>
      <c r="F187" s="28" t="str">
        <f>'Copy of INCEXC A'!D187</f>
        <v>Jonathan</v>
      </c>
      <c r="G187" s="28" t="str">
        <f>'Copy of INCEXC B'!D187</f>
        <v>Danni</v>
      </c>
      <c r="H187" s="28" t="str">
        <f>'Copy of INCEXC A'!E187</f>
        <v/>
      </c>
      <c r="I187" s="28" t="str">
        <f>'Copy of INCEXC B'!E187</f>
        <v>Exclude</v>
      </c>
      <c r="J187" s="28" t="b">
        <f t="shared" si="2"/>
        <v>0</v>
      </c>
      <c r="K187" s="28" t="b">
        <f t="shared" si="3"/>
        <v>0</v>
      </c>
    </row>
    <row r="188" hidden="1">
      <c r="A188" s="35" t="str">
        <f>'Copy of INCEXC A'!A188</f>
        <v>https://doi.org/10.1145/3544793.3560382</v>
      </c>
      <c r="B188" s="35" t="str">
        <f>'Copy of INCEXC B'!A188</f>
        <v>https://doi.org/10.1145/3544793.3560382</v>
      </c>
      <c r="C188" s="28" t="b">
        <f t="shared" si="1"/>
        <v>1</v>
      </c>
      <c r="E188" s="28" t="str">
        <f>'Copy of INCEXC A'!C188</f>
        <v>Experience is the Best Teacher: Personalized Vocabulary Building Within the Context of Instagram Posts and Sentences from GPT-3</v>
      </c>
      <c r="F188" s="28" t="str">
        <f>'Copy of INCEXC A'!D188</f>
        <v>Kaiser</v>
      </c>
      <c r="G188" s="28" t="str">
        <f>'Copy of INCEXC B'!D188</f>
        <v>Taylor</v>
      </c>
      <c r="H188" s="28" t="str">
        <f>'Copy of INCEXC A'!E188</f>
        <v>Exclude</v>
      </c>
      <c r="I188" s="28" t="str">
        <f>'Copy of INCEXC B'!E188</f>
        <v>Exclude</v>
      </c>
      <c r="J188" s="28" t="b">
        <f t="shared" si="2"/>
        <v>1</v>
      </c>
      <c r="K188" s="28" t="b">
        <f t="shared" si="3"/>
        <v>0</v>
      </c>
    </row>
    <row r="189" hidden="1">
      <c r="A189" s="35" t="str">
        <f>'Copy of INCEXC A'!A189</f>
        <v>https://doi.org/10.1145/3555153</v>
      </c>
      <c r="B189" s="35" t="str">
        <f>'Copy of INCEXC B'!A189</f>
        <v>https://doi.org/10.1145/3555153</v>
      </c>
      <c r="C189" s="28" t="b">
        <f t="shared" si="1"/>
        <v>1</v>
      </c>
      <c r="E189" s="28" t="str">
        <f>'Copy of INCEXC A'!C189</f>
        <v>Acting Out Queer Identity: The Embodied Visibility in Social Virtual Reality</v>
      </c>
      <c r="F189" s="28" t="str">
        <f>'Copy of INCEXC A'!D189</f>
        <v>Marilyn</v>
      </c>
      <c r="G189" s="28" t="str">
        <f>'Copy of INCEXC B'!D189</f>
        <v>Taylor</v>
      </c>
      <c r="H189" s="28" t="str">
        <f>'Copy of INCEXC A'!E189</f>
        <v>Exclude</v>
      </c>
      <c r="I189" s="28" t="str">
        <f>'Copy of INCEXC B'!E189</f>
        <v>Exclude</v>
      </c>
      <c r="J189" s="28" t="b">
        <f t="shared" si="2"/>
        <v>1</v>
      </c>
      <c r="K189" s="28" t="b">
        <f t="shared" si="3"/>
        <v>0</v>
      </c>
    </row>
    <row r="190" hidden="1">
      <c r="A190" s="35" t="str">
        <f>'Copy of INCEXC A'!A190</f>
        <v>https://doi.org/10.1145/3563456</v>
      </c>
      <c r="B190" s="35" t="str">
        <f>'Copy of INCEXC B'!A190</f>
        <v>https://doi.org/10.1145/3563456</v>
      </c>
      <c r="C190" s="28" t="b">
        <f t="shared" si="1"/>
        <v>1</v>
      </c>
      <c r="E190" s="28" t="str">
        <f>'Copy of INCEXC A'!C190</f>
        <v>TH-iSSD: Design and Implementation of a Generic and Reconfigurable Near-Data Processing Framework</v>
      </c>
      <c r="F190" s="28" t="str">
        <f>'Copy of INCEXC A'!D190</f>
        <v>Marilyn</v>
      </c>
      <c r="G190" s="28" t="str">
        <f>'Copy of INCEXC B'!D190</f>
        <v>Taylor</v>
      </c>
      <c r="H190" s="28" t="str">
        <f>'Copy of INCEXC A'!E190</f>
        <v>Exclude</v>
      </c>
      <c r="I190" s="28" t="str">
        <f>'Copy of INCEXC B'!E190</f>
        <v>Exclude</v>
      </c>
      <c r="J190" s="28" t="b">
        <f t="shared" si="2"/>
        <v>1</v>
      </c>
      <c r="K190" s="28" t="b">
        <f t="shared" si="3"/>
        <v>0</v>
      </c>
    </row>
    <row r="191" hidden="1">
      <c r="A191" s="35" t="str">
        <f>'Copy of INCEXC A'!A191</f>
        <v>https://doi.org/10.1145/358027.358046</v>
      </c>
      <c r="B191" s="35" t="str">
        <f>'Copy of INCEXC B'!A191</f>
        <v>https://doi.org/10.1145/358027.358046</v>
      </c>
      <c r="C191" s="28" t="b">
        <f t="shared" si="1"/>
        <v>1</v>
      </c>
      <c r="E191" s="28" t="str">
        <f>'Copy of INCEXC A'!C191</f>
        <v>Languages: three interviews</v>
      </c>
      <c r="F191" s="28" t="str">
        <f>'Copy of INCEXC A'!D191</f>
        <v>Marilyn</v>
      </c>
      <c r="G191" s="28" t="str">
        <f>'Copy of INCEXC B'!D191</f>
        <v>Ceren</v>
      </c>
      <c r="H191" s="28" t="str">
        <f>'Copy of INCEXC A'!E191</f>
        <v>Exclude</v>
      </c>
      <c r="I191" s="28" t="str">
        <f>'Copy of INCEXC B'!E191</f>
        <v/>
      </c>
      <c r="J191" s="28" t="b">
        <f t="shared" si="2"/>
        <v>0</v>
      </c>
      <c r="K191" s="28" t="b">
        <f t="shared" si="3"/>
        <v>0</v>
      </c>
    </row>
    <row r="192" hidden="1">
      <c r="A192" s="35" t="str">
        <f>'Copy of INCEXC A'!A192</f>
        <v>https://doi.org/10.1145/3582515.3609571</v>
      </c>
      <c r="B192" s="35" t="str">
        <f>'Copy of INCEXC B'!A192</f>
        <v>https://doi.org/10.1145/3582515.3609571</v>
      </c>
      <c r="C192" s="28" t="b">
        <f t="shared" si="1"/>
        <v>1</v>
      </c>
      <c r="E192" s="28" t="str">
        <f>'Copy of INCEXC A'!C192</f>
        <v>The 8th Continent: Echoing the Unheard Sounds of Pollution</v>
      </c>
      <c r="F192" s="28" t="str">
        <f>'Copy of INCEXC A'!D192</f>
        <v>Jonathan</v>
      </c>
      <c r="G192" s="28" t="str">
        <f>'Copy of INCEXC B'!D192</f>
        <v>Ceren</v>
      </c>
      <c r="H192" s="28" t="str">
        <f>'Copy of INCEXC A'!E192</f>
        <v/>
      </c>
      <c r="I192" s="28" t="str">
        <f>'Copy of INCEXC B'!E192</f>
        <v/>
      </c>
      <c r="J192" s="28" t="b">
        <f t="shared" si="2"/>
        <v>1</v>
      </c>
      <c r="K192" s="28" t="b">
        <f t="shared" si="3"/>
        <v>0</v>
      </c>
    </row>
    <row r="193" hidden="1">
      <c r="A193" s="35" t="str">
        <f>'Copy of INCEXC A'!A193</f>
        <v>https://doi.org/10.1145/3603269.3604880</v>
      </c>
      <c r="B193" s="35" t="str">
        <f>'Copy of INCEXC B'!A193</f>
        <v>https://doi.org/10.1145/3603269.3604880</v>
      </c>
      <c r="C193" s="28" t="b">
        <f t="shared" si="1"/>
        <v>1</v>
      </c>
      <c r="E193" s="28" t="str">
        <f>'Copy of INCEXC A'!C193</f>
        <v>LEED: A Low-Power</v>
      </c>
      <c r="F193" s="28" t="str">
        <f>'Copy of INCEXC A'!D193</f>
        <v>Jonathan</v>
      </c>
      <c r="G193" s="28" t="str">
        <f>'Copy of INCEXC B'!D193</f>
        <v>Ceren</v>
      </c>
      <c r="H193" s="28" t="str">
        <f>'Copy of INCEXC A'!E193</f>
        <v/>
      </c>
      <c r="I193" s="28" t="str">
        <f>'Copy of INCEXC B'!E193</f>
        <v>Exclude</v>
      </c>
      <c r="J193" s="28" t="b">
        <f t="shared" si="2"/>
        <v>0</v>
      </c>
      <c r="K193" s="28" t="b">
        <f t="shared" si="3"/>
        <v>0</v>
      </c>
    </row>
    <row r="194" hidden="1">
      <c r="A194" s="35" t="str">
        <f>'Copy of INCEXC A'!A194</f>
        <v>https://doi.org/10.1145/3605764.3623985</v>
      </c>
      <c r="B194" s="35" t="str">
        <f>'Copy of INCEXC B'!A194</f>
        <v>https://doi.org/10.1145/3605764.3623985</v>
      </c>
      <c r="C194" s="28" t="b">
        <f t="shared" si="1"/>
        <v>1</v>
      </c>
      <c r="E194" s="28" t="str">
        <f>'Copy of INCEXC A'!C194</f>
        <v>Not What You've Signed Up For: Compromising Real-World LLM-Integrated Applications with Indirect Prompt Injection</v>
      </c>
      <c r="F194" s="28" t="str">
        <f>'Copy of INCEXC A'!D194</f>
        <v>Jonathan</v>
      </c>
      <c r="G194" s="28" t="str">
        <f>'Copy of INCEXC B'!D194</f>
        <v>Ceren</v>
      </c>
      <c r="H194" s="28" t="str">
        <f>'Copy of INCEXC A'!E194</f>
        <v/>
      </c>
      <c r="I194" s="28" t="str">
        <f>'Copy of INCEXC B'!E194</f>
        <v/>
      </c>
      <c r="J194" s="28" t="b">
        <f t="shared" si="2"/>
        <v>1</v>
      </c>
      <c r="K194" s="28" t="b">
        <f t="shared" si="3"/>
        <v>0</v>
      </c>
    </row>
    <row r="195" hidden="1">
      <c r="A195" s="35" t="str">
        <f>'Copy of INCEXC A'!A195</f>
        <v>https://doi.org/10.1145/3610027</v>
      </c>
      <c r="B195" s="35" t="str">
        <f>'Copy of INCEXC B'!A195</f>
        <v>https://doi.org/10.1145/3610027</v>
      </c>
      <c r="C195" s="28" t="b">
        <f t="shared" si="1"/>
        <v>1</v>
      </c>
      <c r="E195" s="28" t="str">
        <f>'Copy of INCEXC A'!C195</f>
        <v>Creepy Towards My Avatar Body	Creepy Towards My Body: How Women Experience and Manage Harassment Risks in Social Virtual Reality</v>
      </c>
      <c r="F195" s="28" t="str">
        <f>'Copy of INCEXC A'!D195</f>
        <v>Marilyn</v>
      </c>
      <c r="G195" s="28" t="str">
        <f>'Copy of INCEXC B'!D195</f>
        <v>Ceren</v>
      </c>
      <c r="H195" s="28" t="str">
        <f>'Copy of INCEXC A'!E195</f>
        <v>Exclude</v>
      </c>
      <c r="I195" s="28" t="str">
        <f>'Copy of INCEXC B'!E195</f>
        <v/>
      </c>
      <c r="J195" s="28" t="b">
        <f t="shared" si="2"/>
        <v>0</v>
      </c>
      <c r="K195" s="28" t="b">
        <f t="shared" si="3"/>
        <v>0</v>
      </c>
    </row>
    <row r="196" hidden="1">
      <c r="A196" s="35" t="str">
        <f>'Copy of INCEXC A'!A196</f>
        <v>https://doi.org/10.1145/3610073</v>
      </c>
      <c r="B196" s="35" t="str">
        <f>'Copy of INCEXC B'!A196</f>
        <v>https://doi.org/10.1145/3610073</v>
      </c>
      <c r="C196" s="28" t="b">
        <f t="shared" si="1"/>
        <v>1</v>
      </c>
      <c r="E196" s="28" t="str">
        <f>'Copy of INCEXC A'!C196</f>
        <v>It Takes Two to Avoid Pregnancy: Addressing Conflicting Perceptions of Birth Control Pill Responsibility in Romantic Relationships</v>
      </c>
      <c r="F196" s="28" t="str">
        <f>'Copy of INCEXC A'!D196</f>
        <v>Kaiser</v>
      </c>
      <c r="G196" s="28" t="str">
        <f>'Copy of INCEXC B'!D196</f>
        <v>Ceren</v>
      </c>
      <c r="H196" s="28" t="str">
        <f>'Copy of INCEXC A'!E196</f>
        <v>Exclude</v>
      </c>
      <c r="I196" s="28" t="str">
        <f>'Copy of INCEXC B'!E196</f>
        <v/>
      </c>
      <c r="J196" s="28" t="b">
        <f t="shared" si="2"/>
        <v>0</v>
      </c>
      <c r="K196" s="28" t="b">
        <f t="shared" si="3"/>
        <v>0</v>
      </c>
    </row>
    <row r="197" hidden="1">
      <c r="A197" s="35" t="str">
        <f>'Copy of INCEXC A'!A197</f>
        <v>https://doi.org/10.1145/3613904.3642038</v>
      </c>
      <c r="B197" s="35" t="str">
        <f>'Copy of INCEXC B'!A197</f>
        <v>https://doi.org/10.1145/3613904.3642038</v>
      </c>
      <c r="C197" s="28" t="b">
        <f t="shared" si="1"/>
        <v>1</v>
      </c>
      <c r="E197" s="28" t="str">
        <f>'Copy of INCEXC A'!C197</f>
        <v>Giving Robots a Voice: Human-in-the-Loop Voice Creation and open-ended Labeling</v>
      </c>
      <c r="F197" s="28" t="str">
        <f>'Copy of INCEXC A'!D197</f>
        <v>Jonathan</v>
      </c>
      <c r="G197" s="28" t="str">
        <f>'Copy of INCEXC B'!D197</f>
        <v>Ceren</v>
      </c>
      <c r="H197" s="28" t="str">
        <f>'Copy of INCEXC A'!E197</f>
        <v/>
      </c>
      <c r="I197" s="28" t="str">
        <f>'Copy of INCEXC B'!E197</f>
        <v/>
      </c>
      <c r="J197" s="28" t="b">
        <f t="shared" si="2"/>
        <v>1</v>
      </c>
      <c r="K197" s="28" t="b">
        <f t="shared" si="3"/>
        <v>0</v>
      </c>
    </row>
    <row r="198" hidden="1">
      <c r="A198" s="35" t="str">
        <f>'Copy of INCEXC A'!A198</f>
        <v>https://doi.org/10.1145/3613904.3642159</v>
      </c>
      <c r="B198" s="35" t="str">
        <f>'Copy of INCEXC B'!A198</f>
        <v>https://doi.org/10.1145/3613904.3642159</v>
      </c>
      <c r="C198" s="28" t="b">
        <f t="shared" si="1"/>
        <v>1</v>
      </c>
      <c r="E198" s="28" t="str">
        <f>'Copy of INCEXC A'!C198</f>
        <v>Rehearsal: Simulating Conflict to Teach Conflict Resolution</v>
      </c>
      <c r="F198" s="28" t="str">
        <f>'Copy of INCEXC A'!D198</f>
        <v>Kaiser</v>
      </c>
      <c r="G198" s="28" t="str">
        <f>'Copy of INCEXC B'!D198</f>
        <v>Ceren</v>
      </c>
      <c r="H198" s="28" t="str">
        <f>'Copy of INCEXC A'!E198</f>
        <v>Exclude</v>
      </c>
      <c r="I198" s="28" t="str">
        <f>'Copy of INCEXC B'!E198</f>
        <v>Exclude</v>
      </c>
      <c r="J198" s="28" t="b">
        <f t="shared" si="2"/>
        <v>1</v>
      </c>
      <c r="K198" s="28" t="b">
        <f t="shared" si="3"/>
        <v>0</v>
      </c>
    </row>
    <row r="199" hidden="1">
      <c r="A199" s="35" t="str">
        <f>'Copy of INCEXC A'!A199</f>
        <v>https://doi.org/10.1145/3630106.3659037</v>
      </c>
      <c r="B199" s="35" t="str">
        <f>'Copy of INCEXC B'!A199</f>
        <v>https://doi.org/10.1145/3630106.3659037</v>
      </c>
      <c r="C199" s="28" t="b">
        <f t="shared" si="1"/>
        <v>1</v>
      </c>
      <c r="E199" s="28" t="str">
        <f>'Copy of INCEXC A'!C199</f>
        <v>Black-Box Access is Insufficient for Rigorous AI Audits</v>
      </c>
      <c r="F199" s="28" t="str">
        <f>'Copy of INCEXC A'!D199</f>
        <v>Kaiser</v>
      </c>
      <c r="G199" s="28" t="str">
        <f>'Copy of INCEXC B'!D199</f>
        <v>Ceren</v>
      </c>
      <c r="H199" s="28" t="str">
        <f>'Copy of INCEXC A'!E199</f>
        <v>Exclude</v>
      </c>
      <c r="I199" s="28" t="str">
        <f>'Copy of INCEXC B'!E199</f>
        <v/>
      </c>
      <c r="J199" s="28" t="b">
        <f t="shared" si="2"/>
        <v>0</v>
      </c>
      <c r="K199" s="28" t="b">
        <f t="shared" si="3"/>
        <v>0</v>
      </c>
    </row>
    <row r="200" hidden="1">
      <c r="A200" s="35" t="str">
        <f>'Copy of INCEXC A'!A200</f>
        <v>https://doi.org/10.1145/3637528.3671481</v>
      </c>
      <c r="B200" s="35" t="str">
        <f>'Copy of INCEXC B'!A200</f>
        <v>https://doi.org/10.1145/3637528.3671481</v>
      </c>
      <c r="C200" s="28" t="b">
        <f t="shared" si="1"/>
        <v>1</v>
      </c>
      <c r="E200" s="28" t="str">
        <f>'Copy of INCEXC A'!C200</f>
        <v>KDD workshop on Evaluation and Trustworthiness of Generative AI Models</v>
      </c>
      <c r="F200" s="28" t="str">
        <f>'Copy of INCEXC A'!D200</f>
        <v>Jonathan</v>
      </c>
      <c r="G200" s="28" t="str">
        <f>'Copy of INCEXC B'!D200</f>
        <v>Danni</v>
      </c>
      <c r="H200" s="28" t="str">
        <f>'Copy of INCEXC A'!E200</f>
        <v/>
      </c>
      <c r="I200" s="28" t="str">
        <f>'Copy of INCEXC B'!E200</f>
        <v>Exclude</v>
      </c>
      <c r="J200" s="28" t="b">
        <f t="shared" si="2"/>
        <v>0</v>
      </c>
      <c r="K200" s="28" t="b">
        <f t="shared" si="3"/>
        <v>0</v>
      </c>
    </row>
    <row r="201" hidden="1">
      <c r="A201" s="35" t="str">
        <f>'Copy of INCEXC A'!A201</f>
        <v>https://doi.org/10.1145/3639372</v>
      </c>
      <c r="B201" s="35" t="str">
        <f>'Copy of INCEXC B'!A201</f>
        <v>https://doi.org/10.1145/3639372</v>
      </c>
      <c r="C201" s="28" t="b">
        <f t="shared" si="1"/>
        <v>1</v>
      </c>
      <c r="E201" s="28" t="str">
        <f>'Copy of INCEXC A'!C201</f>
        <v>Explainability for Large Language Models: A Survey</v>
      </c>
      <c r="F201" s="28" t="str">
        <f>'Copy of INCEXC A'!D201</f>
        <v>Marilyn</v>
      </c>
      <c r="G201" s="28" t="str">
        <f>'Copy of INCEXC B'!D201</f>
        <v>Ceren</v>
      </c>
      <c r="H201" s="28" t="str">
        <f>'Copy of INCEXC A'!E201</f>
        <v>Exclude</v>
      </c>
      <c r="I201" s="28" t="str">
        <f>'Copy of INCEXC B'!E201</f>
        <v>Exclude</v>
      </c>
      <c r="J201" s="28" t="b">
        <f t="shared" si="2"/>
        <v>1</v>
      </c>
      <c r="K201" s="28" t="b">
        <f t="shared" si="3"/>
        <v>0</v>
      </c>
    </row>
    <row r="202" hidden="1">
      <c r="A202" s="35" t="str">
        <f>'Copy of INCEXC A'!A202</f>
        <v>https://doi.org/10.1145/3640352</v>
      </c>
      <c r="B202" s="35" t="str">
        <f>'Copy of INCEXC B'!A202</f>
        <v>https://doi.org/10.1145/3640352</v>
      </c>
      <c r="C202" s="28" t="b">
        <f t="shared" si="1"/>
        <v>1</v>
      </c>
      <c r="E202" s="28" t="str">
        <f>'Copy of INCEXC A'!C202</f>
        <v>Thirsty Fabs</v>
      </c>
      <c r="F202" s="28" t="str">
        <f>'Copy of INCEXC A'!D202</f>
        <v>Marilyn</v>
      </c>
      <c r="G202" s="28" t="str">
        <f>'Copy of INCEXC B'!D202</f>
        <v>Taylor</v>
      </c>
      <c r="H202" s="28" t="str">
        <f>'Copy of INCEXC A'!E202</f>
        <v>Exclude</v>
      </c>
      <c r="I202" s="28" t="str">
        <f>'Copy of INCEXC B'!E202</f>
        <v>Exclude</v>
      </c>
      <c r="J202" s="28" t="b">
        <f t="shared" si="2"/>
        <v>1</v>
      </c>
      <c r="K202" s="28" t="b">
        <f t="shared" si="3"/>
        <v>0</v>
      </c>
    </row>
    <row r="203" hidden="1">
      <c r="A203" s="35" t="str">
        <f>'Copy of INCEXC A'!A203</f>
        <v>https://doi.org/10.1145/3640543.3645148</v>
      </c>
      <c r="B203" s="35" t="str">
        <f>'Copy of INCEXC B'!A203</f>
        <v>https://doi.org/10.1145/3640543.3645148</v>
      </c>
      <c r="C203" s="28" t="b">
        <f t="shared" si="1"/>
        <v>1</v>
      </c>
      <c r="E203" s="28" t="str">
        <f>'Copy of INCEXC A'!C203</f>
        <v>Understanding Users’ Dissatisfaction with ChatGPT Responses: Types</v>
      </c>
      <c r="F203" s="28" t="str">
        <f>'Copy of INCEXC A'!D203</f>
        <v>Kaiser</v>
      </c>
      <c r="G203" s="28" t="str">
        <f>'Copy of INCEXC B'!D203</f>
        <v>Danni</v>
      </c>
      <c r="H203" s="28" t="str">
        <f>'Copy of INCEXC A'!E203</f>
        <v>Exclude</v>
      </c>
      <c r="I203" s="28" t="str">
        <f>'Copy of INCEXC B'!E203</f>
        <v>Exclude</v>
      </c>
      <c r="J203" s="28" t="b">
        <f t="shared" si="2"/>
        <v>1</v>
      </c>
      <c r="K203" s="28" t="b">
        <f t="shared" si="3"/>
        <v>0</v>
      </c>
    </row>
    <row r="204" hidden="1">
      <c r="A204" s="35" t="str">
        <f>'Copy of INCEXC A'!A204</f>
        <v>https://doi.org/10.1145/3642979.3642984</v>
      </c>
      <c r="B204" s="35" t="str">
        <f>'Copy of INCEXC B'!A204</f>
        <v>https://doi.org/10.1145/3642979.3642984</v>
      </c>
      <c r="C204" s="28" t="b">
        <f t="shared" si="1"/>
        <v>1</v>
      </c>
      <c r="E204" s="28" t="str">
        <f>'Copy of INCEXC A'!C204</f>
        <v>Evaluating Parrots and Sociopathic Liars: A keynote at ICTIR 2023</v>
      </c>
      <c r="F204" s="28" t="str">
        <f>'Copy of INCEXC A'!D204</f>
        <v>Marilyn</v>
      </c>
      <c r="G204" s="28" t="str">
        <f>'Copy of INCEXC B'!D204</f>
        <v>Ceren</v>
      </c>
      <c r="H204" s="28" t="str">
        <f>'Copy of INCEXC A'!E204</f>
        <v>Exclude</v>
      </c>
      <c r="I204" s="28" t="str">
        <f>'Copy of INCEXC B'!E204</f>
        <v/>
      </c>
      <c r="J204" s="28" t="b">
        <f t="shared" si="2"/>
        <v>0</v>
      </c>
      <c r="K204" s="28" t="b">
        <f t="shared" si="3"/>
        <v>0</v>
      </c>
    </row>
    <row r="205" hidden="1">
      <c r="A205" s="35" t="str">
        <f>'Copy of INCEXC A'!A205</f>
        <v>https://doi.org/10.1145/3643834.3661525</v>
      </c>
      <c r="B205" s="35" t="str">
        <f>'Copy of INCEXC B'!A205</f>
        <v>https://doi.org/10.1145/3643834.3661525</v>
      </c>
      <c r="C205" s="28" t="b">
        <f t="shared" si="1"/>
        <v>1</v>
      </c>
      <c r="E205" s="28" t="str">
        <f>'Copy of INCEXC A'!C205</f>
        <v>Imagining a Future of Designing with AI: Dynamic Grounding</v>
      </c>
      <c r="F205" s="28" t="str">
        <f>'Copy of INCEXC A'!D205</f>
        <v>Marilyn</v>
      </c>
      <c r="G205" s="28" t="str">
        <f>'Copy of INCEXC B'!D205</f>
        <v>Danni</v>
      </c>
      <c r="H205" s="28" t="str">
        <f>'Copy of INCEXC A'!E205</f>
        <v>Exclude</v>
      </c>
      <c r="I205" s="28" t="str">
        <f>'Copy of INCEXC B'!E205</f>
        <v>Exclude</v>
      </c>
      <c r="J205" s="28" t="b">
        <f t="shared" si="2"/>
        <v>1</v>
      </c>
      <c r="K205" s="28" t="b">
        <f t="shared" si="3"/>
        <v>0</v>
      </c>
    </row>
    <row r="206" hidden="1">
      <c r="A206" s="35" t="str">
        <f>'Copy of INCEXC A'!A206</f>
        <v>https://doi.org/10.1145/3648188.3678216</v>
      </c>
      <c r="B206" s="35" t="str">
        <f>'Copy of INCEXC B'!A206</f>
        <v>https://doi.org/10.1145/3648188.3678216</v>
      </c>
      <c r="C206" s="28" t="b">
        <f t="shared" si="1"/>
        <v>1</v>
      </c>
      <c r="E206" s="28" t="str">
        <f>'Copy of INCEXC A'!C206</f>
        <v>Computer</v>
      </c>
      <c r="F206" s="28" t="str">
        <f>'Copy of INCEXC A'!D206</f>
        <v>Kaiser</v>
      </c>
      <c r="G206" s="28" t="str">
        <f>'Copy of INCEXC B'!D206</f>
        <v>Danni</v>
      </c>
      <c r="H206" s="28" t="str">
        <f>'Copy of INCEXC A'!E206</f>
        <v>Exclude</v>
      </c>
      <c r="I206" s="28" t="str">
        <f>'Copy of INCEXC B'!E206</f>
        <v>Exclude</v>
      </c>
      <c r="J206" s="28" t="b">
        <f t="shared" si="2"/>
        <v>1</v>
      </c>
      <c r="K206" s="28" t="b">
        <f t="shared" si="3"/>
        <v>0</v>
      </c>
    </row>
    <row r="207" hidden="1">
      <c r="A207" s="35" t="str">
        <f>'Copy of INCEXC A'!A207</f>
        <v>https://doi.org/10.1145/3655103.3655107</v>
      </c>
      <c r="B207" s="35" t="str">
        <f>'Copy of INCEXC B'!A207</f>
        <v>https://doi.org/10.1145/3655103.3655107</v>
      </c>
      <c r="C207" s="28" t="b">
        <f t="shared" si="1"/>
        <v>1</v>
      </c>
      <c r="E207" s="28" t="str">
        <f>'Copy of INCEXC A'!C207</f>
        <v>Storage Systems: Organization</v>
      </c>
      <c r="F207" s="28" t="str">
        <f>'Copy of INCEXC A'!D207</f>
        <v>Jonathan</v>
      </c>
      <c r="G207" s="28" t="str">
        <f>'Copy of INCEXC B'!D207</f>
        <v>Danni</v>
      </c>
      <c r="H207" s="28" t="str">
        <f>'Copy of INCEXC A'!E207</f>
        <v/>
      </c>
      <c r="I207" s="28" t="str">
        <f>'Copy of INCEXC B'!E207</f>
        <v>Exclude</v>
      </c>
      <c r="J207" s="28" t="b">
        <f t="shared" si="2"/>
        <v>0</v>
      </c>
      <c r="K207" s="28" t="b">
        <f t="shared" si="3"/>
        <v>0</v>
      </c>
    </row>
    <row r="208" hidden="1">
      <c r="A208" s="35" t="str">
        <f>'Copy of INCEXC A'!A208</f>
        <v>https://doi.org/10.1145/3657604.3662042</v>
      </c>
      <c r="B208" s="35" t="str">
        <f>'Copy of INCEXC B'!A208</f>
        <v>https://doi.org/10.1145/3657604.3662042</v>
      </c>
      <c r="C208" s="28" t="b">
        <f t="shared" si="1"/>
        <v>1</v>
      </c>
      <c r="E208" s="28" t="str">
        <f>'Copy of INCEXC A'!C208</f>
        <v>Supporting Self-Reflection at Scale with Large Language Models: Insights from Randomized Field Experiments in Classrooms</v>
      </c>
      <c r="F208" s="28" t="str">
        <f>'Copy of INCEXC A'!D208</f>
        <v>Jonathan</v>
      </c>
      <c r="G208" s="28" t="str">
        <f>'Copy of INCEXC B'!D208</f>
        <v>Ceren</v>
      </c>
      <c r="H208" s="28" t="str">
        <f>'Copy of INCEXC A'!E208</f>
        <v/>
      </c>
      <c r="I208" s="28" t="str">
        <f>'Copy of INCEXC B'!E208</f>
        <v>Exclude</v>
      </c>
      <c r="J208" s="28" t="b">
        <f t="shared" si="2"/>
        <v>0</v>
      </c>
      <c r="K208" s="28" t="b">
        <f t="shared" si="3"/>
        <v>0</v>
      </c>
    </row>
    <row r="209" hidden="1">
      <c r="A209" s="35" t="str">
        <f>'Copy of INCEXC A'!A209</f>
        <v>https://doi.org/10.1145/3658644.3691638</v>
      </c>
      <c r="B209" s="35" t="str">
        <f>'Copy of INCEXC B'!A209</f>
        <v>https://doi.org/10.1145/3658644.3691638</v>
      </c>
      <c r="C209" s="28" t="b">
        <f t="shared" si="1"/>
        <v>1</v>
      </c>
      <c r="E209" s="28" t="str">
        <f>'Copy of INCEXC A'!C209</f>
        <v>Modern problems require modern solutions: Community-Developed Techniques for Online Exam Proctoring Evasion</v>
      </c>
      <c r="F209" s="28" t="str">
        <f>'Copy of INCEXC A'!D209</f>
        <v>Marilyn</v>
      </c>
      <c r="G209" s="28" t="str">
        <f>'Copy of INCEXC B'!D209</f>
        <v>Taylor</v>
      </c>
      <c r="H209" s="28" t="str">
        <f>'Copy of INCEXC A'!E209</f>
        <v>Exclude</v>
      </c>
      <c r="I209" s="28" t="str">
        <f>'Copy of INCEXC B'!E209</f>
        <v>Exclude</v>
      </c>
      <c r="J209" s="28" t="b">
        <f t="shared" si="2"/>
        <v>1</v>
      </c>
      <c r="K209" s="28" t="b">
        <f t="shared" si="3"/>
        <v>0</v>
      </c>
    </row>
    <row r="210" hidden="1">
      <c r="A210" s="35" t="str">
        <f>'Copy of INCEXC A'!A210</f>
        <v>https://doi.org/10.1145/3660650.3660656</v>
      </c>
      <c r="B210" s="35" t="str">
        <f>'Copy of INCEXC B'!A210</f>
        <v>https://doi.org/10.1145/3660650.3660656</v>
      </c>
      <c r="C210" s="28" t="b">
        <f t="shared" si="1"/>
        <v>1</v>
      </c>
      <c r="E210" s="28" t="str">
        <f>'Copy of INCEXC A'!C210</f>
        <v>Faceless Adversary</v>
      </c>
      <c r="F210" s="28" t="str">
        <f>'Copy of INCEXC A'!D210</f>
        <v>Kaiser</v>
      </c>
      <c r="G210" s="28" t="str">
        <f>'Copy of INCEXC B'!D210</f>
        <v>Taylor</v>
      </c>
      <c r="H210" s="28" t="str">
        <f>'Copy of INCEXC A'!E210</f>
        <v>Include</v>
      </c>
      <c r="I210" s="28" t="str">
        <f>'Copy of INCEXC B'!E210</f>
        <v>Exclude</v>
      </c>
      <c r="J210" s="28" t="b">
        <f t="shared" si="2"/>
        <v>0</v>
      </c>
      <c r="K210" s="28" t="b">
        <f t="shared" si="3"/>
        <v>0</v>
      </c>
    </row>
    <row r="211" hidden="1">
      <c r="A211" s="35" t="str">
        <f>'Copy of INCEXC A'!A211</f>
        <v>https://doi.org/10.1145/3663547.3746319</v>
      </c>
      <c r="B211" s="35" t="str">
        <f>'Copy of INCEXC B'!A211</f>
        <v>https://doi.org/10.1145/3663547.3746319</v>
      </c>
      <c r="C211" s="28" t="b">
        <f t="shared" si="1"/>
        <v>1</v>
      </c>
      <c r="E211" s="28" t="str">
        <f>'Copy of INCEXC A'!C211</f>
        <v>Probing the Gaps in ChatGPT's Live Video Chat for Real-World Assistance for People who are Blind or Visually Impaired</v>
      </c>
      <c r="F211" s="28" t="str">
        <f>'Copy of INCEXC A'!D211</f>
        <v>Jonathan</v>
      </c>
      <c r="G211" s="28" t="str">
        <f>'Copy of INCEXC B'!D211</f>
        <v>Ceren</v>
      </c>
      <c r="H211" s="28" t="str">
        <f>'Copy of INCEXC A'!E211</f>
        <v/>
      </c>
      <c r="I211" s="28" t="str">
        <f>'Copy of INCEXC B'!E211</f>
        <v/>
      </c>
      <c r="J211" s="28" t="b">
        <f t="shared" si="2"/>
        <v>1</v>
      </c>
      <c r="K211" s="28" t="b">
        <f t="shared" si="3"/>
        <v>0</v>
      </c>
    </row>
    <row r="212" hidden="1">
      <c r="A212" s="35" t="str">
        <f>'Copy of INCEXC A'!A212</f>
        <v>https://doi.org/10.1145/3671016.3674821</v>
      </c>
      <c r="B212" s="35" t="str">
        <f>'Copy of INCEXC B'!A212</f>
        <v>https://doi.org/10.1145/3671016.3674821</v>
      </c>
      <c r="C212" s="28" t="b">
        <f t="shared" si="1"/>
        <v>1</v>
      </c>
      <c r="E212" s="28" t="str">
        <f>'Copy of INCEXC A'!C212</f>
        <v>An Exploratory Evaluation of Large Language Models Using Empirical Software Engineering Tasks</v>
      </c>
      <c r="F212" s="28" t="str">
        <f>'Copy of INCEXC A'!D212</f>
        <v>Marilyn</v>
      </c>
      <c r="G212" s="28" t="str">
        <f>'Copy of INCEXC B'!D212</f>
        <v>Danni</v>
      </c>
      <c r="H212" s="28" t="str">
        <f>'Copy of INCEXC A'!E212</f>
        <v>Exclude</v>
      </c>
      <c r="I212" s="28" t="str">
        <f>'Copy of INCEXC B'!E212</f>
        <v>Exclude</v>
      </c>
      <c r="J212" s="28" t="b">
        <f t="shared" si="2"/>
        <v>1</v>
      </c>
      <c r="K212" s="28" t="b">
        <f t="shared" si="3"/>
        <v>0</v>
      </c>
    </row>
    <row r="213" hidden="1">
      <c r="A213" s="35" t="str">
        <f>'Copy of INCEXC A'!A213</f>
        <v>https://doi.org/10.1145/3676536.3698390</v>
      </c>
      <c r="B213" s="35" t="str">
        <f>'Copy of INCEXC B'!A213</f>
        <v>https://doi.org/10.1145/3676536.3698390</v>
      </c>
      <c r="C213" s="28" t="b">
        <f t="shared" si="1"/>
        <v>1</v>
      </c>
      <c r="E213" s="28" t="str">
        <f>'Copy of INCEXC A'!C213</f>
        <v>Generative AI Agents in Autonomous Machines: A Safety Perspective</v>
      </c>
      <c r="F213" s="28" t="str">
        <f>'Copy of INCEXC A'!D213</f>
        <v>Kaiser</v>
      </c>
      <c r="G213" s="28" t="str">
        <f>'Copy of INCEXC B'!D213</f>
        <v>Taylor</v>
      </c>
      <c r="H213" s="28" t="str">
        <f>'Copy of INCEXC A'!E213</f>
        <v>Exclude</v>
      </c>
      <c r="I213" s="28" t="str">
        <f>'Copy of INCEXC B'!E213</f>
        <v>Exclude</v>
      </c>
      <c r="J213" s="28" t="b">
        <f t="shared" si="2"/>
        <v>1</v>
      </c>
      <c r="K213" s="28" t="b">
        <f t="shared" si="3"/>
        <v>0</v>
      </c>
    </row>
    <row r="214" hidden="1">
      <c r="A214" s="35" t="str">
        <f>'Copy of INCEXC A'!A214</f>
        <v>https://doi.org/10.1145/3698896.3722209</v>
      </c>
      <c r="B214" s="35" t="str">
        <f>'Copy of INCEXC B'!A214</f>
        <v>https://doi.org/10.1145/3698896.3722209</v>
      </c>
      <c r="C214" s="28" t="b">
        <f t="shared" si="1"/>
        <v>1</v>
      </c>
      <c r="E214" s="28" t="str">
        <f>'Copy of INCEXC A'!C214</f>
        <v>Animation Theater In Conversation: Inkwo for When the Starving Return</v>
      </c>
      <c r="F214" s="28" t="str">
        <f>'Copy of INCEXC A'!D214</f>
        <v>Marilyn</v>
      </c>
      <c r="G214" s="28" t="str">
        <f>'Copy of INCEXC B'!D214</f>
        <v>Taylor</v>
      </c>
      <c r="H214" s="28" t="str">
        <f>'Copy of INCEXC A'!E214</f>
        <v>Exclude</v>
      </c>
      <c r="I214" s="28" t="str">
        <f>'Copy of INCEXC B'!E214</f>
        <v>Exclude</v>
      </c>
      <c r="J214" s="28" t="b">
        <f t="shared" si="2"/>
        <v>1</v>
      </c>
      <c r="K214" s="28" t="b">
        <f t="shared" si="3"/>
        <v>0</v>
      </c>
    </row>
    <row r="215" hidden="1">
      <c r="A215" s="35" t="str">
        <f>'Copy of INCEXC A'!A215</f>
        <v>https://doi.org/10.1145/3700035.3700036</v>
      </c>
      <c r="B215" s="35" t="str">
        <f>'Copy of INCEXC B'!A215</f>
        <v>https://doi.org/10.1145/3700035.3700036</v>
      </c>
      <c r="C215" s="28" t="b">
        <f t="shared" si="1"/>
        <v>1</v>
      </c>
      <c r="E215" s="28" t="str">
        <f>'Copy of INCEXC A'!C215</f>
        <v>Design and Implementation of Virtual Reality Emotion Induction System</v>
      </c>
      <c r="F215" s="28" t="str">
        <f>'Copy of INCEXC A'!D215</f>
        <v>Marilyn</v>
      </c>
      <c r="G215" s="28" t="str">
        <f>'Copy of INCEXC B'!D215</f>
        <v>Danni</v>
      </c>
      <c r="H215" s="28" t="str">
        <f>'Copy of INCEXC A'!E215</f>
        <v>Exclude</v>
      </c>
      <c r="I215" s="28" t="str">
        <f>'Copy of INCEXC B'!E215</f>
        <v>Exclude</v>
      </c>
      <c r="J215" s="28" t="b">
        <f t="shared" si="2"/>
        <v>1</v>
      </c>
      <c r="K215" s="28" t="b">
        <f t="shared" si="3"/>
        <v>0</v>
      </c>
    </row>
    <row r="216" hidden="1">
      <c r="A216" s="35" t="str">
        <f>'Copy of INCEXC A'!A216</f>
        <v>https://doi.org/10.1145/3701188</v>
      </c>
      <c r="B216" s="35" t="str">
        <f>'Copy of INCEXC B'!A216</f>
        <v>https://doi.org/10.1145/3701188</v>
      </c>
      <c r="C216" s="28" t="b">
        <f t="shared" si="1"/>
        <v>1</v>
      </c>
      <c r="E216" s="28" t="str">
        <f>'Copy of INCEXC A'!C216</f>
        <v>Conversate: Supporting Reflective Learning in Interview Practice Through Interactive Simulation and Dialogic Feedback</v>
      </c>
      <c r="F216" s="28" t="str">
        <f>'Copy of INCEXC A'!D216</f>
        <v>Marilyn</v>
      </c>
      <c r="G216" s="28" t="str">
        <f>'Copy of INCEXC B'!D216</f>
        <v>Taylor</v>
      </c>
      <c r="H216" s="28" t="str">
        <f>'Copy of INCEXC A'!E216</f>
        <v>Exclude</v>
      </c>
      <c r="I216" s="28" t="str">
        <f>'Copy of INCEXC B'!E216</f>
        <v>Exclude</v>
      </c>
      <c r="J216" s="28" t="b">
        <f t="shared" si="2"/>
        <v>1</v>
      </c>
      <c r="K216" s="28" t="b">
        <f t="shared" si="3"/>
        <v>0</v>
      </c>
    </row>
    <row r="217">
      <c r="A217" s="35" t="str">
        <f>'Copy of INCEXC A'!A217</f>
        <v>https://doi.org/10.1145/3703155</v>
      </c>
      <c r="B217" s="35" t="str">
        <f>'Copy of INCEXC B'!A217</f>
        <v>https://doi.org/10.1145/3703155</v>
      </c>
      <c r="C217" s="28" t="b">
        <f t="shared" si="1"/>
        <v>1</v>
      </c>
      <c r="D217" s="28" t="str">
        <f>'INCEXC A'!B210</f>
        <v>10.1145/3660650.3660656</v>
      </c>
      <c r="E217" s="28" t="str">
        <f>'Copy of INCEXC A'!C217</f>
        <v>A Survey on Hallucination in Large Language Models: Principles</v>
      </c>
      <c r="F217" s="28" t="str">
        <f>'Copy of INCEXC A'!D217</f>
        <v>Kaiser</v>
      </c>
      <c r="G217" s="28" t="str">
        <f>'Copy of INCEXC B'!D217</f>
        <v>Taylor</v>
      </c>
      <c r="H217" s="28" t="str">
        <f>'Copy of INCEXC A'!E217</f>
        <v>Include</v>
      </c>
      <c r="I217" s="28" t="str">
        <f>'Copy of INCEXC B'!E217</f>
        <v>Include</v>
      </c>
      <c r="J217" s="28" t="b">
        <f t="shared" si="2"/>
        <v>1</v>
      </c>
      <c r="K217" s="28" t="b">
        <f t="shared" si="3"/>
        <v>1</v>
      </c>
    </row>
    <row r="218" hidden="1">
      <c r="A218" s="35" t="str">
        <f>'Copy of INCEXC A'!A218</f>
        <v>https://doi.org/10.1145/3703454</v>
      </c>
      <c r="B218" s="35" t="str">
        <f>'Copy of INCEXC B'!A218</f>
        <v>https://doi.org/10.1145/3703454</v>
      </c>
      <c r="C218" s="28" t="b">
        <f t="shared" si="1"/>
        <v>1</v>
      </c>
      <c r="E218" s="28" t="str">
        <f>'Copy of INCEXC A'!C218</f>
        <v>Open-Ethical AI: Advancements in Open-Source Human-Centric Neural Language Models</v>
      </c>
      <c r="F218" s="28" t="str">
        <f>'Copy of INCEXC A'!D218</f>
        <v>Jonathan</v>
      </c>
      <c r="G218" s="28" t="str">
        <f>'Copy of INCEXC B'!D218</f>
        <v>Taylor</v>
      </c>
      <c r="H218" s="28" t="str">
        <f>'Copy of INCEXC A'!E218</f>
        <v/>
      </c>
      <c r="I218" s="28" t="str">
        <f>'Copy of INCEXC B'!E218</f>
        <v>Include</v>
      </c>
      <c r="J218" s="28" t="b">
        <f t="shared" si="2"/>
        <v>0</v>
      </c>
      <c r="K218" s="28" t="b">
        <f t="shared" si="3"/>
        <v>0</v>
      </c>
    </row>
    <row r="219" hidden="1">
      <c r="A219" s="35" t="str">
        <f>'Copy of INCEXC A'!A219</f>
        <v>https://doi.org/10.1145/3705294</v>
      </c>
      <c r="B219" s="35" t="str">
        <f>'Copy of INCEXC B'!A219</f>
        <v>https://doi.org/10.1145/3705294</v>
      </c>
      <c r="C219" s="28" t="b">
        <f t="shared" si="1"/>
        <v>1</v>
      </c>
      <c r="E219" s="28" t="str">
        <f>'Copy of INCEXC A'!C219</f>
        <v>The AI Alignment Paradox</v>
      </c>
      <c r="F219" s="28" t="str">
        <f>'Copy of INCEXC A'!D219</f>
        <v>Jonathan</v>
      </c>
      <c r="G219" s="28" t="str">
        <f>'Copy of INCEXC B'!D219</f>
        <v>Ceren</v>
      </c>
      <c r="H219" s="28" t="str">
        <f>'Copy of INCEXC A'!E219</f>
        <v/>
      </c>
      <c r="I219" s="28" t="str">
        <f>'Copy of INCEXC B'!E219</f>
        <v/>
      </c>
      <c r="J219" s="28" t="b">
        <f t="shared" si="2"/>
        <v>1</v>
      </c>
      <c r="K219" s="28" t="b">
        <f t="shared" si="3"/>
        <v>0</v>
      </c>
    </row>
    <row r="220" hidden="1">
      <c r="A220" s="35" t="str">
        <f>'Copy of INCEXC A'!A220</f>
        <v>https://doi.org/10.1145/3706468.3706564</v>
      </c>
      <c r="B220" s="35" t="str">
        <f>'Copy of INCEXC B'!A220</f>
        <v>https://doi.org/10.1145/3706468.3706564</v>
      </c>
      <c r="C220" s="28" t="b">
        <f t="shared" si="1"/>
        <v>1</v>
      </c>
      <c r="E220" s="28" t="str">
        <f>'Copy of INCEXC A'!C220</f>
        <v>When the Prompt becomes the Codebook: Grounded Prompt Engineering (GROPROE) and its application to Belonging Analytics</v>
      </c>
      <c r="F220" s="28" t="str">
        <f>'Copy of INCEXC A'!D220</f>
        <v>Marilyn</v>
      </c>
      <c r="G220" s="28" t="str">
        <f>'Copy of INCEXC B'!D220</f>
        <v>Taylor</v>
      </c>
      <c r="H220" s="28" t="str">
        <f>'Copy of INCEXC A'!E220</f>
        <v>Exclude</v>
      </c>
      <c r="I220" s="28" t="str">
        <f>'Copy of INCEXC B'!E220</f>
        <v>Exclude</v>
      </c>
      <c r="J220" s="28" t="b">
        <f t="shared" si="2"/>
        <v>1</v>
      </c>
      <c r="K220" s="28" t="b">
        <f t="shared" si="3"/>
        <v>0</v>
      </c>
    </row>
    <row r="221" hidden="1">
      <c r="A221" s="35" t="str">
        <f>'Copy of INCEXC A'!A221</f>
        <v>https://doi.org/10.1145/3706598.3713220</v>
      </c>
      <c r="B221" s="35" t="str">
        <f>'Copy of INCEXC B'!A221</f>
        <v>https://doi.org/10.1145/3706598.3713220</v>
      </c>
      <c r="C221" s="28" t="b">
        <f t="shared" si="1"/>
        <v>1</v>
      </c>
      <c r="E221" s="28" t="str">
        <f>'Copy of INCEXC A'!C221</f>
        <v>Simulacrum of Stories: Examining Large Language Models as Qualitative Research Participants</v>
      </c>
      <c r="F221" s="28" t="str">
        <f>'Copy of INCEXC A'!D221</f>
        <v>Kaiser</v>
      </c>
      <c r="G221" s="28" t="str">
        <f>'Copy of INCEXC B'!D221</f>
        <v>Taylor</v>
      </c>
      <c r="H221" s="28" t="str">
        <f>'Copy of INCEXC A'!E221</f>
        <v>Exclude</v>
      </c>
      <c r="I221" s="28" t="str">
        <f>'Copy of INCEXC B'!E221</f>
        <v>Include</v>
      </c>
      <c r="J221" s="28" t="b">
        <f t="shared" si="2"/>
        <v>0</v>
      </c>
      <c r="K221" s="28" t="b">
        <f t="shared" si="3"/>
        <v>0</v>
      </c>
    </row>
    <row r="222" hidden="1">
      <c r="A222" s="35" t="str">
        <f>'Copy of INCEXC A'!A222</f>
        <v>https://doi.org/10.1145/3706598.3713406</v>
      </c>
      <c r="B222" s="35" t="str">
        <f>'Copy of INCEXC B'!A222</f>
        <v>https://doi.org/10.1145/3706598.3713406</v>
      </c>
      <c r="C222" s="28" t="b">
        <f t="shared" si="1"/>
        <v>1</v>
      </c>
      <c r="E222" s="28" t="str">
        <f>'Copy of INCEXC A'!C222</f>
        <v>Abstraction Alignment: Comparing Model-Learned and Human-Encoded Conceptual Relationships</v>
      </c>
      <c r="F222" s="28" t="str">
        <f>'Copy of INCEXC A'!D222</f>
        <v>Kaiser</v>
      </c>
      <c r="G222" s="28" t="str">
        <f>'Copy of INCEXC B'!D222</f>
        <v>Taylor</v>
      </c>
      <c r="H222" s="28" t="str">
        <f>'Copy of INCEXC A'!E222</f>
        <v>Include</v>
      </c>
      <c r="I222" s="28" t="str">
        <f>'Copy of INCEXC B'!E222</f>
        <v>Exclude</v>
      </c>
      <c r="J222" s="28" t="b">
        <f t="shared" si="2"/>
        <v>0</v>
      </c>
      <c r="K222" s="28" t="b">
        <f t="shared" si="3"/>
        <v>0</v>
      </c>
    </row>
    <row r="223" hidden="1">
      <c r="A223" s="35" t="str">
        <f>'Copy of INCEXC A'!A223</f>
        <v>https://doi.org/10.1145/3706598.3713408</v>
      </c>
      <c r="B223" s="35" t="str">
        <f>'Copy of INCEXC B'!A223</f>
        <v>https://doi.org/10.1145/3706598.3713408</v>
      </c>
      <c r="C223" s="28" t="b">
        <f t="shared" si="1"/>
        <v>1</v>
      </c>
      <c r="E223" s="28" t="str">
        <f>'Copy of INCEXC A'!C223</f>
        <v>Deceptive Explanations by Large Language Models Lead People to Change their Beliefs About Misinformation More Often than Honest Explanations</v>
      </c>
      <c r="F223" s="28" t="str">
        <f>'Copy of INCEXC A'!D223</f>
        <v>Marilyn</v>
      </c>
      <c r="G223" s="28" t="str">
        <f>'Copy of INCEXC B'!D223</f>
        <v>Danni</v>
      </c>
      <c r="H223" s="28" t="str">
        <f>'Copy of INCEXC A'!E223</f>
        <v>Exclude</v>
      </c>
      <c r="I223" s="28" t="str">
        <f>'Copy of INCEXC B'!E223</f>
        <v>Exclude</v>
      </c>
      <c r="J223" s="28" t="b">
        <f t="shared" si="2"/>
        <v>1</v>
      </c>
      <c r="K223" s="28" t="b">
        <f t="shared" si="3"/>
        <v>0</v>
      </c>
    </row>
    <row r="224" hidden="1">
      <c r="A224" s="35" t="str">
        <f>'Copy of INCEXC A'!A224</f>
        <v>https://doi.org/10.1145/3706598.3713675</v>
      </c>
      <c r="B224" s="35" t="str">
        <f>'Copy of INCEXC B'!A224</f>
        <v>https://doi.org/10.1145/3706598.3713675</v>
      </c>
      <c r="C224" s="28" t="b">
        <f t="shared" si="1"/>
        <v>1</v>
      </c>
      <c r="E224" s="28" t="str">
        <f>'Copy of INCEXC A'!C224</f>
        <v>Plurals: A System for Guiding LLMs via Simulated Social Ensembles</v>
      </c>
      <c r="F224" s="28" t="str">
        <f>'Copy of INCEXC A'!D224</f>
        <v>Jonathan</v>
      </c>
      <c r="G224" s="28" t="str">
        <f>'Copy of INCEXC B'!D224</f>
        <v>Taylor</v>
      </c>
      <c r="H224" s="28" t="str">
        <f>'Copy of INCEXC A'!E224</f>
        <v/>
      </c>
      <c r="I224" s="28" t="str">
        <f>'Copy of INCEXC B'!E224</f>
        <v>Exclude</v>
      </c>
      <c r="J224" s="28" t="b">
        <f t="shared" si="2"/>
        <v>0</v>
      </c>
      <c r="K224" s="28" t="b">
        <f t="shared" si="3"/>
        <v>0</v>
      </c>
    </row>
    <row r="225" hidden="1">
      <c r="A225" s="35" t="str">
        <f>'Copy of INCEXC A'!A225</f>
        <v>https://doi.org/10.1145/3706599.3719976</v>
      </c>
      <c r="B225" s="35" t="str">
        <f>'Copy of INCEXC B'!A225</f>
        <v>https://doi.org/10.1145/3706599.3719976</v>
      </c>
      <c r="C225" s="28" t="b">
        <f t="shared" si="1"/>
        <v>1</v>
      </c>
      <c r="E225" s="28" t="str">
        <f>'Copy of INCEXC A'!C225</f>
        <v>Exploring Older Adults Personality Preferences for LLM-powered Conversational Companions</v>
      </c>
      <c r="F225" s="28" t="str">
        <f>'Copy of INCEXC A'!D225</f>
        <v>Marilyn</v>
      </c>
      <c r="G225" s="28" t="str">
        <f>'Copy of INCEXC B'!D225</f>
        <v>Taylor</v>
      </c>
      <c r="H225" s="28" t="str">
        <f>'Copy of INCEXC A'!E225</f>
        <v>Exclude</v>
      </c>
      <c r="I225" s="28" t="str">
        <f>'Copy of INCEXC B'!E225</f>
        <v>Include</v>
      </c>
      <c r="J225" s="28" t="b">
        <f t="shared" si="2"/>
        <v>0</v>
      </c>
      <c r="K225" s="28" t="b">
        <f t="shared" si="3"/>
        <v>0</v>
      </c>
    </row>
    <row r="226" hidden="1">
      <c r="A226" s="35" t="str">
        <f>'Copy of INCEXC A'!A226</f>
        <v>https://doi.org/10.1145/3708359.3712104</v>
      </c>
      <c r="B226" s="35" t="str">
        <f>'Copy of INCEXC B'!A226</f>
        <v>https://doi.org/10.1145/3708359.3712104</v>
      </c>
      <c r="C226" s="28" t="b">
        <f t="shared" si="1"/>
        <v>1</v>
      </c>
      <c r="E226" s="28" t="str">
        <f>'Copy of INCEXC A'!C226</f>
        <v>Exploring the Design Space of Cognitive Engagement Techniques with AI-Generated Code for Enhanced Learning</v>
      </c>
      <c r="F226" s="28" t="str">
        <f>'Copy of INCEXC A'!D226</f>
        <v>Jonathan</v>
      </c>
      <c r="G226" s="28" t="str">
        <f>'Copy of INCEXC B'!D226</f>
        <v>Ceren</v>
      </c>
      <c r="H226" s="28" t="str">
        <f>'Copy of INCEXC A'!E226</f>
        <v/>
      </c>
      <c r="I226" s="28" t="str">
        <f>'Copy of INCEXC B'!E226</f>
        <v/>
      </c>
      <c r="J226" s="28" t="b">
        <f t="shared" si="2"/>
        <v>1</v>
      </c>
      <c r="K226" s="28" t="b">
        <f t="shared" si="3"/>
        <v>0</v>
      </c>
    </row>
    <row r="227" hidden="1">
      <c r="A227" s="35" t="str">
        <f>'Copy of INCEXC A'!A227</f>
        <v>https://doi.org/10.1145/3708359.3712145</v>
      </c>
      <c r="B227" s="35" t="str">
        <f>'Copy of INCEXC B'!A227</f>
        <v>https://doi.org/10.1145/3708359.3712145</v>
      </c>
      <c r="C227" s="28" t="b">
        <f t="shared" si="1"/>
        <v>1</v>
      </c>
      <c r="E227" s="28" t="str">
        <f>'Copy of INCEXC A'!C227</f>
        <v>Enhancing Visitor Engagement in Interactive Art Exhibitions with Visual-Enhanced Conversational Agents</v>
      </c>
      <c r="F227" s="28" t="str">
        <f>'Copy of INCEXC A'!D227</f>
        <v>Kaiser</v>
      </c>
      <c r="G227" s="28" t="str">
        <f>'Copy of INCEXC B'!D227</f>
        <v>Taylor</v>
      </c>
      <c r="H227" s="28" t="str">
        <f>'Copy of INCEXC A'!E227</f>
        <v>Exclude</v>
      </c>
      <c r="I227" s="28" t="str">
        <f>'Copy of INCEXC B'!E227</f>
        <v>Exclude</v>
      </c>
      <c r="J227" s="28" t="b">
        <f t="shared" si="2"/>
        <v>1</v>
      </c>
      <c r="K227" s="28" t="b">
        <f t="shared" si="3"/>
        <v>0</v>
      </c>
    </row>
    <row r="228" hidden="1">
      <c r="A228" s="35" t="str">
        <f>'Copy of INCEXC A'!A228</f>
        <v>https://doi.org/10.1145/3711896.3736563</v>
      </c>
      <c r="B228" s="35" t="str">
        <f>'Copy of INCEXC B'!A228</f>
        <v>https://doi.org/10.1145/3711896.3736563</v>
      </c>
      <c r="C228" s="28" t="b">
        <f t="shared" si="1"/>
        <v>1</v>
      </c>
      <c r="E228" s="28" t="str">
        <f>'Copy of INCEXC A'!C228</f>
        <v>A Survey on Small Language Models in the Era of Large Language Models: Architecture</v>
      </c>
      <c r="F228" s="28" t="str">
        <f>'Copy of INCEXC A'!D228</f>
        <v>Kaiser</v>
      </c>
      <c r="G228" s="28" t="str">
        <f>'Copy of INCEXC B'!D228</f>
        <v>Danni</v>
      </c>
      <c r="H228" s="28" t="str">
        <f>'Copy of INCEXC A'!E228</f>
        <v>Exclude</v>
      </c>
      <c r="I228" s="28" t="str">
        <f>'Copy of INCEXC B'!E228</f>
        <v>Exclude</v>
      </c>
      <c r="J228" s="28" t="b">
        <f t="shared" si="2"/>
        <v>1</v>
      </c>
      <c r="K228" s="28" t="b">
        <f t="shared" si="3"/>
        <v>0</v>
      </c>
    </row>
    <row r="229" hidden="1">
      <c r="A229" s="35" t="str">
        <f>'Copy of INCEXC A'!A229</f>
        <v>https://doi.org/10.1145/3714394.3756275</v>
      </c>
      <c r="B229" s="35" t="str">
        <f>'Copy of INCEXC B'!A229</f>
        <v>https://doi.org/10.1145/3714394.3756275</v>
      </c>
      <c r="C229" s="28" t="b">
        <f t="shared" si="1"/>
        <v>1</v>
      </c>
      <c r="E229" s="28" t="str">
        <f>'Copy of INCEXC A'!C229</f>
        <v>Evaluating Large Language Models in Traditional Chinese Medicine with Enhanced Misinformation Detection</v>
      </c>
      <c r="F229" s="28" t="str">
        <f>'Copy of INCEXC A'!D229</f>
        <v>Marilyn</v>
      </c>
      <c r="G229" s="28" t="str">
        <f>'Copy of INCEXC B'!D229</f>
        <v>Taylor</v>
      </c>
      <c r="H229" s="28" t="str">
        <f>'Copy of INCEXC A'!E229</f>
        <v>Exclude</v>
      </c>
      <c r="I229" s="28" t="str">
        <f>'Copy of INCEXC B'!E229</f>
        <v>Exclude</v>
      </c>
      <c r="J229" s="28" t="b">
        <f t="shared" si="2"/>
        <v>1</v>
      </c>
      <c r="K229" s="28" t="b">
        <f t="shared" si="3"/>
        <v>0</v>
      </c>
    </row>
    <row r="230" hidden="1">
      <c r="A230" s="35" t="str">
        <f>'Copy of INCEXC A'!A230</f>
        <v>https://doi.org/10.1145/3715070.3749272</v>
      </c>
      <c r="B230" s="35" t="str">
        <f>'Copy of INCEXC B'!A230</f>
        <v>https://doi.org/10.1145/3715070.3749272</v>
      </c>
      <c r="C230" s="28" t="b">
        <f t="shared" si="1"/>
        <v>1</v>
      </c>
      <c r="E230" s="28" t="str">
        <f>'Copy of INCEXC A'!C230</f>
        <v>Was there Bias in your Response?: LLM Anthropomorphic Traits in Context of Ability Bias Questioning</v>
      </c>
      <c r="F230" s="28" t="str">
        <f>'Copy of INCEXC A'!D230</f>
        <v>Jonathan</v>
      </c>
      <c r="G230" s="28" t="str">
        <f>'Copy of INCEXC B'!D230</f>
        <v>Taylor</v>
      </c>
      <c r="H230" s="28" t="str">
        <f>'Copy of INCEXC A'!E230</f>
        <v/>
      </c>
      <c r="I230" s="28" t="str">
        <f>'Copy of INCEXC B'!E230</f>
        <v>Include</v>
      </c>
      <c r="J230" s="28" t="b">
        <f t="shared" si="2"/>
        <v>0</v>
      </c>
      <c r="K230" s="28" t="b">
        <f t="shared" si="3"/>
        <v>0</v>
      </c>
    </row>
    <row r="231" hidden="1">
      <c r="A231" s="35" t="str">
        <f>'Copy of INCEXC A'!A231</f>
        <v>https://doi.org/10.1145/3715073.3715075</v>
      </c>
      <c r="B231" s="35" t="str">
        <f>'Copy of INCEXC B'!A231</f>
        <v>https://doi.org/10.1145/3715073.3715075</v>
      </c>
      <c r="C231" s="28" t="b">
        <f t="shared" si="1"/>
        <v>1</v>
      </c>
      <c r="E231" s="28" t="str">
        <f>'Copy of INCEXC A'!C231</f>
        <v>Blockchain for Large Language Model Security and Safety: A Holistic Survey</v>
      </c>
      <c r="F231" s="28" t="str">
        <f>'Copy of INCEXC A'!D231</f>
        <v>Jonathan</v>
      </c>
      <c r="G231" s="28" t="str">
        <f>'Copy of INCEXC B'!D231</f>
        <v>Taylor</v>
      </c>
      <c r="H231" s="28" t="str">
        <f>'Copy of INCEXC A'!E231</f>
        <v/>
      </c>
      <c r="I231" s="28" t="str">
        <f>'Copy of INCEXC B'!E231</f>
        <v>Exclude</v>
      </c>
      <c r="J231" s="28" t="b">
        <f t="shared" si="2"/>
        <v>0</v>
      </c>
      <c r="K231" s="28" t="b">
        <f t="shared" si="3"/>
        <v>0</v>
      </c>
    </row>
    <row r="232" hidden="1">
      <c r="A232" s="35" t="str">
        <f>'Copy of INCEXC A'!A232</f>
        <v>https://doi.org/10.1145/3715275.3732038</v>
      </c>
      <c r="B232" s="35" t="str">
        <f>'Copy of INCEXC B'!A232</f>
        <v>https://doi.org/10.1145/3715275.3732038</v>
      </c>
      <c r="C232" s="28" t="b">
        <f t="shared" si="1"/>
        <v>1</v>
      </c>
      <c r="E232" s="28" t="str">
        <f>'Copy of INCEXC A'!C232</f>
        <v>Position is Power: System Prompts as a Mechanism of Bias in Large Language Models (LLMs)</v>
      </c>
      <c r="F232" s="28" t="str">
        <f>'Copy of INCEXC A'!D232</f>
        <v>Jonathan</v>
      </c>
      <c r="G232" s="28" t="str">
        <f>'Copy of INCEXC B'!D232</f>
        <v>Ceren</v>
      </c>
      <c r="H232" s="28" t="str">
        <f>'Copy of INCEXC A'!E232</f>
        <v/>
      </c>
      <c r="I232" s="28" t="str">
        <f>'Copy of INCEXC B'!E232</f>
        <v/>
      </c>
      <c r="J232" s="28" t="b">
        <f t="shared" si="2"/>
        <v>1</v>
      </c>
      <c r="K232" s="28" t="b">
        <f t="shared" si="3"/>
        <v>0</v>
      </c>
    </row>
    <row r="233" hidden="1">
      <c r="A233" s="35" t="str">
        <f>'Copy of INCEXC A'!A233</f>
        <v>https://doi.org/10.1145/3715275.3732039</v>
      </c>
      <c r="B233" s="35" t="str">
        <f>'Copy of INCEXC B'!A233</f>
        <v>https://doi.org/10.1145/3715275.3732039</v>
      </c>
      <c r="C233" s="28" t="b">
        <f t="shared" si="1"/>
        <v>1</v>
      </c>
      <c r="E233" s="28" t="str">
        <f>'Copy of INCEXC A'!C233</f>
        <v>Expressing stigma and inappropriate responses prevents LLMs from safely replacing mental health providers.</v>
      </c>
      <c r="F233" s="28" t="str">
        <f>'Copy of INCEXC A'!D233</f>
        <v>Jonathan</v>
      </c>
      <c r="G233" s="28" t="str">
        <f>'Copy of INCEXC B'!D233</f>
        <v>Taylor</v>
      </c>
      <c r="H233" s="28" t="str">
        <f>'Copy of INCEXC A'!E233</f>
        <v/>
      </c>
      <c r="I233" s="28" t="str">
        <f>'Copy of INCEXC B'!E233</f>
        <v>Include</v>
      </c>
      <c r="J233" s="28" t="b">
        <f t="shared" si="2"/>
        <v>0</v>
      </c>
      <c r="K233" s="28" t="b">
        <f t="shared" si="3"/>
        <v>0</v>
      </c>
    </row>
    <row r="234" hidden="1">
      <c r="A234" s="35" t="str">
        <f>'Copy of INCEXC A'!A234</f>
        <v>https://doi.org/10.1145/3715275.3732063</v>
      </c>
      <c r="B234" s="35" t="str">
        <f>'Copy of INCEXC B'!A234</f>
        <v>https://doi.org/10.1145/3715275.3732063</v>
      </c>
      <c r="C234" s="28" t="b">
        <f t="shared" si="1"/>
        <v>1</v>
      </c>
      <c r="E234" s="28" t="str">
        <f>'Copy of INCEXC A'!C234</f>
        <v>From Lived Experience to Insight: Unpacking the Psychological Risks of Using AI Conversational Agents</v>
      </c>
      <c r="F234" s="28" t="str">
        <f>'Copy of INCEXC A'!D234</f>
        <v>Jonathan</v>
      </c>
      <c r="G234" s="28" t="str">
        <f>'Copy of INCEXC B'!D234</f>
        <v>Taylor</v>
      </c>
      <c r="H234" s="28" t="str">
        <f>'Copy of INCEXC A'!E234</f>
        <v/>
      </c>
      <c r="I234" s="28" t="str">
        <f>'Copy of INCEXC B'!E234</f>
        <v>Include</v>
      </c>
      <c r="J234" s="28" t="b">
        <f t="shared" si="2"/>
        <v>0</v>
      </c>
      <c r="K234" s="28" t="b">
        <f t="shared" si="3"/>
        <v>0</v>
      </c>
    </row>
    <row r="235" hidden="1">
      <c r="A235" s="35" t="str">
        <f>'Copy of INCEXC A'!A235</f>
        <v>https://doi.org/10.1145/3715275.3732094</v>
      </c>
      <c r="B235" s="35" t="str">
        <f>'Copy of INCEXC B'!A235</f>
        <v>https://doi.org/10.1145/3715275.3732094</v>
      </c>
      <c r="C235" s="28" t="b">
        <f t="shared" si="1"/>
        <v>1</v>
      </c>
      <c r="E235" s="28" t="str">
        <f>'Copy of INCEXC A'!C235</f>
        <v>What do Large Language Models Say About Animals? Investigating Risks of Animal Harm in Generated Text</v>
      </c>
      <c r="F235" s="28" t="str">
        <f>'Copy of INCEXC A'!D235</f>
        <v>Kaiser</v>
      </c>
      <c r="G235" s="28" t="str">
        <f>'Copy of INCEXC B'!D235</f>
        <v>Danni</v>
      </c>
      <c r="H235" s="28" t="str">
        <f>'Copy of INCEXC A'!E235</f>
        <v>Include</v>
      </c>
      <c r="I235" s="28" t="str">
        <f>'Copy of INCEXC B'!E235</f>
        <v>Exclude</v>
      </c>
      <c r="J235" s="28" t="b">
        <f t="shared" si="2"/>
        <v>0</v>
      </c>
      <c r="K235" s="28" t="b">
        <f t="shared" si="3"/>
        <v>0</v>
      </c>
    </row>
    <row r="236" hidden="1">
      <c r="A236" s="35" t="str">
        <f>'Copy of INCEXC A'!A236</f>
        <v>https://doi.org/10.1145/3715275.3732146</v>
      </c>
      <c r="B236" s="35" t="str">
        <f>'Copy of INCEXC B'!A236</f>
        <v>https://doi.org/10.1145/3715275.3732146</v>
      </c>
      <c r="C236" s="28" t="b">
        <f t="shared" si="1"/>
        <v>1</v>
      </c>
      <c r="E236" s="28" t="str">
        <f>'Copy of INCEXC A'!C236</f>
        <v>The Value of Disagreement in AI Design</v>
      </c>
      <c r="F236" s="28" t="str">
        <f>'Copy of INCEXC A'!D236</f>
        <v>Kaiser</v>
      </c>
      <c r="G236" s="28" t="str">
        <f>'Copy of INCEXC B'!D236</f>
        <v>Ceren</v>
      </c>
      <c r="H236" s="28" t="str">
        <f>'Copy of INCEXC A'!E236</f>
        <v>Exclude</v>
      </c>
      <c r="I236" s="28" t="str">
        <f>'Copy of INCEXC B'!E236</f>
        <v/>
      </c>
      <c r="J236" s="28" t="b">
        <f t="shared" si="2"/>
        <v>0</v>
      </c>
      <c r="K236" s="28" t="b">
        <f t="shared" si="3"/>
        <v>0</v>
      </c>
    </row>
    <row r="237" hidden="1">
      <c r="A237" s="35" t="str">
        <f>'Copy of INCEXC A'!A237</f>
        <v>https://doi.org/10.1145/3716553.3750784</v>
      </c>
      <c r="B237" s="35" t="str">
        <f>'Copy of INCEXC B'!A237</f>
        <v>https://doi.org/10.1145/3716553.3750784</v>
      </c>
      <c r="C237" s="28" t="b">
        <f t="shared" si="1"/>
        <v>1</v>
      </c>
      <c r="E237" s="28" t="str">
        <f>'Copy of INCEXC A'!C237</f>
        <v>Seeing</v>
      </c>
      <c r="F237" s="28" t="str">
        <f>'Copy of INCEXC A'!D237</f>
        <v>Kaiser</v>
      </c>
      <c r="G237" s="28" t="str">
        <f>'Copy of INCEXC B'!D237</f>
        <v>Ceren</v>
      </c>
      <c r="H237" s="28" t="str">
        <f>'Copy of INCEXC A'!E237</f>
        <v>Exclude</v>
      </c>
      <c r="I237" s="28" t="str">
        <f>'Copy of INCEXC B'!E237</f>
        <v/>
      </c>
      <c r="J237" s="28" t="b">
        <f t="shared" si="2"/>
        <v>0</v>
      </c>
      <c r="K237" s="28" t="b">
        <f t="shared" si="3"/>
        <v>0</v>
      </c>
    </row>
    <row r="238" hidden="1">
      <c r="A238" s="35" t="str">
        <f>'Copy of INCEXC A'!A238</f>
        <v>https://doi.org/10.1145/3716628</v>
      </c>
      <c r="B238" s="35" t="str">
        <f>'Copy of INCEXC B'!A238</f>
        <v>https://doi.org/10.1145/3716628</v>
      </c>
      <c r="C238" s="28" t="b">
        <f t="shared" si="1"/>
        <v>1</v>
      </c>
      <c r="E238" s="28" t="str">
        <f>'Copy of INCEXC A'!C238</f>
        <v>AI Agents Under Threat: A Survey of Key Security Challenges and Future Pathways</v>
      </c>
      <c r="F238" s="28" t="str">
        <f>'Copy of INCEXC A'!D238</f>
        <v>Jonathan</v>
      </c>
      <c r="G238" s="28" t="str">
        <f>'Copy of INCEXC B'!D238</f>
        <v>Danni</v>
      </c>
      <c r="H238" s="28" t="str">
        <f>'Copy of INCEXC A'!E238</f>
        <v/>
      </c>
      <c r="I238" s="28" t="str">
        <f>'Copy of INCEXC B'!E238</f>
        <v>Exclude</v>
      </c>
      <c r="J238" s="28" t="b">
        <f t="shared" si="2"/>
        <v>0</v>
      </c>
      <c r="K238" s="28" t="b">
        <f t="shared" si="3"/>
        <v>0</v>
      </c>
    </row>
    <row r="239" hidden="1">
      <c r="A239" s="35" t="str">
        <f>'Copy of INCEXC A'!A239</f>
        <v>https://doi.org/10.1145/3717511.3747073</v>
      </c>
      <c r="B239" s="35" t="str">
        <f>'Copy of INCEXC B'!A239</f>
        <v>https://doi.org/10.1145/3717511.3747073</v>
      </c>
      <c r="C239" s="28" t="b">
        <f t="shared" si="1"/>
        <v>1</v>
      </c>
      <c r="E239" s="28" t="str">
        <f>'Copy of INCEXC A'!C239</f>
        <v>Interactive Social Agent Behaviors of Politeness and Compromise in Collaborative Decision-making</v>
      </c>
      <c r="F239" s="28" t="str">
        <f>'Copy of INCEXC A'!D239</f>
        <v>Kaiser</v>
      </c>
      <c r="G239" s="28" t="str">
        <f>'Copy of INCEXC B'!D239</f>
        <v>Ceren</v>
      </c>
      <c r="H239" s="28" t="str">
        <f>'Copy of INCEXC A'!E239</f>
        <v>Include</v>
      </c>
      <c r="I239" s="28" t="str">
        <f>'Copy of INCEXC B'!E239</f>
        <v/>
      </c>
      <c r="J239" s="28" t="b">
        <f t="shared" si="2"/>
        <v>0</v>
      </c>
      <c r="K239" s="28" t="b">
        <f t="shared" si="3"/>
        <v>0</v>
      </c>
    </row>
    <row r="240" hidden="1">
      <c r="A240" s="35" t="str">
        <f>'Copy of INCEXC A'!A240</f>
        <v>https://doi.org/10.1145/3719160.3736611</v>
      </c>
      <c r="B240" s="35" t="str">
        <f>'Copy of INCEXC B'!A240</f>
        <v>https://doi.org/10.1145/3719160.3736611</v>
      </c>
      <c r="C240" s="28" t="b">
        <f t="shared" si="1"/>
        <v>1</v>
      </c>
      <c r="E240" s="28" t="str">
        <f>'Copy of INCEXC A'!C240</f>
        <v>Learn</v>
      </c>
      <c r="F240" s="28" t="str">
        <f>'Copy of INCEXC A'!D240</f>
        <v>Marilyn</v>
      </c>
      <c r="G240" s="28" t="str">
        <f>'Copy of INCEXC B'!D240</f>
        <v>Danni</v>
      </c>
      <c r="H240" s="28" t="str">
        <f>'Copy of INCEXC A'!E240</f>
        <v>Exclude</v>
      </c>
      <c r="I240" s="28" t="str">
        <f>'Copy of INCEXC B'!E240</f>
        <v>Exclude</v>
      </c>
      <c r="J240" s="28" t="b">
        <f t="shared" si="2"/>
        <v>1</v>
      </c>
      <c r="K240" s="28" t="b">
        <f t="shared" si="3"/>
        <v>0</v>
      </c>
    </row>
    <row r="241">
      <c r="A241" s="35" t="str">
        <f>'Copy of INCEXC A'!A241</f>
        <v>https://doi.org/10.1145/3719160.3736618</v>
      </c>
      <c r="B241" s="35" t="str">
        <f>'Copy of INCEXC B'!A241</f>
        <v>https://doi.org/10.1145/3719160.3736618</v>
      </c>
      <c r="C241" s="28" t="b">
        <f t="shared" si="1"/>
        <v>1</v>
      </c>
      <c r="D241" s="28" t="str">
        <f>'INCEXC A'!B234</f>
        <v>10.1145/3715275.3732063</v>
      </c>
      <c r="E241" s="28" t="str">
        <f>'Copy of INCEXC A'!C241</f>
        <v>Navigating the Fog: How University Students Recalibrate Sensemaking Practices to Address Plausible Falsehoods in LLM Outputs</v>
      </c>
      <c r="F241" s="28" t="str">
        <f>'Copy of INCEXC A'!D241</f>
        <v>Kaiser</v>
      </c>
      <c r="G241" s="28" t="str">
        <f>'Copy of INCEXC B'!D241</f>
        <v>Danni</v>
      </c>
      <c r="H241" s="28" t="str">
        <f>'Copy of INCEXC A'!E241</f>
        <v>Include</v>
      </c>
      <c r="I241" s="28" t="str">
        <f>'Copy of INCEXC B'!E241</f>
        <v>Include</v>
      </c>
      <c r="J241" s="28" t="b">
        <f t="shared" si="2"/>
        <v>1</v>
      </c>
      <c r="K241" s="28" t="b">
        <f t="shared" si="3"/>
        <v>1</v>
      </c>
    </row>
    <row r="242" hidden="1">
      <c r="A242" s="35" t="str">
        <f>'Copy of INCEXC A'!A242</f>
        <v>https://doi.org/10.1145/3720554.3735862</v>
      </c>
      <c r="B242" s="35" t="str">
        <f>'Copy of INCEXC B'!A242</f>
        <v>https://doi.org/10.1145/3720554.3735862</v>
      </c>
      <c r="C242" s="28" t="b">
        <f t="shared" si="1"/>
        <v>1</v>
      </c>
      <c r="E242" s="28" t="str">
        <f>'Copy of INCEXC A'!C242</f>
        <v>GenAI &amp;amp; The Dual-Deception Process in Web Science</v>
      </c>
      <c r="F242" s="28" t="str">
        <f>'Copy of INCEXC A'!D242</f>
        <v>Marilyn</v>
      </c>
      <c r="G242" s="28" t="str">
        <f>'Copy of INCEXC B'!D242</f>
        <v>Taylor</v>
      </c>
      <c r="H242" s="28" t="str">
        <f>'Copy of INCEXC A'!E242</f>
        <v>Exclude</v>
      </c>
      <c r="I242" s="28" t="str">
        <f>'Copy of INCEXC B'!E242</f>
        <v>Exclude</v>
      </c>
      <c r="J242" s="28" t="b">
        <f t="shared" si="2"/>
        <v>1</v>
      </c>
      <c r="K242" s="28" t="b">
        <f t="shared" si="3"/>
        <v>0</v>
      </c>
    </row>
    <row r="243" hidden="1">
      <c r="A243" s="35" t="str">
        <f>'Copy of INCEXC A'!A243</f>
        <v>https://doi.org/10.1145/3721201.3721385</v>
      </c>
      <c r="B243" s="35" t="str">
        <f>'Copy of INCEXC B'!A243</f>
        <v>https://doi.org/10.1145/3721201.3721385</v>
      </c>
      <c r="C243" s="28" t="b">
        <f t="shared" si="1"/>
        <v>1</v>
      </c>
      <c r="E243" s="28" t="str">
        <f>'Copy of INCEXC A'!C243</f>
        <v>HALO: Hallucination Analysis and Learning Optimization to Empower LLMs with Retrieval-Augmented Context for Guided Clinical Decision Making</v>
      </c>
      <c r="F243" s="28" t="str">
        <f>'Copy of INCEXC A'!D243</f>
        <v>Marilyn</v>
      </c>
      <c r="G243" s="28" t="str">
        <f>'Copy of INCEXC B'!D243</f>
        <v>Danni</v>
      </c>
      <c r="H243" s="28" t="str">
        <f>'Copy of INCEXC A'!E243</f>
        <v>Exclude</v>
      </c>
      <c r="I243" s="28" t="str">
        <f>'Copy of INCEXC B'!E243</f>
        <v>Exclude</v>
      </c>
      <c r="J243" s="28" t="b">
        <f t="shared" si="2"/>
        <v>1</v>
      </c>
      <c r="K243" s="28" t="b">
        <f t="shared" si="3"/>
        <v>0</v>
      </c>
    </row>
    <row r="244" hidden="1">
      <c r="A244" s="35" t="str">
        <f>'Copy of INCEXC A'!A244</f>
        <v>https://doi.org/10.1145/3727200.3727226</v>
      </c>
      <c r="B244" s="35" t="str">
        <f>'Copy of INCEXC B'!A244</f>
        <v>https://doi.org/10.1145/3727200.3727226</v>
      </c>
      <c r="C244" s="28" t="b">
        <f t="shared" si="1"/>
        <v>1</v>
      </c>
      <c r="E244" s="28" t="str">
        <f>'Copy of INCEXC A'!C244</f>
        <v>Lovelock: Towards Smart NIC-Hosted Clusters</v>
      </c>
      <c r="F244" s="28" t="str">
        <f>'Copy of INCEXC A'!D244</f>
        <v>Marilyn</v>
      </c>
      <c r="G244" s="28" t="str">
        <f>'Copy of INCEXC B'!D244</f>
        <v>Taylor</v>
      </c>
      <c r="H244" s="28" t="str">
        <f>'Copy of INCEXC A'!E244</f>
        <v>Exclude</v>
      </c>
      <c r="I244" s="28" t="str">
        <f>'Copy of INCEXC B'!E244</f>
        <v>Exclude</v>
      </c>
      <c r="J244" s="28" t="b">
        <f t="shared" si="2"/>
        <v>1</v>
      </c>
      <c r="K244" s="28" t="b">
        <f t="shared" si="3"/>
        <v>0</v>
      </c>
    </row>
    <row r="245" hidden="1">
      <c r="A245" s="35" t="str">
        <f>'Copy of INCEXC A'!A245</f>
        <v>https://doi.org/10.1145/3731459.3786222</v>
      </c>
      <c r="B245" s="35" t="str">
        <f>'Copy of INCEXC B'!A245</f>
        <v>https://doi.org/10.1145/3731459.3786222</v>
      </c>
      <c r="C245" s="28" t="b">
        <f t="shared" si="1"/>
        <v>1</v>
      </c>
      <c r="E245" s="28" t="str">
        <f>'Copy of INCEXC A'!C245</f>
        <v>Wish You Were Here: Psychological and Sensory First Aid for Invisible Emergencies in Trauma and Neurodiversity</v>
      </c>
      <c r="F245" s="28" t="str">
        <f>'Copy of INCEXC A'!D245</f>
        <v>Jonathan</v>
      </c>
      <c r="G245" s="28" t="str">
        <f>'Copy of INCEXC B'!D245</f>
        <v>Taylor</v>
      </c>
      <c r="H245" s="28" t="str">
        <f>'Copy of INCEXC A'!E245</f>
        <v/>
      </c>
      <c r="I245" s="28" t="str">
        <f>'Copy of INCEXC B'!E245</f>
        <v>Exclude</v>
      </c>
      <c r="J245" s="28" t="b">
        <f t="shared" si="2"/>
        <v>0</v>
      </c>
      <c r="K245" s="28" t="b">
        <f t="shared" si="3"/>
        <v>0</v>
      </c>
    </row>
    <row r="246" hidden="1">
      <c r="A246" s="35" t="str">
        <f>'Copy of INCEXC A'!A246</f>
        <v>https://doi.org/10.1145/3735402</v>
      </c>
      <c r="B246" s="35" t="str">
        <f>'Copy of INCEXC B'!A246</f>
        <v>https://doi.org/10.1145/3735402</v>
      </c>
      <c r="C246" s="28" t="b">
        <f t="shared" si="1"/>
        <v>1</v>
      </c>
      <c r="E246" s="28" t="str">
        <f>'Copy of INCEXC A'!C246</f>
        <v>Culture</v>
      </c>
      <c r="F246" s="28" t="str">
        <f>'Copy of INCEXC A'!D246</f>
        <v>Marilyn</v>
      </c>
      <c r="G246" s="28" t="str">
        <f>'Copy of INCEXC B'!D246</f>
        <v>Taylor</v>
      </c>
      <c r="H246" s="28" t="str">
        <f>'Copy of INCEXC A'!E246</f>
        <v>Exclude</v>
      </c>
      <c r="I246" s="28" t="str">
        <f>'Copy of INCEXC B'!E246</f>
        <v>Exclude</v>
      </c>
      <c r="J246" s="28" t="b">
        <f t="shared" si="2"/>
        <v>1</v>
      </c>
      <c r="K246" s="28" t="b">
        <f t="shared" si="3"/>
        <v>0</v>
      </c>
    </row>
    <row r="247" hidden="1">
      <c r="A247" s="35" t="str">
        <f>'Copy of INCEXC A'!A247</f>
        <v>https://doi.org/10.1145/3736425.3770093</v>
      </c>
      <c r="B247" s="35" t="str">
        <f>'Copy of INCEXC B'!A247</f>
        <v>https://doi.org/10.1145/3736425.3770093</v>
      </c>
      <c r="C247" s="28" t="b">
        <f t="shared" si="1"/>
        <v>1</v>
      </c>
      <c r="E247" s="28" t="str">
        <f>'Copy of INCEXC A'!C247</f>
        <v>An LLM Framework for Inferring Household Energy Consumption Through Behaviour Simulation</v>
      </c>
      <c r="F247" s="28" t="str">
        <f>'Copy of INCEXC A'!D247</f>
        <v>Jonathan</v>
      </c>
      <c r="G247" s="28" t="str">
        <f>'Copy of INCEXC B'!D247</f>
        <v>Taylor</v>
      </c>
      <c r="H247" s="28" t="str">
        <f>'Copy of INCEXC A'!E247</f>
        <v/>
      </c>
      <c r="I247" s="28" t="str">
        <f>'Copy of INCEXC B'!E247</f>
        <v>Exclude</v>
      </c>
      <c r="J247" s="28" t="b">
        <f t="shared" si="2"/>
        <v>0</v>
      </c>
      <c r="K247" s="28" t="b">
        <f t="shared" si="3"/>
        <v>0</v>
      </c>
    </row>
    <row r="248" hidden="1">
      <c r="A248" s="35" t="str">
        <f>'Copy of INCEXC A'!A248</f>
        <v>https://doi.org/10.1145/3736731.3746137</v>
      </c>
      <c r="B248" s="35" t="str">
        <f>'Copy of INCEXC B'!A248</f>
        <v>https://doi.org/10.1145/3736731.3746137</v>
      </c>
      <c r="C248" s="28" t="b">
        <f t="shared" si="1"/>
        <v>1</v>
      </c>
      <c r="E248" s="28" t="str">
        <f>'Copy of INCEXC A'!C248</f>
        <v>LLMs in Citation Intent Classification: Progress</v>
      </c>
      <c r="F248" s="28" t="str">
        <f>'Copy of INCEXC A'!D248</f>
        <v>Marilyn</v>
      </c>
      <c r="G248" s="28" t="str">
        <f>'Copy of INCEXC B'!D248</f>
        <v>Taylor</v>
      </c>
      <c r="H248" s="28" t="str">
        <f>'Copy of INCEXC A'!E248</f>
        <v>Exclude</v>
      </c>
      <c r="I248" s="28" t="str">
        <f>'Copy of INCEXC B'!E248</f>
        <v>Include</v>
      </c>
      <c r="J248" s="28" t="b">
        <f t="shared" si="2"/>
        <v>0</v>
      </c>
      <c r="K248" s="28" t="b">
        <f t="shared" si="3"/>
        <v>0</v>
      </c>
    </row>
    <row r="249" hidden="1">
      <c r="A249" s="35" t="str">
        <f>'Copy of INCEXC A'!A249</f>
        <v>https://doi.org/10.1145/3736731.3786118</v>
      </c>
      <c r="B249" s="35" t="str">
        <f>'Copy of INCEXC B'!A249</f>
        <v>https://doi.org/10.1145/3736731.3786118</v>
      </c>
      <c r="C249" s="28" t="b">
        <f t="shared" si="1"/>
        <v>1</v>
      </c>
      <c r="E249" s="28" t="str">
        <f>'Copy of INCEXC A'!C249</f>
        <v>Session Summary Podcast: Session 3: Posters</v>
      </c>
      <c r="F249" s="28" t="str">
        <f>'Copy of INCEXC A'!D249</f>
        <v>Jonathan</v>
      </c>
      <c r="G249" s="28" t="str">
        <f>'Copy of INCEXC B'!D249</f>
        <v>Taylor</v>
      </c>
      <c r="H249" s="28" t="str">
        <f>'Copy of INCEXC A'!E249</f>
        <v/>
      </c>
      <c r="I249" s="28" t="str">
        <f>'Copy of INCEXC B'!E249</f>
        <v>Exclude</v>
      </c>
      <c r="J249" s="28" t="b">
        <f t="shared" si="2"/>
        <v>0</v>
      </c>
      <c r="K249" s="28" t="b">
        <f t="shared" si="3"/>
        <v>0</v>
      </c>
    </row>
    <row r="250" hidden="1">
      <c r="A250" s="35" t="str">
        <f>'Copy of INCEXC A'!A250</f>
        <v>https://doi.org/10.1145/3742413.3789111</v>
      </c>
      <c r="B250" s="35" t="str">
        <f>'Copy of INCEXC B'!A250</f>
        <v>https://doi.org/10.1145/3742413.3789111</v>
      </c>
      <c r="C250" s="28" t="b">
        <f t="shared" si="1"/>
        <v>1</v>
      </c>
      <c r="E250" s="28" t="str">
        <f>'Copy of INCEXC A'!C250</f>
        <v>SusBench: An Online Benchmark for Evaluating Dark Pattern Susceptibility of Computer-Use Agents</v>
      </c>
      <c r="F250" s="28" t="str">
        <f>'Copy of INCEXC A'!D250</f>
        <v>Kaiser</v>
      </c>
      <c r="G250" s="28" t="str">
        <f>'Copy of INCEXC B'!D250</f>
        <v>Danni</v>
      </c>
      <c r="H250" s="28" t="str">
        <f>'Copy of INCEXC A'!E250</f>
        <v>Include</v>
      </c>
      <c r="I250" s="28" t="str">
        <f>'Copy of INCEXC B'!E250</f>
        <v>Exclude</v>
      </c>
      <c r="J250" s="28" t="b">
        <f t="shared" si="2"/>
        <v>0</v>
      </c>
      <c r="K250" s="28" t="b">
        <f t="shared" si="3"/>
        <v>0</v>
      </c>
    </row>
    <row r="251" hidden="1">
      <c r="A251" s="35" t="str">
        <f>'Copy of INCEXC A'!A251</f>
        <v>https://doi.org/10.1145/3742413.3789120</v>
      </c>
      <c r="B251" s="35" t="str">
        <f>'Copy of INCEXC B'!A251</f>
        <v>https://doi.org/10.1145/3742413.3789120</v>
      </c>
      <c r="C251" s="28" t="b">
        <f t="shared" si="1"/>
        <v>1</v>
      </c>
      <c r="E251" s="28" t="str">
        <f>'Copy of INCEXC A'!C251</f>
        <v>Neural Transparency: Mechanistic Interpretability Interfaces for Anticipating Model Behaviors for Personalized AI</v>
      </c>
      <c r="F251" s="28" t="str">
        <f>'Copy of INCEXC A'!D251</f>
        <v>Jonathan</v>
      </c>
      <c r="G251" s="28" t="str">
        <f>'Copy of INCEXC B'!D251</f>
        <v>Taylor</v>
      </c>
      <c r="H251" s="28" t="str">
        <f>'Copy of INCEXC A'!E251</f>
        <v/>
      </c>
      <c r="I251" s="28" t="str">
        <f>'Copy of INCEXC B'!E251</f>
        <v>Include</v>
      </c>
      <c r="J251" s="28" t="b">
        <f t="shared" si="2"/>
        <v>0</v>
      </c>
      <c r="K251" s="28" t="b">
        <f t="shared" si="3"/>
        <v>0</v>
      </c>
    </row>
    <row r="252" hidden="1">
      <c r="A252" s="35" t="str">
        <f>'Copy of INCEXC A'!A252</f>
        <v>https://doi.org/10.1145/3742413.3789123</v>
      </c>
      <c r="B252" s="35" t="str">
        <f>'Copy of INCEXC B'!A252</f>
        <v>https://doi.org/10.1145/3742413.3789123</v>
      </c>
      <c r="C252" s="28" t="b">
        <f t="shared" si="1"/>
        <v>1</v>
      </c>
      <c r="E252" s="28" t="str">
        <f>'Copy of INCEXC A'!C252</f>
        <v>PersonaMail: Learning and Adapting Personal Communication Preferences for Context-Aware Email Writing</v>
      </c>
      <c r="F252" s="28" t="str">
        <f>'Copy of INCEXC A'!D252</f>
        <v>Kaiser</v>
      </c>
      <c r="G252" s="28" t="str">
        <f>'Copy of INCEXC B'!D252</f>
        <v>Ceren</v>
      </c>
      <c r="H252" s="28" t="str">
        <f>'Copy of INCEXC A'!E252</f>
        <v>Exclude</v>
      </c>
      <c r="I252" s="28" t="str">
        <f>'Copy of INCEXC B'!E252</f>
        <v/>
      </c>
      <c r="J252" s="28" t="b">
        <f t="shared" si="2"/>
        <v>0</v>
      </c>
      <c r="K252" s="28" t="b">
        <f t="shared" si="3"/>
        <v>0</v>
      </c>
    </row>
    <row r="253" hidden="1">
      <c r="A253" s="35" t="str">
        <f>'Copy of INCEXC A'!A253</f>
        <v>https://doi.org/10.1145/3742413.3789136</v>
      </c>
      <c r="B253" s="35" t="str">
        <f>'Copy of INCEXC B'!A253</f>
        <v>https://doi.org/10.1145/3742413.3789136</v>
      </c>
      <c r="C253" s="28" t="b">
        <f t="shared" si="1"/>
        <v>1</v>
      </c>
      <c r="E253" s="28" t="str">
        <f>'Copy of INCEXC A'!C253</f>
        <v>Adjust for Trust: Mitigating Trust-Induced Inappropriate Reliance on AI Assistance</v>
      </c>
      <c r="F253" s="28" t="str">
        <f>'Copy of INCEXC A'!D253</f>
        <v>Marilyn</v>
      </c>
      <c r="G253" s="28" t="str">
        <f>'Copy of INCEXC B'!D253</f>
        <v>Danni</v>
      </c>
      <c r="H253" s="28" t="str">
        <f>'Copy of INCEXC A'!E253</f>
        <v>Exclude</v>
      </c>
      <c r="I253" s="28" t="str">
        <f>'Copy of INCEXC B'!E253</f>
        <v>Exclude</v>
      </c>
      <c r="J253" s="28" t="b">
        <f t="shared" si="2"/>
        <v>1</v>
      </c>
      <c r="K253" s="28" t="b">
        <f t="shared" si="3"/>
        <v>0</v>
      </c>
    </row>
    <row r="254" hidden="1">
      <c r="A254" s="35" t="str">
        <f>'Copy of INCEXC A'!A254</f>
        <v>https://doi.org/10.1145/3742413.3789147</v>
      </c>
      <c r="B254" s="35" t="str">
        <f>'Copy of INCEXC B'!A254</f>
        <v>https://doi.org/10.1145/3742413.3789147</v>
      </c>
      <c r="C254" s="28" t="b">
        <f t="shared" si="1"/>
        <v>1</v>
      </c>
      <c r="E254" s="28" t="str">
        <f>'Copy of INCEXC A'!C254</f>
        <v>Rules or Weights? Comparing User Understanding of Explainable AI Techniques with the Cognitive XAI-Adaptive Model</v>
      </c>
      <c r="F254" s="28" t="str">
        <f>'Copy of INCEXC A'!D254</f>
        <v>Marilyn</v>
      </c>
      <c r="G254" s="28" t="str">
        <f>'Copy of INCEXC B'!D254</f>
        <v>Taylor</v>
      </c>
      <c r="H254" s="28" t="str">
        <f>'Copy of INCEXC A'!E254</f>
        <v>Exclude</v>
      </c>
      <c r="I254" s="28" t="str">
        <f>'Copy of INCEXC B'!E254</f>
        <v>Exclude</v>
      </c>
      <c r="J254" s="28" t="b">
        <f t="shared" si="2"/>
        <v>1</v>
      </c>
      <c r="K254" s="28" t="b">
        <f t="shared" si="3"/>
        <v>0</v>
      </c>
    </row>
    <row r="255" hidden="1">
      <c r="A255" s="35" t="str">
        <f>'Copy of INCEXC A'!A255</f>
        <v>https://doi.org/10.1145/3742413.3789218</v>
      </c>
      <c r="B255" s="35" t="str">
        <f>'Copy of INCEXC B'!A255</f>
        <v>https://doi.org/10.1145/3742413.3789218</v>
      </c>
      <c r="C255" s="28" t="b">
        <f t="shared" si="1"/>
        <v>1</v>
      </c>
      <c r="E255" s="28" t="str">
        <f>'Copy of INCEXC A'!C255</f>
        <v>Guiding</v>
      </c>
      <c r="F255" s="28" t="str">
        <f>'Copy of INCEXC A'!D255</f>
        <v>Marilyn</v>
      </c>
      <c r="G255" s="28" t="str">
        <f>'Copy of INCEXC B'!D255</f>
        <v>Danni</v>
      </c>
      <c r="H255" s="28" t="str">
        <f>'Copy of INCEXC A'!E255</f>
        <v>Exclude</v>
      </c>
      <c r="I255" s="28" t="str">
        <f>'Copy of INCEXC B'!E255</f>
        <v>Exclude</v>
      </c>
      <c r="J255" s="28" t="b">
        <f t="shared" si="2"/>
        <v>1</v>
      </c>
      <c r="K255" s="28" t="b">
        <f t="shared" si="3"/>
        <v>0</v>
      </c>
    </row>
    <row r="256" hidden="1">
      <c r="A256" s="35" t="str">
        <f>'Copy of INCEXC A'!A256</f>
        <v>https://doi.org/10.1145/3742413.3789223</v>
      </c>
      <c r="B256" s="35" t="str">
        <f>'Copy of INCEXC B'!A256</f>
        <v>https://doi.org/10.1145/3742413.3789223</v>
      </c>
      <c r="C256" s="28" t="b">
        <f t="shared" si="1"/>
        <v>1</v>
      </c>
      <c r="E256" s="28" t="str">
        <f>'Copy of INCEXC A'!C256</f>
        <v>Mental Models in Human-AI Interaction: Systematic Review of Empirical Methodologies and Guidelines</v>
      </c>
      <c r="F256" s="28" t="str">
        <f>'Copy of INCEXC A'!D256</f>
        <v>Marilyn</v>
      </c>
      <c r="G256" s="28" t="str">
        <f>'Copy of INCEXC B'!D256</f>
        <v>Taylor</v>
      </c>
      <c r="H256" s="28" t="str">
        <f>'Copy of INCEXC A'!E256</f>
        <v>Exclude</v>
      </c>
      <c r="I256" s="28" t="str">
        <f>'Copy of INCEXC B'!E256</f>
        <v>Exclude</v>
      </c>
      <c r="J256" s="28" t="b">
        <f t="shared" si="2"/>
        <v>1</v>
      </c>
      <c r="K256" s="28" t="b">
        <f t="shared" si="3"/>
        <v>0</v>
      </c>
    </row>
    <row r="257" hidden="1">
      <c r="A257" s="35" t="str">
        <f>'Copy of INCEXC A'!A257</f>
        <v>https://doi.org/10.1145/3744169.3744194</v>
      </c>
      <c r="B257" s="35" t="str">
        <f>'Copy of INCEXC B'!A257</f>
        <v>https://doi.org/10.1145/3744169.3744194</v>
      </c>
      <c r="C257" s="28" t="b">
        <f t="shared" si="1"/>
        <v>1</v>
      </c>
      <c r="E257" s="28" t="str">
        <f>'Copy of INCEXC A'!C257</f>
        <v>Reading the Praise/Prompt Machine: An Interface Criticism Approach to ChatGPT</v>
      </c>
      <c r="F257" s="28" t="str">
        <f>'Copy of INCEXC A'!D257</f>
        <v>Jonathan</v>
      </c>
      <c r="G257" s="28" t="str">
        <f>'Copy of INCEXC B'!D257</f>
        <v>Danni</v>
      </c>
      <c r="H257" s="28" t="str">
        <f>'Copy of INCEXC A'!E257</f>
        <v/>
      </c>
      <c r="I257" s="28" t="str">
        <f>'Copy of INCEXC B'!E257</f>
        <v>Include</v>
      </c>
      <c r="J257" s="28" t="b">
        <f t="shared" si="2"/>
        <v>0</v>
      </c>
      <c r="K257" s="28" t="b">
        <f t="shared" si="3"/>
        <v>0</v>
      </c>
    </row>
    <row r="258" hidden="1">
      <c r="A258" s="35" t="str">
        <f>'Copy of INCEXC A'!A258</f>
        <v>https://doi.org/10.1145/3744169.3744195</v>
      </c>
      <c r="B258" s="35" t="str">
        <f>'Copy of INCEXC B'!A258</f>
        <v>https://doi.org/10.1145/3744169.3744195</v>
      </c>
      <c r="C258" s="28" t="b">
        <f t="shared" si="1"/>
        <v>1</v>
      </c>
      <c r="E258" s="28" t="str">
        <f>'Copy of INCEXC A'!C258</f>
        <v>From Bullshit to Cognition: Computing Within the Epistemic Crisis of Large Language Models in Systematic Literature Review</v>
      </c>
      <c r="F258" s="28" t="str">
        <f>'Copy of INCEXC A'!D258</f>
        <v>Jonathan</v>
      </c>
      <c r="G258" s="28" t="str">
        <f>'Copy of INCEXC B'!D258</f>
        <v>Ceren</v>
      </c>
      <c r="H258" s="28" t="str">
        <f>'Copy of INCEXC A'!E258</f>
        <v/>
      </c>
      <c r="I258" s="28" t="str">
        <f>'Copy of INCEXC B'!E258</f>
        <v/>
      </c>
      <c r="J258" s="28" t="b">
        <f t="shared" si="2"/>
        <v>1</v>
      </c>
      <c r="K258" s="28" t="b">
        <f t="shared" si="3"/>
        <v>0</v>
      </c>
    </row>
    <row r="259">
      <c r="A259" s="35" t="str">
        <f>'Copy of INCEXC A'!A259</f>
        <v>https://doi.org/10.1145/3746027.3755778</v>
      </c>
      <c r="B259" s="35" t="str">
        <f>'Copy of INCEXC B'!A259</f>
        <v>https://doi.org/10.1145/3746027.3755778</v>
      </c>
      <c r="C259" s="28" t="b">
        <f t="shared" si="1"/>
        <v>1</v>
      </c>
      <c r="D259" s="28" t="str">
        <f>'INCEXC A'!B252</f>
        <v>10.1145/3742413.3789123</v>
      </c>
      <c r="E259" s="28" t="str">
        <f>'Copy of INCEXC A'!C259</f>
        <v>Evaluating and Mitigating Sycophancy in Large Vision-Language Models</v>
      </c>
      <c r="F259" s="28" t="str">
        <f>'Copy of INCEXC A'!D259</f>
        <v>Kaiser</v>
      </c>
      <c r="G259" s="28" t="str">
        <f>'Copy of INCEXC B'!D259</f>
        <v>Ceren</v>
      </c>
      <c r="H259" s="28" t="str">
        <f>'Copy of INCEXC A'!E259</f>
        <v>Include</v>
      </c>
      <c r="I259" s="28" t="str">
        <f>'Copy of INCEXC B'!E259</f>
        <v>Include</v>
      </c>
      <c r="J259" s="28" t="b">
        <f t="shared" si="2"/>
        <v>1</v>
      </c>
      <c r="K259" s="28" t="b">
        <f t="shared" si="3"/>
        <v>1</v>
      </c>
    </row>
    <row r="260" hidden="1">
      <c r="A260" s="35" t="str">
        <f>'Copy of INCEXC A'!A260</f>
        <v>https://doi.org/10.1145/3746058.3758468</v>
      </c>
      <c r="B260" s="35" t="str">
        <f>'Copy of INCEXC B'!A260</f>
        <v>https://doi.org/10.1145/3746058.3758468</v>
      </c>
      <c r="C260" s="28" t="b">
        <f t="shared" si="1"/>
        <v>1</v>
      </c>
      <c r="E260" s="28" t="str">
        <f>'Copy of INCEXC A'!C260</f>
        <v>Enabling Real-World Assistive Agents: From Live Vision to Proactive Context-Aware Information Delivery</v>
      </c>
      <c r="F260" s="28" t="str">
        <f>'Copy of INCEXC A'!D260</f>
        <v>Jonathan</v>
      </c>
      <c r="G260" s="28" t="str">
        <f>'Copy of INCEXC B'!D260</f>
        <v>Ceren</v>
      </c>
      <c r="H260" s="28" t="str">
        <f>'Copy of INCEXC A'!E260</f>
        <v/>
      </c>
      <c r="I260" s="28" t="str">
        <f>'Copy of INCEXC B'!E260</f>
        <v>Exclude</v>
      </c>
      <c r="J260" s="28" t="b">
        <f t="shared" si="2"/>
        <v>0</v>
      </c>
      <c r="K260" s="28" t="b">
        <f t="shared" si="3"/>
        <v>0</v>
      </c>
    </row>
    <row r="261" hidden="1">
      <c r="A261" s="35" t="str">
        <f>'Copy of INCEXC A'!A261</f>
        <v>https://doi.org/10.1145/3746059.3747680</v>
      </c>
      <c r="B261" s="35" t="str">
        <f>'Copy of INCEXC B'!A261</f>
        <v>https://doi.org/10.1145/3746059.3747680</v>
      </c>
      <c r="C261" s="28" t="b">
        <f t="shared" si="1"/>
        <v>1</v>
      </c>
      <c r="E261" s="28" t="str">
        <f>'Copy of INCEXC A'!C261</f>
        <v>Policy Maps: Tools for Guiding the Unbounded Space of LLM Behaviors</v>
      </c>
      <c r="F261" s="28" t="str">
        <f>'Copy of INCEXC A'!D261</f>
        <v>Kaiser</v>
      </c>
      <c r="G261" s="28" t="str">
        <f>'Copy of INCEXC B'!D261</f>
        <v>Danni</v>
      </c>
      <c r="H261" s="28" t="str">
        <f>'Copy of INCEXC A'!E261</f>
        <v>Exclude</v>
      </c>
      <c r="I261" s="28" t="str">
        <f>'Copy of INCEXC B'!E261</f>
        <v>Exclude</v>
      </c>
      <c r="J261" s="28" t="b">
        <f t="shared" si="2"/>
        <v>1</v>
      </c>
      <c r="K261" s="28" t="b">
        <f t="shared" si="3"/>
        <v>0</v>
      </c>
    </row>
    <row r="262" hidden="1">
      <c r="A262" s="35" t="str">
        <f>'Copy of INCEXC A'!A262</f>
        <v>https://doi.org/10.1145/3746252.3761151</v>
      </c>
      <c r="B262" s="35" t="str">
        <f>'Copy of INCEXC B'!A262</f>
        <v>https://doi.org/10.1145/3746252.3761151</v>
      </c>
      <c r="C262" s="28" t="b">
        <f t="shared" si="1"/>
        <v>1</v>
      </c>
      <c r="E262" s="28" t="str">
        <f>'Copy of INCEXC A'!C262</f>
        <v>Where Does Legal AI Fail? Evaluating RAG Pipelines</v>
      </c>
      <c r="F262" s="28" t="str">
        <f>'Copy of INCEXC A'!D262</f>
        <v>Marilyn</v>
      </c>
      <c r="G262" s="28" t="str">
        <f>'Copy of INCEXC B'!D262</f>
        <v>Taylor</v>
      </c>
      <c r="H262" s="28" t="str">
        <f>'Copy of INCEXC A'!E262</f>
        <v>Exclude</v>
      </c>
      <c r="I262" s="28" t="str">
        <f>'Copy of INCEXC B'!E262</f>
        <v>Exclude</v>
      </c>
      <c r="J262" s="28" t="b">
        <f t="shared" si="2"/>
        <v>1</v>
      </c>
      <c r="K262" s="28" t="b">
        <f t="shared" si="3"/>
        <v>0</v>
      </c>
    </row>
    <row r="263" hidden="1">
      <c r="A263" s="35" t="str">
        <f>'Copy of INCEXC A'!A263</f>
        <v>https://doi.org/10.1145/3746252.3761448</v>
      </c>
      <c r="B263" s="35" t="str">
        <f>'Copy of INCEXC B'!A263</f>
        <v>https://doi.org/10.1145/3746252.3761448</v>
      </c>
      <c r="C263" s="28" t="b">
        <f t="shared" si="1"/>
        <v>1</v>
      </c>
      <c r="E263" s="28" t="str">
        <f>'Copy of INCEXC A'!C263</f>
        <v>Socially Responsible and Trustworthy Generative Foundation Models: Principles</v>
      </c>
      <c r="F263" s="28" t="str">
        <f>'Copy of INCEXC A'!D263</f>
        <v>Jonathan</v>
      </c>
      <c r="G263" s="28" t="str">
        <f>'Copy of INCEXC B'!D263</f>
        <v>Ceren</v>
      </c>
      <c r="H263" s="28" t="str">
        <f>'Copy of INCEXC A'!E263</f>
        <v/>
      </c>
      <c r="I263" s="28" t="str">
        <f>'Copy of INCEXC B'!E263</f>
        <v/>
      </c>
      <c r="J263" s="28" t="b">
        <f t="shared" si="2"/>
        <v>1</v>
      </c>
      <c r="K263" s="28" t="b">
        <f t="shared" si="3"/>
        <v>0</v>
      </c>
    </row>
    <row r="264" hidden="1">
      <c r="A264" s="35" t="str">
        <f>'Copy of INCEXC A'!A264</f>
        <v>https://doi.org/10.1145/3748620</v>
      </c>
      <c r="B264" s="35" t="str">
        <f>'Copy of INCEXC B'!A264</f>
        <v>https://doi.org/10.1145/3748620</v>
      </c>
      <c r="C264" s="28" t="b">
        <f t="shared" si="1"/>
        <v>1</v>
      </c>
      <c r="E264" s="28" t="str">
        <f>'Copy of INCEXC A'!C264</f>
        <v>First Contact with Dark Patterns and Deceptive Designs in Chinese and Japanese Free-to-Play Mobile Games</v>
      </c>
      <c r="F264" s="28" t="str">
        <f>'Copy of INCEXC A'!D264</f>
        <v>Kaiser</v>
      </c>
      <c r="G264" s="28" t="str">
        <f>'Copy of INCEXC B'!D264</f>
        <v>Taylor</v>
      </c>
      <c r="H264" s="28" t="str">
        <f>'Copy of INCEXC A'!E264</f>
        <v>Exclude</v>
      </c>
      <c r="I264" s="28" t="str">
        <f>'Copy of INCEXC B'!E264</f>
        <v>Exclude</v>
      </c>
      <c r="J264" s="28" t="b">
        <f t="shared" si="2"/>
        <v>1</v>
      </c>
      <c r="K264" s="28" t="b">
        <f t="shared" si="3"/>
        <v>0</v>
      </c>
    </row>
    <row r="265" hidden="1">
      <c r="A265" s="35" t="str">
        <f>'Copy of INCEXC A'!A265</f>
        <v>https://doi.org/10.1145/375663.375720</v>
      </c>
      <c r="B265" s="35" t="str">
        <f>'Copy of INCEXC B'!A265</f>
        <v>https://doi.org/10.1145/375663.375720</v>
      </c>
      <c r="C265" s="28" t="b">
        <f t="shared" si="1"/>
        <v>1</v>
      </c>
      <c r="E265" s="28" t="str">
        <f>'Copy of INCEXC A'!C265</f>
        <v>Updating XML</v>
      </c>
      <c r="F265" s="28" t="str">
        <f>'Copy of INCEXC A'!D265</f>
        <v>Kaiser</v>
      </c>
      <c r="G265" s="28" t="str">
        <f>'Copy of INCEXC B'!D265</f>
        <v>Taylor</v>
      </c>
      <c r="H265" s="28" t="str">
        <f>'Copy of INCEXC A'!E265</f>
        <v>Exclude</v>
      </c>
      <c r="I265" s="28" t="str">
        <f>'Copy of INCEXC B'!E265</f>
        <v>Exclude</v>
      </c>
      <c r="J265" s="28" t="b">
        <f t="shared" si="2"/>
        <v>1</v>
      </c>
      <c r="K265" s="28" t="b">
        <f t="shared" si="3"/>
        <v>0</v>
      </c>
    </row>
    <row r="266" hidden="1">
      <c r="A266" s="35" t="str">
        <f>'Copy of INCEXC A'!A266</f>
        <v>https://doi.org/10.1145/3757279.3785553</v>
      </c>
      <c r="B266" s="35" t="str">
        <f>'Copy of INCEXC B'!A266</f>
        <v>https://doi.org/10.1145/3757279.3785553</v>
      </c>
      <c r="C266" s="28" t="b">
        <f t="shared" si="1"/>
        <v>1</v>
      </c>
      <c r="E266" s="28" t="str">
        <f>'Copy of INCEXC A'!C266</f>
        <v>Should Robots Comply with Our Instructions or Intentions?</v>
      </c>
      <c r="F266" s="28" t="str">
        <f>'Copy of INCEXC A'!D266</f>
        <v>Kaiser</v>
      </c>
      <c r="G266" s="28" t="str">
        <f>'Copy of INCEXC B'!D266</f>
        <v>Danni</v>
      </c>
      <c r="H266" s="28" t="str">
        <f>'Copy of INCEXC A'!E266</f>
        <v>Exclude</v>
      </c>
      <c r="I266" s="28" t="str">
        <f>'Copy of INCEXC B'!E266</f>
        <v>Exclude</v>
      </c>
      <c r="J266" s="28" t="b">
        <f t="shared" si="2"/>
        <v>1</v>
      </c>
      <c r="K266" s="28" t="b">
        <f t="shared" si="3"/>
        <v>0</v>
      </c>
    </row>
    <row r="267" hidden="1">
      <c r="A267" s="35" t="str">
        <f>'Copy of INCEXC A'!A267</f>
        <v>https://doi.org/10.1145/3757424</v>
      </c>
      <c r="B267" s="35" t="str">
        <f>'Copy of INCEXC B'!A267</f>
        <v>https://doi.org/10.1145/3757424</v>
      </c>
      <c r="C267" s="28" t="b">
        <f t="shared" si="1"/>
        <v>1</v>
      </c>
      <c r="E267" s="28" t="str">
        <f>'Copy of INCEXC A'!C267</f>
        <v>Should ChatGPT Write Your Breakup Text? Exploring the Role of AI in Relationship Dissolution</v>
      </c>
      <c r="F267" s="28" t="str">
        <f>'Copy of INCEXC A'!D267</f>
        <v>Kaiser</v>
      </c>
      <c r="G267" s="28" t="str">
        <f>'Copy of INCEXC B'!D267</f>
        <v>Ceren</v>
      </c>
      <c r="H267" s="28" t="str">
        <f>'Copy of INCEXC A'!E267</f>
        <v>Exclude</v>
      </c>
      <c r="I267" s="28" t="str">
        <f>'Copy of INCEXC B'!E267</f>
        <v/>
      </c>
      <c r="J267" s="28" t="b">
        <f t="shared" si="2"/>
        <v>0</v>
      </c>
      <c r="K267" s="28" t="b">
        <f t="shared" si="3"/>
        <v>0</v>
      </c>
    </row>
    <row r="268" hidden="1">
      <c r="A268" s="35" t="str">
        <f>'Copy of INCEXC A'!A268</f>
        <v>https://doi.org/10.1145/3757442</v>
      </c>
      <c r="B268" s="35" t="str">
        <f>'Copy of INCEXC B'!A268</f>
        <v>https://doi.org/10.1145/3757442</v>
      </c>
      <c r="C268" s="28" t="b">
        <f t="shared" si="1"/>
        <v>1</v>
      </c>
      <c r="E268" s="28" t="str">
        <f>'Copy of INCEXC A'!C268</f>
        <v>Mango Mango	How to Let The Lettuce Dry Without A Spinner?: Exploring User Perceptions of Using An LLM-Based Conversational Assistant Toward Cooking Partner</v>
      </c>
      <c r="F268" s="28" t="str">
        <f>'Copy of INCEXC A'!D268</f>
        <v>Jonathan</v>
      </c>
      <c r="G268" s="28" t="str">
        <f>'Copy of INCEXC B'!D268</f>
        <v>Taylor</v>
      </c>
      <c r="H268" s="28" t="str">
        <f>'Copy of INCEXC A'!E268</f>
        <v/>
      </c>
      <c r="I268" s="28" t="str">
        <f>'Copy of INCEXC B'!E268</f>
        <v>Exclude</v>
      </c>
      <c r="J268" s="28" t="b">
        <f t="shared" si="2"/>
        <v>0</v>
      </c>
      <c r="K268" s="28" t="b">
        <f t="shared" si="3"/>
        <v>0</v>
      </c>
    </row>
    <row r="269" hidden="1">
      <c r="A269" s="35" t="str">
        <f>'Copy of INCEXC A'!A269</f>
        <v>https://doi.org/10.1145/3757544</v>
      </c>
      <c r="B269" s="35" t="str">
        <f>'Copy of INCEXC B'!A269</f>
        <v>https://doi.org/10.1145/3757544</v>
      </c>
      <c r="C269" s="28" t="b">
        <f t="shared" si="1"/>
        <v>1</v>
      </c>
      <c r="E269" s="28" t="str">
        <f>'Copy of INCEXC A'!C269</f>
        <v>A Risk Taxonomy and Reflection Tool for Large Language Model Adoption in Public Health</v>
      </c>
      <c r="F269" s="28" t="str">
        <f>'Copy of INCEXC A'!D269</f>
        <v>Kaiser</v>
      </c>
      <c r="G269" s="28" t="str">
        <f>'Copy of INCEXC B'!D269</f>
        <v>Danni</v>
      </c>
      <c r="H269" s="28" t="str">
        <f>'Copy of INCEXC A'!E269</f>
        <v>Exclude</v>
      </c>
      <c r="I269" s="28" t="str">
        <f>'Copy of INCEXC B'!E269</f>
        <v>Exclude</v>
      </c>
      <c r="J269" s="28" t="b">
        <f t="shared" si="2"/>
        <v>1</v>
      </c>
      <c r="K269" s="28" t="b">
        <f t="shared" si="3"/>
        <v>0</v>
      </c>
    </row>
    <row r="270" hidden="1">
      <c r="A270" s="35" t="str">
        <f>'Copy of INCEXC A'!A270</f>
        <v>https://doi.org/10.1145/3757619</v>
      </c>
      <c r="B270" s="35" t="str">
        <f>'Copy of INCEXC B'!A270</f>
        <v>https://doi.org/10.1145/3757619</v>
      </c>
      <c r="C270" s="28" t="b">
        <f t="shared" si="1"/>
        <v>1</v>
      </c>
      <c r="E270" s="28" t="str">
        <f>'Copy of INCEXC A'!C270</f>
        <v>Large Language Model Agents for Improving Engagement with Behavior Change Interventions: Application to Digital Mindfulness</v>
      </c>
      <c r="F270" s="28" t="str">
        <f>'Copy of INCEXC A'!D270</f>
        <v>Marilyn</v>
      </c>
      <c r="G270" s="28" t="str">
        <f>'Copy of INCEXC B'!D270</f>
        <v>Ceren</v>
      </c>
      <c r="H270" s="28" t="str">
        <f>'Copy of INCEXC A'!E270</f>
        <v>Exclude</v>
      </c>
      <c r="I270" s="28" t="str">
        <f>'Copy of INCEXC B'!E270</f>
        <v/>
      </c>
      <c r="J270" s="28" t="b">
        <f t="shared" si="2"/>
        <v>0</v>
      </c>
      <c r="K270" s="28" t="b">
        <f t="shared" si="3"/>
        <v>0</v>
      </c>
    </row>
    <row r="271" hidden="1">
      <c r="A271" s="35" t="str">
        <f>'Copy of INCEXC A'!A271</f>
        <v>https://doi.org/10.1145/3757659</v>
      </c>
      <c r="B271" s="35" t="str">
        <f>'Copy of INCEXC B'!A271</f>
        <v>https://doi.org/10.1145/3757659</v>
      </c>
      <c r="C271" s="28" t="b">
        <f t="shared" si="1"/>
        <v>1</v>
      </c>
      <c r="E271" s="28" t="str">
        <f>'Copy of INCEXC A'!C271</f>
        <v>Staking a Claim in Data: Expertise and Participation in a Rural Open Government Data Initiative</v>
      </c>
      <c r="F271" s="28" t="str">
        <f>'Copy of INCEXC A'!D271</f>
        <v>Kaiser</v>
      </c>
      <c r="G271" s="28" t="str">
        <f>'Copy of INCEXC B'!D271</f>
        <v>Danni</v>
      </c>
      <c r="H271" s="28" t="str">
        <f>'Copy of INCEXC A'!E271</f>
        <v>Exclude</v>
      </c>
      <c r="I271" s="28" t="str">
        <f>'Copy of INCEXC B'!E271</f>
        <v>Exclude</v>
      </c>
      <c r="J271" s="28" t="b">
        <f t="shared" si="2"/>
        <v>1</v>
      </c>
      <c r="K271" s="28" t="b">
        <f t="shared" si="3"/>
        <v>0</v>
      </c>
    </row>
    <row r="272" hidden="1">
      <c r="A272" s="35" t="str">
        <f>'Copy of INCEXC A'!A272</f>
        <v>https://doi.org/10.1145/3757886</v>
      </c>
      <c r="B272" s="35" t="str">
        <f>'Copy of INCEXC B'!A272</f>
        <v>https://doi.org/10.1145/3757886</v>
      </c>
      <c r="C272" s="28" t="b">
        <f t="shared" si="1"/>
        <v>1</v>
      </c>
      <c r="E272" s="28" t="str">
        <f>'Copy of INCEXC A'!C272</f>
        <v>When Our Kid Has a Human and an AI Lover: A Conversation with Alexandra Diening on the Future of Relationships</v>
      </c>
      <c r="F272" s="28" t="str">
        <f>'Copy of INCEXC A'!D272</f>
        <v>Jonathan</v>
      </c>
      <c r="G272" s="28" t="str">
        <f>'Copy of INCEXC B'!D272</f>
        <v>Taylor</v>
      </c>
      <c r="H272" s="28" t="str">
        <f>'Copy of INCEXC A'!E272</f>
        <v/>
      </c>
      <c r="I272" s="28" t="str">
        <f>'Copy of INCEXC B'!E272</f>
        <v>Exclude</v>
      </c>
      <c r="J272" s="28" t="b">
        <f t="shared" si="2"/>
        <v>0</v>
      </c>
      <c r="K272" s="28" t="b">
        <f t="shared" si="3"/>
        <v>0</v>
      </c>
    </row>
    <row r="273" hidden="1">
      <c r="A273" s="35" t="str">
        <f>'Copy of INCEXC A'!A273</f>
        <v>https://doi.org/10.1145/3758871.3758905</v>
      </c>
      <c r="B273" s="35" t="str">
        <f>'Copy of INCEXC B'!A273</f>
        <v>https://doi.org/10.1145/3758871.3758905</v>
      </c>
      <c r="C273" s="28" t="b">
        <f t="shared" si="1"/>
        <v>1</v>
      </c>
      <c r="E273" s="28" t="str">
        <f>'Copy of INCEXC A'!C273</f>
        <v>Analysing Absurd Style in Chinese Social Media Language: a Framework Leveraging Prompt-Based Large Language Models and Interactive Visualization</v>
      </c>
      <c r="F273" s="28" t="str">
        <f>'Copy of INCEXC A'!D273</f>
        <v>Jonathan</v>
      </c>
      <c r="G273" s="28" t="str">
        <f>'Copy of INCEXC B'!D273</f>
        <v>Ceren</v>
      </c>
      <c r="H273" s="28" t="str">
        <f>'Copy of INCEXC A'!E273</f>
        <v/>
      </c>
      <c r="I273" s="28" t="str">
        <f>'Copy of INCEXC B'!E273</f>
        <v/>
      </c>
      <c r="J273" s="28" t="b">
        <f t="shared" si="2"/>
        <v>1</v>
      </c>
      <c r="K273" s="28" t="b">
        <f t="shared" si="3"/>
        <v>0</v>
      </c>
    </row>
    <row r="274" hidden="1">
      <c r="A274" s="35" t="str">
        <f>'Copy of INCEXC A'!A274</f>
        <v>https://doi.org/10.1145/3762989</v>
      </c>
      <c r="B274" s="35" t="str">
        <f>'Copy of INCEXC B'!A274</f>
        <v>https://doi.org/10.1145/3762989</v>
      </c>
      <c r="C274" s="28" t="b">
        <f t="shared" si="1"/>
        <v>1</v>
      </c>
      <c r="E274" s="28" t="str">
        <f>'Copy of INCEXC A'!C274</f>
        <v>Unsolved Problems in MLOps: Either find a better paradigm or fix the ones we're using now.</v>
      </c>
      <c r="F274" s="28" t="str">
        <f>'Copy of INCEXC A'!D274</f>
        <v>Marilyn</v>
      </c>
      <c r="G274" s="28" t="str">
        <f>'Copy of INCEXC B'!D274</f>
        <v>Taylor</v>
      </c>
      <c r="H274" s="28" t="str">
        <f>'Copy of INCEXC A'!E274</f>
        <v>Exclude</v>
      </c>
      <c r="I274" s="28" t="str">
        <f>'Copy of INCEXC B'!E274</f>
        <v>Exclude</v>
      </c>
      <c r="J274" s="28" t="b">
        <f t="shared" si="2"/>
        <v>1</v>
      </c>
      <c r="K274" s="28" t="b">
        <f t="shared" si="3"/>
        <v>0</v>
      </c>
    </row>
    <row r="275" hidden="1">
      <c r="A275" s="35" t="str">
        <f>'Copy of INCEXC A'!A275</f>
        <v>https://doi.org/10.1145/3764687.3764716</v>
      </c>
      <c r="B275" s="35" t="str">
        <f>'Copy of INCEXC B'!A275</f>
        <v>https://doi.org/10.1145/3764687.3764716</v>
      </c>
      <c r="C275" s="28" t="b">
        <f t="shared" si="1"/>
        <v>1</v>
      </c>
      <c r="E275" s="28" t="str">
        <f>'Copy of INCEXC A'!C275</f>
        <v>Co-creating Vocal Imaginaries with Conversational AIs</v>
      </c>
      <c r="F275" s="28" t="str">
        <f>'Copy of INCEXC A'!D275</f>
        <v>Kaiser</v>
      </c>
      <c r="G275" s="28" t="str">
        <f>'Copy of INCEXC B'!D275</f>
        <v>Ceren</v>
      </c>
      <c r="H275" s="28" t="str">
        <f>'Copy of INCEXC A'!E275</f>
        <v>Exclude</v>
      </c>
      <c r="I275" s="28" t="str">
        <f>'Copy of INCEXC B'!E275</f>
        <v/>
      </c>
      <c r="J275" s="28" t="b">
        <f t="shared" si="2"/>
        <v>0</v>
      </c>
      <c r="K275" s="28" t="b">
        <f t="shared" si="3"/>
        <v>0</v>
      </c>
    </row>
    <row r="276" hidden="1">
      <c r="A276" s="35" t="str">
        <f>'Copy of INCEXC A'!A276</f>
        <v>https://doi.org/10.1145/3765766.3765852</v>
      </c>
      <c r="B276" s="35" t="str">
        <f>'Copy of INCEXC B'!A276</f>
        <v>https://doi.org/10.1145/3765766.3765852</v>
      </c>
      <c r="C276" s="28" t="b">
        <f t="shared" si="1"/>
        <v>1</v>
      </c>
      <c r="E276" s="28" t="str">
        <f>'Copy of INCEXC A'!C276</f>
        <v>How Do People Evaluate Their Interactions with AI: A Qualitative Study of Emotionally Motivated AI Use and User Evaluation</v>
      </c>
      <c r="F276" s="28" t="str">
        <f>'Copy of INCEXC A'!D276</f>
        <v>Jonathan</v>
      </c>
      <c r="G276" s="28" t="str">
        <f>'Copy of INCEXC B'!D276</f>
        <v>Ceren</v>
      </c>
      <c r="H276" s="28" t="str">
        <f>'Copy of INCEXC A'!E276</f>
        <v/>
      </c>
      <c r="I276" s="28" t="str">
        <f>'Copy of INCEXC B'!E276</f>
        <v/>
      </c>
      <c r="J276" s="28" t="b">
        <f t="shared" si="2"/>
        <v>1</v>
      </c>
      <c r="K276" s="28" t="b">
        <f t="shared" si="3"/>
        <v>0</v>
      </c>
    </row>
    <row r="277" hidden="1">
      <c r="A277" s="35" t="str">
        <f>'Copy of INCEXC A'!A277</f>
        <v>https://doi.org/10.1145/3767154</v>
      </c>
      <c r="B277" s="35" t="str">
        <f>'Copy of INCEXC B'!A277</f>
        <v>https://doi.org/10.1145/3767154</v>
      </c>
      <c r="C277" s="28" t="b">
        <f t="shared" si="1"/>
        <v>1</v>
      </c>
      <c r="E277" s="28" t="str">
        <f>'Copy of INCEXC A'!C277</f>
        <v>Innovative Approaches to Addressing Challenges in 3D Macro Placement</v>
      </c>
      <c r="F277" s="28" t="str">
        <f>'Copy of INCEXC A'!D277</f>
        <v>Marilyn</v>
      </c>
      <c r="G277" s="28" t="str">
        <f>'Copy of INCEXC B'!D277</f>
        <v>Ceren</v>
      </c>
      <c r="H277" s="28" t="str">
        <f>'Copy of INCEXC A'!E277</f>
        <v>Exclude</v>
      </c>
      <c r="I277" s="28" t="str">
        <f>'Copy of INCEXC B'!E277</f>
        <v/>
      </c>
      <c r="J277" s="28" t="b">
        <f t="shared" si="2"/>
        <v>0</v>
      </c>
      <c r="K277" s="28" t="b">
        <f t="shared" si="3"/>
        <v>0</v>
      </c>
    </row>
    <row r="278" hidden="1">
      <c r="A278" s="35" t="str">
        <f>'Copy of INCEXC A'!A278</f>
        <v>https://doi.org/10.1145/3767695.3769511</v>
      </c>
      <c r="B278" s="35" t="str">
        <f>'Copy of INCEXC B'!A278</f>
        <v>https://doi.org/10.1145/3767695.3769511</v>
      </c>
      <c r="C278" s="28" t="b">
        <f t="shared" si="1"/>
        <v>1</v>
      </c>
      <c r="E278" s="28" t="str">
        <f>'Copy of INCEXC A'!C278</f>
        <v>Synthetic Prefixes to Mitigate Bias in Real-Time Neural Query Autocomplete</v>
      </c>
      <c r="F278" s="28" t="str">
        <f>'Copy of INCEXC A'!D278</f>
        <v>Marilyn</v>
      </c>
      <c r="G278" s="28" t="str">
        <f>'Copy of INCEXC B'!D278</f>
        <v>Danni</v>
      </c>
      <c r="H278" s="28" t="str">
        <f>'Copy of INCEXC A'!E278</f>
        <v>Exclude</v>
      </c>
      <c r="I278" s="28" t="str">
        <f>'Copy of INCEXC B'!E278</f>
        <v>Exclude</v>
      </c>
      <c r="J278" s="28" t="b">
        <f t="shared" si="2"/>
        <v>1</v>
      </c>
      <c r="K278" s="28" t="b">
        <f t="shared" si="3"/>
        <v>0</v>
      </c>
    </row>
    <row r="279" hidden="1">
      <c r="A279" s="35" t="str">
        <f>'Copy of INCEXC A'!A279</f>
        <v>https://doi.org/10.1145/3768165</v>
      </c>
      <c r="B279" s="35" t="str">
        <f>'Copy of INCEXC B'!A279</f>
        <v>https://doi.org/10.1145/3768165</v>
      </c>
      <c r="C279" s="28" t="b">
        <f t="shared" si="1"/>
        <v>1</v>
      </c>
      <c r="E279" s="28" t="str">
        <f>'Copy of INCEXC A'!C279</f>
        <v>A Comprehensive Survey of Small Language Models in the Era of Large Language Models: Techniques</v>
      </c>
      <c r="F279" s="28" t="str">
        <f>'Copy of INCEXC A'!D279</f>
        <v>Marilyn</v>
      </c>
      <c r="G279" s="28" t="str">
        <f>'Copy of INCEXC B'!D279</f>
        <v>Danni</v>
      </c>
      <c r="H279" s="28" t="str">
        <f>'Copy of INCEXC A'!E279</f>
        <v>Exclude</v>
      </c>
      <c r="I279" s="28" t="str">
        <f>'Copy of INCEXC B'!E279</f>
        <v>Exclude</v>
      </c>
      <c r="J279" s="28" t="b">
        <f t="shared" si="2"/>
        <v>1</v>
      </c>
      <c r="K279" s="28" t="b">
        <f t="shared" si="3"/>
        <v>0</v>
      </c>
    </row>
    <row r="280" hidden="1">
      <c r="A280" s="35" t="str">
        <f>'Copy of INCEXC A'!A280</f>
        <v>https://doi.org/10.1145/3769126.3769241</v>
      </c>
      <c r="B280" s="35" t="str">
        <f>'Copy of INCEXC B'!A280</f>
        <v>https://doi.org/10.1145/3769126.3769241</v>
      </c>
      <c r="C280" s="28" t="b">
        <f t="shared" si="1"/>
        <v>1</v>
      </c>
      <c r="E280" s="28" t="str">
        <f>'Copy of INCEXC A'!C280</f>
        <v>From Legal Text to Tech Specs: Generative AI’s Interpretation of Consent in Privacy Law</v>
      </c>
      <c r="F280" s="28" t="str">
        <f>'Copy of INCEXC A'!D280</f>
        <v>Marilyn</v>
      </c>
      <c r="G280" s="28" t="str">
        <f>'Copy of INCEXC B'!D280</f>
        <v>Danni</v>
      </c>
      <c r="H280" s="28" t="str">
        <f>'Copy of INCEXC A'!E280</f>
        <v>Exclude</v>
      </c>
      <c r="I280" s="28" t="str">
        <f>'Copy of INCEXC B'!E280</f>
        <v>Exclude</v>
      </c>
      <c r="J280" s="28" t="b">
        <f t="shared" si="2"/>
        <v>1</v>
      </c>
      <c r="K280" s="28" t="b">
        <f t="shared" si="3"/>
        <v>0</v>
      </c>
    </row>
    <row r="281" hidden="1">
      <c r="A281" s="35" t="str">
        <f>'Copy of INCEXC A'!A281</f>
        <v>https://doi.org/10.1145/3769686</v>
      </c>
      <c r="B281" s="35" t="str">
        <f>'Copy of INCEXC B'!A281</f>
        <v>https://doi.org/10.1145/3769686</v>
      </c>
      <c r="C281" s="28" t="b">
        <f t="shared" si="1"/>
        <v>1</v>
      </c>
      <c r="E281" s="28" t="str">
        <f>'Copy of INCEXC A'!C281</f>
        <v>Rolling in the Deep of Cognitive and AI Biases</v>
      </c>
      <c r="F281" s="28" t="str">
        <f>'Copy of INCEXC A'!D281</f>
        <v>Jonathan</v>
      </c>
      <c r="G281" s="28" t="str">
        <f>'Copy of INCEXC B'!D281</f>
        <v>Danni</v>
      </c>
      <c r="H281" s="28" t="str">
        <f>'Copy of INCEXC A'!E281</f>
        <v/>
      </c>
      <c r="I281" s="28" t="str">
        <f>'Copy of INCEXC B'!E281</f>
        <v>Exclude</v>
      </c>
      <c r="J281" s="28" t="b">
        <f t="shared" si="2"/>
        <v>0</v>
      </c>
      <c r="K281" s="28" t="b">
        <f t="shared" si="3"/>
        <v>0</v>
      </c>
    </row>
    <row r="282" hidden="1">
      <c r="A282" s="35" t="str">
        <f>'Copy of INCEXC A'!A282</f>
        <v>https://doi.org/10.1145/3769689</v>
      </c>
      <c r="B282" s="35" t="str">
        <f>'Copy of INCEXC B'!A282</f>
        <v>https://doi.org/10.1145/3769689</v>
      </c>
      <c r="C282" s="28" t="b">
        <f t="shared" si="1"/>
        <v>1</v>
      </c>
      <c r="E282" s="28" t="str">
        <f>'Copy of INCEXC A'!C282</f>
        <v>Communication Bias in Large Language Models: A Regulatory Perspective</v>
      </c>
      <c r="F282" s="28" t="str">
        <f>'Copy of INCEXC A'!D282</f>
        <v>Marilyn</v>
      </c>
      <c r="G282" s="28" t="str">
        <f>'Copy of INCEXC B'!D282</f>
        <v>Ceren</v>
      </c>
      <c r="H282" s="28" t="str">
        <f>'Copy of INCEXC A'!E282</f>
        <v>Exclude</v>
      </c>
      <c r="I282" s="28" t="str">
        <f>'Copy of INCEXC B'!E282</f>
        <v/>
      </c>
      <c r="J282" s="28" t="b">
        <f t="shared" si="2"/>
        <v>0</v>
      </c>
      <c r="K282" s="28" t="b">
        <f t="shared" si="3"/>
        <v>0</v>
      </c>
    </row>
    <row r="283" hidden="1">
      <c r="A283" s="35" t="str">
        <f>'Copy of INCEXC A'!A283</f>
        <v>https://doi.org/10.1145/3770749</v>
      </c>
      <c r="B283" s="35" t="str">
        <f>'Copy of INCEXC B'!A283</f>
        <v>https://doi.org/10.1145/3770749</v>
      </c>
      <c r="C283" s="28" t="b">
        <f t="shared" si="1"/>
        <v>1</v>
      </c>
      <c r="E283" s="28" t="str">
        <f>'Copy of INCEXC A'!C283</f>
        <v>AI Alignment: A Contemporary Survey</v>
      </c>
      <c r="F283" s="28" t="str">
        <f>'Copy of INCEXC A'!D283</f>
        <v>Marilyn</v>
      </c>
      <c r="G283" s="28" t="str">
        <f>'Copy of INCEXC B'!D283</f>
        <v>Ceren</v>
      </c>
      <c r="H283" s="28" t="str">
        <f>'Copy of INCEXC A'!E283</f>
        <v>Exclude</v>
      </c>
      <c r="I283" s="28" t="str">
        <f>'Copy of INCEXC B'!E283</f>
        <v/>
      </c>
      <c r="J283" s="28" t="b">
        <f t="shared" si="2"/>
        <v>0</v>
      </c>
      <c r="K283" s="28" t="b">
        <f t="shared" si="3"/>
        <v>0</v>
      </c>
    </row>
    <row r="284" hidden="1">
      <c r="A284" s="35" t="str">
        <f>'Copy of INCEXC A'!A284</f>
        <v>https://doi.org/10.1145/3772318.3790271</v>
      </c>
      <c r="B284" s="35" t="str">
        <f>'Copy of INCEXC B'!A284</f>
        <v>https://doi.org/10.1145/3772318.3790271</v>
      </c>
      <c r="C284" s="28" t="b">
        <f t="shared" si="1"/>
        <v>1</v>
      </c>
      <c r="E284" s="28" t="str">
        <f>'Copy of INCEXC A'!C284</f>
        <v>LLM-box vs. Thinking-box: Designing for Deliberate User Engagement with Distorted Information in Conversational Search</v>
      </c>
      <c r="F284" s="28" t="str">
        <f>'Copy of INCEXC A'!D284</f>
        <v>Jonathan</v>
      </c>
      <c r="G284" s="28" t="str">
        <f>'Copy of INCEXC B'!D284</f>
        <v>Ceren</v>
      </c>
      <c r="H284" s="28" t="str">
        <f>'Copy of INCEXC A'!E284</f>
        <v/>
      </c>
      <c r="I284" s="28" t="str">
        <f>'Copy of INCEXC B'!E284</f>
        <v/>
      </c>
      <c r="J284" s="28" t="b">
        <f t="shared" si="2"/>
        <v>1</v>
      </c>
      <c r="K284" s="28" t="b">
        <f t="shared" si="3"/>
        <v>0</v>
      </c>
    </row>
    <row r="285" hidden="1">
      <c r="A285" s="35" t="str">
        <f>'Copy of INCEXC A'!A285</f>
        <v>https://doi.org/10.1145/3772318.3790279</v>
      </c>
      <c r="B285" s="35" t="str">
        <f>'Copy of INCEXC B'!A285</f>
        <v>https://doi.org/10.1145/3772318.3790279</v>
      </c>
      <c r="C285" s="28" t="b">
        <f t="shared" si="1"/>
        <v>1</v>
      </c>
      <c r="E285" s="28" t="str">
        <f>'Copy of INCEXC A'!C285</f>
        <v>Futuring Social Assemblages: How Enmeshing AIs into Social Life Challenges the Individual and the Interpersonal</v>
      </c>
      <c r="F285" s="28" t="str">
        <f>'Copy of INCEXC A'!D285</f>
        <v>Jonathan</v>
      </c>
      <c r="G285" s="28" t="str">
        <f>'Copy of INCEXC B'!D285</f>
        <v>Danni</v>
      </c>
      <c r="H285" s="28" t="str">
        <f>'Copy of INCEXC A'!E285</f>
        <v/>
      </c>
      <c r="I285" s="28" t="str">
        <f>'Copy of INCEXC B'!E285</f>
        <v>Include</v>
      </c>
      <c r="J285" s="28" t="b">
        <f t="shared" si="2"/>
        <v>0</v>
      </c>
      <c r="K285" s="28" t="b">
        <f t="shared" si="3"/>
        <v>0</v>
      </c>
    </row>
    <row r="286" hidden="1">
      <c r="A286" s="35" t="str">
        <f>'Copy of INCEXC A'!A286</f>
        <v>https://doi.org/10.1145/3772318.3790292</v>
      </c>
      <c r="B286" s="35" t="str">
        <f>'Copy of INCEXC B'!A286</f>
        <v>https://doi.org/10.1145/3772318.3790292</v>
      </c>
      <c r="C286" s="28" t="b">
        <f t="shared" si="1"/>
        <v>1</v>
      </c>
      <c r="E286" s="28" t="str">
        <f>'Copy of INCEXC A'!C286</f>
        <v>From Crafting Text to Crafting Thought: Grounding AI Writing Support to Writing Center Pedagogy</v>
      </c>
      <c r="F286" s="28" t="str">
        <f>'Copy of INCEXC A'!D286</f>
        <v>Marilyn</v>
      </c>
      <c r="G286" s="28" t="str">
        <f>'Copy of INCEXC B'!D286</f>
        <v>Ceren</v>
      </c>
      <c r="H286" s="28" t="str">
        <f>'Copy of INCEXC A'!E286</f>
        <v>Exclude</v>
      </c>
      <c r="I286" s="28" t="str">
        <f>'Copy of INCEXC B'!E286</f>
        <v/>
      </c>
      <c r="J286" s="28" t="b">
        <f t="shared" si="2"/>
        <v>0</v>
      </c>
      <c r="K286" s="28" t="b">
        <f t="shared" si="3"/>
        <v>0</v>
      </c>
    </row>
    <row r="287" hidden="1">
      <c r="A287" s="35" t="str">
        <f>'Copy of INCEXC A'!A287</f>
        <v>https://doi.org/10.1145/3772318.3790303</v>
      </c>
      <c r="B287" s="35" t="str">
        <f>'Copy of INCEXC B'!A287</f>
        <v>https://doi.org/10.1145/3772318.3790303</v>
      </c>
      <c r="C287" s="28" t="b">
        <f t="shared" si="1"/>
        <v>1</v>
      </c>
      <c r="E287" s="28" t="str">
        <f>'Copy of INCEXC A'!C287</f>
        <v>When Workout Buddies Are Virtual: AI Agents and Human Peers in a Longitudinal Physical Activity Study</v>
      </c>
      <c r="F287" s="28" t="str">
        <f>'Copy of INCEXC A'!D287</f>
        <v>Marilyn</v>
      </c>
      <c r="G287" s="28" t="str">
        <f>'Copy of INCEXC B'!D287</f>
        <v>Ceren</v>
      </c>
      <c r="H287" s="28" t="str">
        <f>'Copy of INCEXC A'!E287</f>
        <v>Exclude</v>
      </c>
      <c r="I287" s="28" t="str">
        <f>'Copy of INCEXC B'!E287</f>
        <v>Exclude</v>
      </c>
      <c r="J287" s="28" t="b">
        <f t="shared" si="2"/>
        <v>1</v>
      </c>
      <c r="K287" s="28" t="b">
        <f t="shared" si="3"/>
        <v>0</v>
      </c>
    </row>
    <row r="288">
      <c r="A288" s="35" t="str">
        <f>'Copy of INCEXC A'!A288</f>
        <v>https://doi.org/10.1145/3772318.3790332</v>
      </c>
      <c r="B288" s="35" t="str">
        <f>'Copy of INCEXC B'!A288</f>
        <v>https://doi.org/10.1145/3772318.3790332</v>
      </c>
      <c r="C288" s="28" t="b">
        <f t="shared" si="1"/>
        <v>1</v>
      </c>
      <c r="D288" s="28" t="str">
        <f>'INCEXC A'!B281</f>
        <v>10.1145/3769686</v>
      </c>
      <c r="E288" s="28" t="str">
        <f>'Copy of INCEXC A'!C288</f>
        <v>Behavioral Indicators of Overreliance During Interaction with Conversational Language Models</v>
      </c>
      <c r="F288" s="28" t="str">
        <f>'Copy of INCEXC A'!D288</f>
        <v>Kaiser</v>
      </c>
      <c r="G288" s="28" t="str">
        <f>'Copy of INCEXC B'!D288</f>
        <v>Taylor</v>
      </c>
      <c r="H288" s="28" t="str">
        <f>'Copy of INCEXC A'!E288</f>
        <v>Include</v>
      </c>
      <c r="I288" s="28" t="str">
        <f>'Copy of INCEXC B'!E288</f>
        <v>Include</v>
      </c>
      <c r="J288" s="28" t="b">
        <f t="shared" si="2"/>
        <v>1</v>
      </c>
      <c r="K288" s="28" t="b">
        <f t="shared" si="3"/>
        <v>1</v>
      </c>
    </row>
    <row r="289" hidden="1">
      <c r="A289" s="35" t="str">
        <f>'Copy of INCEXC A'!A289</f>
        <v>https://doi.org/10.1145/3772318.3790340</v>
      </c>
      <c r="B289" s="35" t="str">
        <f>'Copy of INCEXC B'!A289</f>
        <v>https://doi.org/10.1145/3772318.3790340</v>
      </c>
      <c r="C289" s="28" t="b">
        <f t="shared" si="1"/>
        <v>1</v>
      </c>
      <c r="E289" s="28" t="str">
        <f>'Copy of INCEXC A'!C289</f>
        <v>Polite But Boring? Trade-offs Between Engagement and Psychological Reactance to Chatbot Feedback Styles</v>
      </c>
      <c r="F289" s="28" t="str">
        <f>'Copy of INCEXC A'!D289</f>
        <v>Jonathan</v>
      </c>
      <c r="G289" s="28" t="str">
        <f>'Copy of INCEXC B'!D289</f>
        <v>Danni</v>
      </c>
      <c r="H289" s="28" t="str">
        <f>'Copy of INCEXC A'!E289</f>
        <v/>
      </c>
      <c r="I289" s="28" t="str">
        <f>'Copy of INCEXC B'!E289</f>
        <v>Exclude</v>
      </c>
      <c r="J289" s="28" t="b">
        <f t="shared" si="2"/>
        <v>0</v>
      </c>
      <c r="K289" s="28" t="b">
        <f t="shared" si="3"/>
        <v>0</v>
      </c>
    </row>
    <row r="290" hidden="1">
      <c r="A290" s="35" t="str">
        <f>'Copy of INCEXC A'!A290</f>
        <v>https://doi.org/10.1145/3772318.3790358</v>
      </c>
      <c r="B290" s="35" t="str">
        <f>'Copy of INCEXC B'!A290</f>
        <v>https://doi.org/10.1145/3772318.3790358</v>
      </c>
      <c r="C290" s="28" t="b">
        <f t="shared" si="1"/>
        <v>1</v>
      </c>
      <c r="E290" s="28" t="str">
        <f>'Copy of INCEXC A'!C290</f>
        <v>From Overload to Convergence: Supporting Multi-Issue Human–AI Negotiation with Bayesian Visualization</v>
      </c>
      <c r="F290" s="28" t="str">
        <f>'Copy of INCEXC A'!D290</f>
        <v>Marilyn</v>
      </c>
      <c r="G290" s="28" t="str">
        <f>'Copy of INCEXC B'!D290</f>
        <v>Taylor</v>
      </c>
      <c r="H290" s="28" t="str">
        <f>'Copy of INCEXC A'!E290</f>
        <v>Exclude</v>
      </c>
      <c r="I290" s="28" t="str">
        <f>'Copy of INCEXC B'!E290</f>
        <v>Exclude</v>
      </c>
      <c r="J290" s="28" t="b">
        <f t="shared" si="2"/>
        <v>1</v>
      </c>
      <c r="K290" s="28" t="b">
        <f t="shared" si="3"/>
        <v>0</v>
      </c>
    </row>
    <row r="291" hidden="1">
      <c r="A291" s="35" t="str">
        <f>'Copy of INCEXC A'!A291</f>
        <v>https://doi.org/10.1145/3772318.3790385</v>
      </c>
      <c r="B291" s="35" t="str">
        <f>'Copy of INCEXC B'!A291</f>
        <v>https://doi.org/10.1145/3772318.3790385</v>
      </c>
      <c r="C291" s="28" t="b">
        <f t="shared" si="1"/>
        <v>1</v>
      </c>
      <c r="E291" s="28" t="str">
        <f>'Copy of INCEXC A'!C291</f>
        <v>Understanding Compliance and Conversion Dynamics in Multi-Agent Collectives</v>
      </c>
      <c r="F291" s="28" t="str">
        <f>'Copy of INCEXC A'!D291</f>
        <v>Marilyn</v>
      </c>
      <c r="G291" s="28" t="str">
        <f>'Copy of INCEXC B'!D291</f>
        <v>Taylor</v>
      </c>
      <c r="H291" s="28" t="str">
        <f>'Copy of INCEXC A'!E291</f>
        <v>Exclude</v>
      </c>
      <c r="I291" s="28" t="str">
        <f>'Copy of INCEXC B'!E291</f>
        <v>Include</v>
      </c>
      <c r="J291" s="28" t="b">
        <f t="shared" si="2"/>
        <v>0</v>
      </c>
      <c r="K291" s="28" t="b">
        <f t="shared" si="3"/>
        <v>0</v>
      </c>
    </row>
    <row r="292" hidden="1">
      <c r="A292" s="35" t="str">
        <f>'Copy of INCEXC A'!A292</f>
        <v>https://doi.org/10.1145/3772318.3790388</v>
      </c>
      <c r="B292" s="35" t="str">
        <f>'Copy of INCEXC B'!A292</f>
        <v>https://doi.org/10.1145/3772318.3790388</v>
      </c>
      <c r="C292" s="28" t="b">
        <f t="shared" si="1"/>
        <v>1</v>
      </c>
      <c r="E292" s="28" t="str">
        <f>'Copy of INCEXC A'!C292</f>
        <v>Vibe Check: Understanding the Effects of LLM-Based Conversational Agents' Personality and Alignment on User Perceptions in Goal-Oriented Tasks</v>
      </c>
      <c r="F292" s="28" t="str">
        <f>'Copy of INCEXC A'!D292</f>
        <v>Jonathan</v>
      </c>
      <c r="G292" s="28" t="str">
        <f>'Copy of INCEXC B'!D292</f>
        <v>Ceren</v>
      </c>
      <c r="H292" s="28" t="str">
        <f>'Copy of INCEXC A'!E292</f>
        <v/>
      </c>
      <c r="I292" s="28" t="str">
        <f>'Copy of INCEXC B'!E292</f>
        <v/>
      </c>
      <c r="J292" s="28" t="b">
        <f t="shared" si="2"/>
        <v>1</v>
      </c>
      <c r="K292" s="28" t="b">
        <f t="shared" si="3"/>
        <v>0</v>
      </c>
    </row>
    <row r="293" hidden="1">
      <c r="A293" s="35" t="str">
        <f>'Copy of INCEXC A'!A293</f>
        <v>https://doi.org/10.1145/3772318.3790456</v>
      </c>
      <c r="B293" s="35" t="str">
        <f>'Copy of INCEXC B'!A293</f>
        <v>https://doi.org/10.1145/3772318.3790456</v>
      </c>
      <c r="C293" s="28" t="b">
        <f t="shared" si="1"/>
        <v>1</v>
      </c>
      <c r="E293" s="28" t="str">
        <f>'Copy of INCEXC A'!C293</f>
        <v>ReVisor: A Reflective Design Tool for Instructional Designers to Improve Teacher Training Materials via AI Discussions</v>
      </c>
      <c r="F293" s="28" t="str">
        <f>'Copy of INCEXC A'!D293</f>
        <v>Marilyn</v>
      </c>
      <c r="G293" s="28" t="str">
        <f>'Copy of INCEXC B'!D293</f>
        <v>Ceren</v>
      </c>
      <c r="H293" s="28" t="str">
        <f>'Copy of INCEXC A'!E293</f>
        <v>Exclude</v>
      </c>
      <c r="I293" s="28" t="str">
        <f>'Copy of INCEXC B'!E293</f>
        <v/>
      </c>
      <c r="J293" s="28" t="b">
        <f t="shared" si="2"/>
        <v>0</v>
      </c>
      <c r="K293" s="28" t="b">
        <f t="shared" si="3"/>
        <v>0</v>
      </c>
    </row>
    <row r="294" hidden="1">
      <c r="A294" s="35" t="str">
        <f>'Copy of INCEXC A'!A294</f>
        <v>https://doi.org/10.1145/3772318.3790461</v>
      </c>
      <c r="B294" s="35" t="str">
        <f>'Copy of INCEXC B'!A294</f>
        <v>https://doi.org/10.1145/3772318.3790461</v>
      </c>
      <c r="C294" s="28" t="b">
        <f t="shared" si="1"/>
        <v>1</v>
      </c>
      <c r="E294" s="28" t="str">
        <f>'Copy of INCEXC A'!C294</f>
        <v>Rememo: A Research-through-Design Inquiry Towards an AI-in-the-loop Therapist’s Tool for Dementia Reminiscence</v>
      </c>
      <c r="F294" s="28" t="str">
        <f>'Copy of INCEXC A'!D294</f>
        <v>Jonathan</v>
      </c>
      <c r="G294" s="28" t="str">
        <f>'Copy of INCEXC B'!D294</f>
        <v>Danni</v>
      </c>
      <c r="H294" s="28" t="str">
        <f>'Copy of INCEXC A'!E294</f>
        <v/>
      </c>
      <c r="I294" s="28" t="str">
        <f>'Copy of INCEXC B'!E294</f>
        <v>Exclude</v>
      </c>
      <c r="J294" s="28" t="b">
        <f t="shared" si="2"/>
        <v>0</v>
      </c>
      <c r="K294" s="28" t="b">
        <f t="shared" si="3"/>
        <v>0</v>
      </c>
    </row>
    <row r="295" hidden="1">
      <c r="A295" s="35" t="str">
        <f>'Copy of INCEXC A'!A295</f>
        <v>https://doi.org/10.1145/3772318.3790529</v>
      </c>
      <c r="B295" s="35" t="str">
        <f>'Copy of INCEXC B'!A295</f>
        <v>https://doi.org/10.1145/3772318.3790529</v>
      </c>
      <c r="C295" s="28" t="b">
        <f t="shared" si="1"/>
        <v>1</v>
      </c>
      <c r="E295" s="28" t="str">
        <f>'Copy of INCEXC A'!C295</f>
        <v>MIND: Empowering Mental Health Clinicians with Multimodal Data Insights through a Narrative Dashboard</v>
      </c>
      <c r="F295" s="28" t="str">
        <f>'Copy of INCEXC A'!D295</f>
        <v>Jonathan</v>
      </c>
      <c r="G295" s="28" t="str">
        <f>'Copy of INCEXC B'!D295</f>
        <v>Danni</v>
      </c>
      <c r="H295" s="28" t="str">
        <f>'Copy of INCEXC A'!E295</f>
        <v/>
      </c>
      <c r="I295" s="28" t="str">
        <f>'Copy of INCEXC B'!E295</f>
        <v>Exclude</v>
      </c>
      <c r="J295" s="28" t="b">
        <f t="shared" si="2"/>
        <v>0</v>
      </c>
      <c r="K295" s="28" t="b">
        <f t="shared" si="3"/>
        <v>0</v>
      </c>
    </row>
    <row r="296" hidden="1">
      <c r="A296" s="35" t="str">
        <f>'Copy of INCEXC A'!A296</f>
        <v>https://doi.org/10.1145/3772318.3790586</v>
      </c>
      <c r="B296" s="35" t="str">
        <f>'Copy of INCEXC B'!A296</f>
        <v>https://doi.org/10.1145/3772318.3790586</v>
      </c>
      <c r="C296" s="28" t="b">
        <f t="shared" si="1"/>
        <v>1</v>
      </c>
      <c r="E296" s="28" t="str">
        <f>'Copy of INCEXC A'!C296</f>
        <v>“Tinged with Heartbreak”: An Ethnographic Account of Navigating Autistic Loneliness and the Fragile Promise of AI Companionship: “Tinged with Heartbreak”: “Tinged with Heartbreak”</v>
      </c>
      <c r="F296" s="28" t="str">
        <f>'Copy of INCEXC A'!D296</f>
        <v>Marilyn</v>
      </c>
      <c r="G296" s="28" t="str">
        <f>'Copy of INCEXC B'!D296</f>
        <v>Ceren</v>
      </c>
      <c r="H296" s="28" t="str">
        <f>'Copy of INCEXC A'!E296</f>
        <v>Exclude</v>
      </c>
      <c r="I296" s="28" t="str">
        <f>'Copy of INCEXC B'!E296</f>
        <v/>
      </c>
      <c r="J296" s="28" t="b">
        <f t="shared" si="2"/>
        <v>0</v>
      </c>
      <c r="K296" s="28" t="b">
        <f t="shared" si="3"/>
        <v>0</v>
      </c>
    </row>
    <row r="297" hidden="1">
      <c r="A297" s="35" t="str">
        <f>'Copy of INCEXC A'!A297</f>
        <v>https://doi.org/10.1145/3772318.3790685</v>
      </c>
      <c r="B297" s="35" t="str">
        <f>'Copy of INCEXC B'!A297</f>
        <v>https://doi.org/10.1145/3772318.3790685</v>
      </c>
      <c r="C297" s="28" t="b">
        <f t="shared" si="1"/>
        <v>1</v>
      </c>
      <c r="E297" s="28" t="str">
        <f>'Copy of INCEXC A'!C297</f>
        <v>PuppetChat: Fostering Intimate Communication through Bidirectional Actions and Micronarratives</v>
      </c>
      <c r="F297" s="28" t="str">
        <f>'Copy of INCEXC A'!D297</f>
        <v>Jonathan</v>
      </c>
      <c r="G297" s="28" t="str">
        <f>'Copy of INCEXC B'!D297</f>
        <v>Taylor</v>
      </c>
      <c r="H297" s="28" t="str">
        <f>'Copy of INCEXC A'!E297</f>
        <v/>
      </c>
      <c r="I297" s="28" t="str">
        <f>'Copy of INCEXC B'!E297</f>
        <v>Exclude</v>
      </c>
      <c r="J297" s="28" t="b">
        <f t="shared" si="2"/>
        <v>0</v>
      </c>
      <c r="K297" s="28" t="b">
        <f t="shared" si="3"/>
        <v>0</v>
      </c>
    </row>
    <row r="298" hidden="1">
      <c r="A298" s="35" t="str">
        <f>'Copy of INCEXC A'!A298</f>
        <v>https://doi.org/10.1145/3772318.3790697</v>
      </c>
      <c r="B298" s="35" t="str">
        <f>'Copy of INCEXC B'!A298</f>
        <v>https://doi.org/10.1145/3772318.3790697</v>
      </c>
      <c r="C298" s="28" t="b">
        <f t="shared" si="1"/>
        <v>1</v>
      </c>
      <c r="E298" s="28" t="str">
        <f>'Copy of INCEXC A'!C298</f>
        <v>Scaffolding Metacognition with GenAI: Exploring Design Opportunities to Support Task Management for University Students with ADHD</v>
      </c>
      <c r="F298" s="28" t="str">
        <f>'Copy of INCEXC A'!D298</f>
        <v>Kaiser</v>
      </c>
      <c r="G298" s="28" t="str">
        <f>'Copy of INCEXC B'!D298</f>
        <v>Ceren</v>
      </c>
      <c r="H298" s="28" t="str">
        <f>'Copy of INCEXC A'!E298</f>
        <v>Include</v>
      </c>
      <c r="I298" s="28" t="str">
        <f>'Copy of INCEXC B'!E298</f>
        <v/>
      </c>
      <c r="J298" s="28" t="b">
        <f t="shared" si="2"/>
        <v>0</v>
      </c>
      <c r="K298" s="28" t="b">
        <f t="shared" si="3"/>
        <v>0</v>
      </c>
    </row>
    <row r="299" hidden="1">
      <c r="A299" s="35" t="str">
        <f>'Copy of INCEXC A'!A299</f>
        <v>https://doi.org/10.1145/3772318.3790739</v>
      </c>
      <c r="B299" s="35" t="str">
        <f>'Copy of INCEXC B'!A299</f>
        <v>https://doi.org/10.1145/3772318.3790739</v>
      </c>
      <c r="C299" s="28" t="b">
        <f t="shared" si="1"/>
        <v>1</v>
      </c>
      <c r="E299" s="28" t="str">
        <f>'Copy of INCEXC A'!C299</f>
        <v>Chat	Should I Leave Him? Risks</v>
      </c>
      <c r="F299" s="28" t="str">
        <f>'Copy of INCEXC A'!D299</f>
        <v>Jonathan</v>
      </c>
      <c r="G299" s="28" t="str">
        <f>'Copy of INCEXC B'!D299</f>
        <v>Danni</v>
      </c>
      <c r="H299" s="28" t="str">
        <f>'Copy of INCEXC A'!E299</f>
        <v/>
      </c>
      <c r="I299" s="28" t="str">
        <f>'Copy of INCEXC B'!E299</f>
        <v>Include</v>
      </c>
      <c r="J299" s="28" t="b">
        <f t="shared" si="2"/>
        <v>0</v>
      </c>
      <c r="K299" s="28" t="b">
        <f t="shared" si="3"/>
        <v>0</v>
      </c>
    </row>
    <row r="300" hidden="1">
      <c r="A300" s="35" t="str">
        <f>'Copy of INCEXC A'!A300</f>
        <v>https://doi.org/10.1145/3772318.3790812</v>
      </c>
      <c r="B300" s="35" t="str">
        <f>'Copy of INCEXC B'!A300</f>
        <v>https://doi.org/10.1145/3772318.3790812</v>
      </c>
      <c r="C300" s="28" t="b">
        <f t="shared" si="1"/>
        <v>1</v>
      </c>
      <c r="E300" s="28" t="str">
        <f>'Copy of INCEXC A'!C300</f>
        <v>Sometimes You Need Facts</v>
      </c>
      <c r="F300" s="28" t="str">
        <f>'Copy of INCEXC A'!D300</f>
        <v>Marilyn</v>
      </c>
      <c r="G300" s="28" t="str">
        <f>'Copy of INCEXC B'!D300</f>
        <v>Danni</v>
      </c>
      <c r="H300" s="28" t="str">
        <f>'Copy of INCEXC A'!E300</f>
        <v>Exclude</v>
      </c>
      <c r="I300" s="28" t="str">
        <f>'Copy of INCEXC B'!E300</f>
        <v>Exclude</v>
      </c>
      <c r="J300" s="28" t="b">
        <f t="shared" si="2"/>
        <v>1</v>
      </c>
      <c r="K300" s="28" t="b">
        <f t="shared" si="3"/>
        <v>0</v>
      </c>
    </row>
    <row r="301" hidden="1">
      <c r="A301" s="35" t="str">
        <f>'Copy of INCEXC A'!A301</f>
        <v>https://doi.org/10.1145/3772318.3790859</v>
      </c>
      <c r="B301" s="35" t="str">
        <f>'Copy of INCEXC B'!A301</f>
        <v>https://doi.org/10.1145/3772318.3790859</v>
      </c>
      <c r="C301" s="28" t="b">
        <f t="shared" si="1"/>
        <v>1</v>
      </c>
      <c r="E301" s="28" t="str">
        <f>'Copy of INCEXC A'!C301</f>
        <v>AI-Facilitated Coercive Control: An Experimental Study</v>
      </c>
      <c r="F301" s="28" t="str">
        <f>'Copy of INCEXC A'!D301</f>
        <v>Jonathan</v>
      </c>
      <c r="G301" s="28" t="str">
        <f>'Copy of INCEXC B'!D301</f>
        <v>Danni</v>
      </c>
      <c r="H301" s="28" t="str">
        <f>'Copy of INCEXC A'!E301</f>
        <v/>
      </c>
      <c r="I301" s="28" t="str">
        <f>'Copy of INCEXC B'!E301</f>
        <v>Exclude</v>
      </c>
      <c r="J301" s="28" t="b">
        <f t="shared" si="2"/>
        <v>0</v>
      </c>
      <c r="K301" s="28" t="b">
        <f t="shared" si="3"/>
        <v>0</v>
      </c>
    </row>
    <row r="302" hidden="1">
      <c r="A302" s="35" t="str">
        <f>'Copy of INCEXC A'!A302</f>
        <v>https://doi.org/10.1145/3772318.3790907</v>
      </c>
      <c r="B302" s="35" t="str">
        <f>'Copy of INCEXC B'!A302</f>
        <v>https://doi.org/10.1145/3772318.3790907</v>
      </c>
      <c r="C302" s="28" t="b">
        <f t="shared" si="1"/>
        <v>1</v>
      </c>
      <c r="E302" s="28" t="str">
        <f>'Copy of INCEXC A'!C302</f>
        <v>Generative AI in Children's Creative Collaboration: Impact</v>
      </c>
      <c r="F302" s="28" t="str">
        <f>'Copy of INCEXC A'!D302</f>
        <v>Jonathan</v>
      </c>
      <c r="G302" s="28" t="str">
        <f>'Copy of INCEXC B'!D302</f>
        <v>Danni</v>
      </c>
      <c r="H302" s="28" t="str">
        <f>'Copy of INCEXC A'!E302</f>
        <v/>
      </c>
      <c r="I302" s="28" t="str">
        <f>'Copy of INCEXC B'!E302</f>
        <v>Exclude</v>
      </c>
      <c r="J302" s="28" t="b">
        <f t="shared" si="2"/>
        <v>0</v>
      </c>
      <c r="K302" s="28" t="b">
        <f t="shared" si="3"/>
        <v>0</v>
      </c>
    </row>
    <row r="303" hidden="1">
      <c r="A303" s="35" t="str">
        <f>'Copy of INCEXC A'!A303</f>
        <v>https://doi.org/10.1145/3772318.3790934</v>
      </c>
      <c r="B303" s="35" t="str">
        <f>'Copy of INCEXC B'!A303</f>
        <v>https://doi.org/10.1145/3772318.3790934</v>
      </c>
      <c r="C303" s="28" t="b">
        <f t="shared" si="1"/>
        <v>1</v>
      </c>
      <c r="E303" s="28" t="str">
        <f>'Copy of INCEXC A'!C303</f>
        <v>Does Sycophancy Change Decisions? Effect of LLM Sycophancy on AI-Assisted Decision-Making</v>
      </c>
      <c r="F303" s="28" t="str">
        <f>'Copy of INCEXC A'!D303</f>
        <v>Jonathan</v>
      </c>
      <c r="G303" s="28" t="str">
        <f>'Copy of INCEXC B'!D303</f>
        <v>Ceren</v>
      </c>
      <c r="H303" s="28" t="str">
        <f>'Copy of INCEXC A'!E303</f>
        <v/>
      </c>
      <c r="I303" s="28" t="str">
        <f>'Copy of INCEXC B'!E303</f>
        <v>Include</v>
      </c>
      <c r="J303" s="28" t="b">
        <f t="shared" si="2"/>
        <v>0</v>
      </c>
      <c r="K303" s="28" t="b">
        <f t="shared" si="3"/>
        <v>0</v>
      </c>
    </row>
    <row r="304" hidden="1">
      <c r="A304" s="35" t="str">
        <f>'Copy of INCEXC A'!A304</f>
        <v>https://doi.org/10.1145/3772318.3791012</v>
      </c>
      <c r="B304" s="35" t="str">
        <f>'Copy of INCEXC B'!A304</f>
        <v>https://doi.org/10.1145/3772318.3791012</v>
      </c>
      <c r="C304" s="28" t="b">
        <f t="shared" si="1"/>
        <v>1</v>
      </c>
      <c r="E304" s="28" t="str">
        <f>'Copy of INCEXC A'!C304</f>
        <v>Mapping the Landscape of Affective Extended Reality: A Scoping Review of Biodata-Driven Systems for Understanding and Sharing Emotions</v>
      </c>
      <c r="F304" s="28" t="str">
        <f>'Copy of INCEXC A'!D304</f>
        <v>Jonathan</v>
      </c>
      <c r="G304" s="28" t="str">
        <f>'Copy of INCEXC B'!D304</f>
        <v>Ceren</v>
      </c>
      <c r="H304" s="28" t="str">
        <f>'Copy of INCEXC A'!E304</f>
        <v/>
      </c>
      <c r="I304" s="28" t="str">
        <f>'Copy of INCEXC B'!E304</f>
        <v/>
      </c>
      <c r="J304" s="28" t="b">
        <f t="shared" si="2"/>
        <v>1</v>
      </c>
      <c r="K304" s="28" t="b">
        <f t="shared" si="3"/>
        <v>0</v>
      </c>
    </row>
    <row r="305" hidden="1">
      <c r="A305" s="35" t="str">
        <f>'Copy of INCEXC A'!A305</f>
        <v>https://doi.org/10.1145/3772318.3791060</v>
      </c>
      <c r="B305" s="35" t="str">
        <f>'Copy of INCEXC B'!A305</f>
        <v>https://doi.org/10.1145/3772318.3791060</v>
      </c>
      <c r="C305" s="28" t="b">
        <f t="shared" si="1"/>
        <v>1</v>
      </c>
      <c r="E305" s="28" t="str">
        <f>'Copy of INCEXC A'!C305</f>
        <v>'It Hasn’t Lived in Our Society”: Investigating Cultural Sensitivity in LLM Chatbots for Emotional Support</v>
      </c>
      <c r="F305" s="28" t="str">
        <f>'Copy of INCEXC A'!D305</f>
        <v>Marilyn</v>
      </c>
      <c r="G305" s="28" t="str">
        <f>'Copy of INCEXC B'!D305</f>
        <v>Taylor</v>
      </c>
      <c r="H305" s="28" t="str">
        <f>'Copy of INCEXC A'!E305</f>
        <v>Exclude</v>
      </c>
      <c r="I305" s="28" t="str">
        <f>'Copy of INCEXC B'!E305</f>
        <v>Exclude</v>
      </c>
      <c r="J305" s="28" t="b">
        <f t="shared" si="2"/>
        <v>1</v>
      </c>
      <c r="K305" s="28" t="b">
        <f t="shared" si="3"/>
        <v>0</v>
      </c>
    </row>
    <row r="306" hidden="1">
      <c r="A306" s="35" t="str">
        <f>'Copy of INCEXC A'!A306</f>
        <v>https://doi.org/10.1145/3772318.3791068</v>
      </c>
      <c r="B306" s="35" t="str">
        <f>'Copy of INCEXC B'!A306</f>
        <v>https://doi.org/10.1145/3772318.3791068</v>
      </c>
      <c r="C306" s="28" t="b">
        <f t="shared" si="1"/>
        <v>1</v>
      </c>
      <c r="E306" s="28" t="str">
        <f>'Copy of INCEXC A'!C306</f>
        <v>LLM-based Embodied Conversational Agent for Reducing Foreign Language Speaking Anxiety in Social VR</v>
      </c>
      <c r="F306" s="28" t="str">
        <f>'Copy of INCEXC A'!D306</f>
        <v>Marilyn</v>
      </c>
      <c r="G306" s="28" t="str">
        <f>'Copy of INCEXC B'!D306</f>
        <v>Taylor</v>
      </c>
      <c r="H306" s="28" t="str">
        <f>'Copy of INCEXC A'!E306</f>
        <v>Exclude</v>
      </c>
      <c r="I306" s="28" t="str">
        <f>'Copy of INCEXC B'!E306</f>
        <v>Exclude</v>
      </c>
      <c r="J306" s="28" t="b">
        <f t="shared" si="2"/>
        <v>1</v>
      </c>
      <c r="K306" s="28" t="b">
        <f t="shared" si="3"/>
        <v>0</v>
      </c>
    </row>
    <row r="307">
      <c r="A307" s="35" t="str">
        <f>'Copy of INCEXC A'!A307</f>
        <v>https://doi.org/10.1145/3772318.3791079</v>
      </c>
      <c r="B307" s="35" t="str">
        <f>'Copy of INCEXC B'!A307</f>
        <v>https://doi.org/10.1145/3772318.3791079</v>
      </c>
      <c r="C307" s="28" t="b">
        <f t="shared" si="1"/>
        <v>1</v>
      </c>
      <c r="D307" s="28" t="str">
        <f>'INCEXC A'!B300</f>
        <v>10.1145/3772318.3790812</v>
      </c>
      <c r="E307" s="28" t="str">
        <f>'Copy of INCEXC A'!C307</f>
        <v>Be Friendly</v>
      </c>
      <c r="F307" s="28" t="str">
        <f>'Copy of INCEXC A'!D307</f>
        <v>Kaiser</v>
      </c>
      <c r="G307" s="28" t="str">
        <f>'Copy of INCEXC B'!D307</f>
        <v>Taylor</v>
      </c>
      <c r="H307" s="28" t="str">
        <f>'Copy of INCEXC A'!E307</f>
        <v>Include</v>
      </c>
      <c r="I307" s="28" t="str">
        <f>'Copy of INCEXC B'!E307</f>
        <v>Include</v>
      </c>
      <c r="J307" s="28" t="b">
        <f t="shared" si="2"/>
        <v>1</v>
      </c>
      <c r="K307" s="28" t="b">
        <f t="shared" si="3"/>
        <v>1</v>
      </c>
    </row>
    <row r="308" hidden="1">
      <c r="A308" s="35" t="str">
        <f>'Copy of INCEXC A'!A308</f>
        <v>https://doi.org/10.1145/3772318.3791149</v>
      </c>
      <c r="B308" s="35" t="str">
        <f>'Copy of INCEXC B'!A308</f>
        <v>https://doi.org/10.1145/3772318.3791149</v>
      </c>
      <c r="C308" s="28" t="b">
        <f t="shared" si="1"/>
        <v>1</v>
      </c>
      <c r="E308" s="28" t="str">
        <f>'Copy of INCEXC A'!C308</f>
        <v>The Siren Song of LLMs: How Users Perceive and Respond to Dark Patterns in Large Language Models</v>
      </c>
      <c r="F308" s="28" t="str">
        <f>'Copy of INCEXC A'!D308</f>
        <v>Jonathan</v>
      </c>
      <c r="G308" s="28" t="str">
        <f>'Copy of INCEXC B'!D308</f>
        <v>Danni</v>
      </c>
      <c r="H308" s="28" t="str">
        <f>'Copy of INCEXC A'!E308</f>
        <v/>
      </c>
      <c r="I308" s="28" t="str">
        <f>'Copy of INCEXC B'!E308</f>
        <v>Include</v>
      </c>
      <c r="J308" s="28" t="b">
        <f t="shared" si="2"/>
        <v>0</v>
      </c>
      <c r="K308" s="28" t="b">
        <f t="shared" si="3"/>
        <v>0</v>
      </c>
    </row>
    <row r="309" hidden="1">
      <c r="A309" s="35" t="str">
        <f>'Copy of INCEXC A'!A309</f>
        <v>https://doi.org/10.1145/3772318.3791233</v>
      </c>
      <c r="B309" s="35" t="str">
        <f>'Copy of INCEXC B'!A309</f>
        <v>https://doi.org/10.1145/3772318.3791233</v>
      </c>
      <c r="C309" s="28" t="b">
        <f t="shared" si="1"/>
        <v>1</v>
      </c>
      <c r="E309" s="28" t="str">
        <f>'Copy of INCEXC A'!C309</f>
        <v>When AI Gives Advice: Evaluating AI and Human Responses to Online Advice-Seeking for Well-Being</v>
      </c>
      <c r="F309" s="28" t="str">
        <f>'Copy of INCEXC A'!D309</f>
        <v>Kaiser</v>
      </c>
      <c r="G309" s="28" t="str">
        <f>'Copy of INCEXC B'!D309</f>
        <v>Ceren</v>
      </c>
      <c r="H309" s="28" t="str">
        <f>'Copy of INCEXC A'!E309</f>
        <v>Include</v>
      </c>
      <c r="I309" s="28" t="str">
        <f>'Copy of INCEXC B'!E309</f>
        <v/>
      </c>
      <c r="J309" s="28" t="b">
        <f t="shared" si="2"/>
        <v>0</v>
      </c>
      <c r="K309" s="28" t="b">
        <f t="shared" si="3"/>
        <v>0</v>
      </c>
    </row>
    <row r="310" hidden="1">
      <c r="A310" s="35" t="str">
        <f>'Copy of INCEXC A'!A310</f>
        <v>https://doi.org/10.1145/3772318.3791248</v>
      </c>
      <c r="B310" s="35" t="str">
        <f>'Copy of INCEXC B'!A310</f>
        <v>https://doi.org/10.1145/3772318.3791248</v>
      </c>
      <c r="C310" s="28" t="b">
        <f t="shared" si="1"/>
        <v>1</v>
      </c>
      <c r="E310" s="28" t="str">
        <f>'Copy of INCEXC A'!C310</f>
        <v>InnerPond: Fostering Inter-Self Dialogue with a Multi-Agent Approach for Introspection</v>
      </c>
      <c r="F310" s="28" t="str">
        <f>'Copy of INCEXC A'!D310</f>
        <v>Kaiser</v>
      </c>
      <c r="G310" s="28" t="str">
        <f>'Copy of INCEXC B'!D310</f>
        <v>Danni</v>
      </c>
      <c r="H310" s="28" t="str">
        <f>'Copy of INCEXC A'!E310</f>
        <v>Exclude</v>
      </c>
      <c r="I310" s="28" t="str">
        <f>'Copy of INCEXC B'!E310</f>
        <v>Exclude</v>
      </c>
      <c r="J310" s="28" t="b">
        <f t="shared" si="2"/>
        <v>1</v>
      </c>
      <c r="K310" s="28" t="b">
        <f t="shared" si="3"/>
        <v>0</v>
      </c>
    </row>
    <row r="311">
      <c r="A311" s="35" t="str">
        <f>'Copy of INCEXC A'!A311</f>
        <v>https://doi.org/10.1145/3772318.3791300</v>
      </c>
      <c r="B311" s="35" t="str">
        <f>'Copy of INCEXC B'!A311</f>
        <v>https://doi.org/10.1145/3772318.3791300</v>
      </c>
      <c r="C311" s="28" t="b">
        <f t="shared" si="1"/>
        <v>1</v>
      </c>
      <c r="D311" s="28" t="str">
        <f>'INCEXC A'!B304</f>
        <v>10.1145/3772318.3791012</v>
      </c>
      <c r="E311" s="28" t="str">
        <f>'Copy of INCEXC A'!C311</f>
        <v>All Accept</v>
      </c>
      <c r="F311" s="28" t="str">
        <f>'Copy of INCEXC A'!D311</f>
        <v>Marilyn</v>
      </c>
      <c r="G311" s="28" t="str">
        <f>'Copy of INCEXC B'!D311</f>
        <v>Danni</v>
      </c>
      <c r="H311" s="28" t="str">
        <f>'Copy of INCEXC A'!E311</f>
        <v>Include</v>
      </c>
      <c r="I311" s="28" t="str">
        <f>'Copy of INCEXC B'!E311</f>
        <v>Include</v>
      </c>
      <c r="J311" s="28" t="b">
        <f t="shared" si="2"/>
        <v>1</v>
      </c>
      <c r="K311" s="28" t="b">
        <f t="shared" si="3"/>
        <v>1</v>
      </c>
    </row>
    <row r="312" hidden="1">
      <c r="A312" s="35" t="str">
        <f>'Copy of INCEXC A'!A312</f>
        <v>https://doi.org/10.1145/3772318.3791319</v>
      </c>
      <c r="B312" s="35" t="str">
        <f>'Copy of INCEXC B'!A312</f>
        <v>https://doi.org/10.1145/3772318.3791319</v>
      </c>
      <c r="C312" s="28" t="b">
        <f t="shared" si="1"/>
        <v>1</v>
      </c>
      <c r="E312" s="28" t="str">
        <f>'Copy of INCEXC A'!C312</f>
        <v>Are we writing an advice column for Spock here? Understanding Stereotypes in AI Advice for Autistic Users</v>
      </c>
      <c r="F312" s="28" t="str">
        <f>'Copy of INCEXC A'!D312</f>
        <v>Jonathan</v>
      </c>
      <c r="G312" s="28" t="str">
        <f>'Copy of INCEXC B'!D312</f>
        <v>Taylor</v>
      </c>
      <c r="H312" s="28" t="str">
        <f>'Copy of INCEXC A'!E312</f>
        <v/>
      </c>
      <c r="I312" s="28" t="str">
        <f>'Copy of INCEXC B'!E312</f>
        <v>Include</v>
      </c>
      <c r="J312" s="28" t="b">
        <f t="shared" si="2"/>
        <v>0</v>
      </c>
      <c r="K312" s="28" t="b">
        <f t="shared" si="3"/>
        <v>0</v>
      </c>
    </row>
    <row r="313" hidden="1">
      <c r="A313" s="35" t="str">
        <f>'Copy of INCEXC A'!A313</f>
        <v>https://doi.org/10.1145/3772318.3791363</v>
      </c>
      <c r="B313" s="35" t="str">
        <f>'Copy of INCEXC B'!A313</f>
        <v>https://doi.org/10.1145/3772318.3791363</v>
      </c>
      <c r="C313" s="28" t="b">
        <f t="shared" si="1"/>
        <v>1</v>
      </c>
      <c r="E313" s="28" t="str">
        <f>'Copy of INCEXC A'!C313</f>
        <v>How Generative AI Empowers Attackers and Defenders Across the Trust &amp;amp; Safety Landscape</v>
      </c>
      <c r="F313" s="28" t="str">
        <f>'Copy of INCEXC A'!D313</f>
        <v>Jonathan</v>
      </c>
      <c r="G313" s="28" t="str">
        <f>'Copy of INCEXC B'!D313</f>
        <v>Danni</v>
      </c>
      <c r="H313" s="28" t="str">
        <f>'Copy of INCEXC A'!E313</f>
        <v/>
      </c>
      <c r="I313" s="28" t="str">
        <f>'Copy of INCEXC B'!E313</f>
        <v>Exclude</v>
      </c>
      <c r="J313" s="28" t="b">
        <f t="shared" si="2"/>
        <v>0</v>
      </c>
      <c r="K313" s="28" t="b">
        <f t="shared" si="3"/>
        <v>0</v>
      </c>
    </row>
    <row r="314" hidden="1">
      <c r="A314" s="35" t="str">
        <f>'Copy of INCEXC A'!A314</f>
        <v>https://doi.org/10.1145/3772318.3791365</v>
      </c>
      <c r="B314" s="35" t="str">
        <f>'Copy of INCEXC B'!A314</f>
        <v>https://doi.org/10.1145/3772318.3791365</v>
      </c>
      <c r="C314" s="28" t="b">
        <f t="shared" si="1"/>
        <v>1</v>
      </c>
      <c r="E314" s="28" t="str">
        <f>'Copy of INCEXC A'!C314</f>
        <v>Invisible Saboteurs: Sycophantic LLMs Mislead Novices in Problem-Solving Tasks</v>
      </c>
      <c r="F314" s="28" t="str">
        <f>'Copy of INCEXC A'!D314</f>
        <v>Jonathan</v>
      </c>
      <c r="G314" s="28" t="str">
        <f>'Copy of INCEXC B'!D314</f>
        <v>Danni</v>
      </c>
      <c r="H314" s="28" t="str">
        <f>'Copy of INCEXC A'!E314</f>
        <v/>
      </c>
      <c r="I314" s="28" t="str">
        <f>'Copy of INCEXC B'!E314</f>
        <v>Include</v>
      </c>
      <c r="J314" s="28" t="b">
        <f t="shared" si="2"/>
        <v>0</v>
      </c>
      <c r="K314" s="28" t="b">
        <f t="shared" si="3"/>
        <v>0</v>
      </c>
    </row>
    <row r="315" hidden="1">
      <c r="A315" s="35" t="str">
        <f>'Copy of INCEXC A'!A315</f>
        <v>https://doi.org/10.1145/3772318.3791381</v>
      </c>
      <c r="B315" s="35" t="str">
        <f>'Copy of INCEXC B'!A315</f>
        <v>https://doi.org/10.1145/3772318.3791381</v>
      </c>
      <c r="C315" s="28" t="b">
        <f t="shared" si="1"/>
        <v>1</v>
      </c>
      <c r="E315" s="28" t="str">
        <f>'Copy of INCEXC A'!C315</f>
        <v>Autiverse: Eliciting Autistic Adolescents' Daily Narratives through AI-guided Multimodal Journaling</v>
      </c>
      <c r="F315" s="28" t="str">
        <f>'Copy of INCEXC A'!D315</f>
        <v>Marilyn</v>
      </c>
      <c r="G315" s="28" t="str">
        <f>'Copy of INCEXC B'!D315</f>
        <v>Ceren</v>
      </c>
      <c r="H315" s="28" t="str">
        <f>'Copy of INCEXC A'!E315</f>
        <v>Exclude</v>
      </c>
      <c r="I315" s="28" t="str">
        <f>'Copy of INCEXC B'!E315</f>
        <v/>
      </c>
      <c r="J315" s="28" t="b">
        <f t="shared" si="2"/>
        <v>0</v>
      </c>
      <c r="K315" s="28" t="b">
        <f t="shared" si="3"/>
        <v>0</v>
      </c>
    </row>
    <row r="316" hidden="1">
      <c r="A316" s="35" t="str">
        <f>'Copy of INCEXC A'!A316</f>
        <v>https://doi.org/10.1145/3772318.3791428</v>
      </c>
      <c r="B316" s="35" t="str">
        <f>'Copy of INCEXC B'!A316</f>
        <v>https://doi.org/10.1145/3772318.3791428</v>
      </c>
      <c r="C316" s="28" t="b">
        <f t="shared" si="1"/>
        <v>1</v>
      </c>
      <c r="E316" s="28" t="str">
        <f>'Copy of INCEXC A'!C316</f>
        <v>Who Does What? Archetypes of Roles Assigned to LLMs During Human-AI Decision-Making</v>
      </c>
      <c r="F316" s="28" t="str">
        <f>'Copy of INCEXC A'!D316</f>
        <v>Jonathan</v>
      </c>
      <c r="G316" s="28" t="str">
        <f>'Copy of INCEXC B'!D316</f>
        <v>Danni</v>
      </c>
      <c r="H316" s="28" t="str">
        <f>'Copy of INCEXC A'!E316</f>
        <v/>
      </c>
      <c r="I316" s="28" t="str">
        <f>'Copy of INCEXC B'!E316</f>
        <v>Exclude</v>
      </c>
      <c r="J316" s="28" t="b">
        <f t="shared" si="2"/>
        <v>0</v>
      </c>
      <c r="K316" s="28" t="b">
        <f t="shared" si="3"/>
        <v>0</v>
      </c>
    </row>
    <row r="317" hidden="1">
      <c r="A317" s="35" t="str">
        <f>'Copy of INCEXC A'!A317</f>
        <v>https://doi.org/10.1145/3772318.3791484</v>
      </c>
      <c r="B317" s="35" t="str">
        <f>'Copy of INCEXC B'!A317</f>
        <v>https://doi.org/10.1145/3772318.3791484</v>
      </c>
      <c r="C317" s="28" t="b">
        <f t="shared" si="1"/>
        <v>1</v>
      </c>
      <c r="E317" s="28" t="str">
        <f>'Copy of INCEXC A'!C317</f>
        <v>Retelling the News: Exploring AI-Driven Conversational News Interactions</v>
      </c>
      <c r="F317" s="28" t="str">
        <f>'Copy of INCEXC A'!D317</f>
        <v>Kaiser</v>
      </c>
      <c r="G317" s="28" t="str">
        <f>'Copy of INCEXC B'!D317</f>
        <v>Danni</v>
      </c>
      <c r="H317" s="28" t="str">
        <f>'Copy of INCEXC A'!E317</f>
        <v>Include</v>
      </c>
      <c r="I317" s="28" t="str">
        <f>'Copy of INCEXC B'!E317</f>
        <v>Exclude</v>
      </c>
      <c r="J317" s="28" t="b">
        <f t="shared" si="2"/>
        <v>0</v>
      </c>
      <c r="K317" s="28" t="b">
        <f t="shared" si="3"/>
        <v>0</v>
      </c>
    </row>
    <row r="318" hidden="1">
      <c r="A318" s="35" t="str">
        <f>'Copy of INCEXC A'!A318</f>
        <v>https://doi.org/10.1145/3772318.3791556</v>
      </c>
      <c r="B318" s="35" t="str">
        <f>'Copy of INCEXC B'!A318</f>
        <v>https://doi.org/10.1145/3772318.3791556</v>
      </c>
      <c r="C318" s="28" t="b">
        <f t="shared" si="1"/>
        <v>1</v>
      </c>
      <c r="E318" s="28" t="str">
        <f>'Copy of INCEXC A'!C318</f>
        <v>Framing Responsible Design of AI for Mental Well-Being: AI as Primary Care</v>
      </c>
      <c r="F318" s="28" t="str">
        <f>'Copy of INCEXC A'!D318</f>
        <v>Kaiser</v>
      </c>
      <c r="G318" s="28" t="str">
        <f>'Copy of INCEXC B'!D318</f>
        <v>Danni</v>
      </c>
      <c r="H318" s="28" t="str">
        <f>'Copy of INCEXC A'!E318</f>
        <v>Include</v>
      </c>
      <c r="I318" s="28" t="str">
        <f>'Copy of INCEXC B'!E318</f>
        <v>Exclude</v>
      </c>
      <c r="J318" s="28" t="b">
        <f t="shared" si="2"/>
        <v>0</v>
      </c>
      <c r="K318" s="28" t="b">
        <f t="shared" si="3"/>
        <v>0</v>
      </c>
    </row>
    <row r="319" hidden="1">
      <c r="A319" s="35" t="str">
        <f>'Copy of INCEXC A'!A319</f>
        <v>https://doi.org/10.1145/3772318.3791560</v>
      </c>
      <c r="B319" s="35" t="str">
        <f>'Copy of INCEXC B'!A319</f>
        <v>https://doi.org/10.1145/3772318.3791560</v>
      </c>
      <c r="C319" s="28" t="b">
        <f t="shared" si="1"/>
        <v>1</v>
      </c>
      <c r="E319" s="28" t="str">
        <f>'Copy of INCEXC A'!C319</f>
        <v>Perspectra: Choosing Your Experts Enhances Critical Thinking in Multi-Agent Research Ideation</v>
      </c>
      <c r="F319" s="28" t="str">
        <f>'Copy of INCEXC A'!D319</f>
        <v>Jonathan</v>
      </c>
      <c r="G319" s="28" t="str">
        <f>'Copy of INCEXC B'!D319</f>
        <v>Danni</v>
      </c>
      <c r="H319" s="28" t="str">
        <f>'Copy of INCEXC A'!E319</f>
        <v/>
      </c>
      <c r="I319" s="28" t="str">
        <f>'Copy of INCEXC B'!E319</f>
        <v>Exclude</v>
      </c>
      <c r="J319" s="28" t="b">
        <f t="shared" si="2"/>
        <v>0</v>
      </c>
      <c r="K319" s="28" t="b">
        <f t="shared" si="3"/>
        <v>0</v>
      </c>
    </row>
    <row r="320" hidden="1">
      <c r="A320" s="35" t="str">
        <f>'Copy of INCEXC A'!A320</f>
        <v>https://doi.org/10.1145/3772318.3791571</v>
      </c>
      <c r="B320" s="35" t="str">
        <f>'Copy of INCEXC B'!A320</f>
        <v>https://doi.org/10.1145/3772318.3791571</v>
      </c>
      <c r="C320" s="28" t="b">
        <f t="shared" si="1"/>
        <v>1</v>
      </c>
      <c r="E320" s="28" t="str">
        <f>'Copy of INCEXC A'!C320</f>
        <v>Interpretive Cultures: Resonance</v>
      </c>
      <c r="F320" s="28" t="str">
        <f>'Copy of INCEXC A'!D320</f>
        <v>Kaiser</v>
      </c>
      <c r="G320" s="28" t="str">
        <f>'Copy of INCEXC B'!D320</f>
        <v>Danni</v>
      </c>
      <c r="H320" s="28" t="str">
        <f>'Copy of INCEXC A'!E320</f>
        <v>Include</v>
      </c>
      <c r="I320" s="28" t="str">
        <f>'Copy of INCEXC B'!E320</f>
        <v>Exclude</v>
      </c>
      <c r="J320" s="28" t="b">
        <f t="shared" si="2"/>
        <v>0</v>
      </c>
      <c r="K320" s="28" t="b">
        <f t="shared" si="3"/>
        <v>0</v>
      </c>
    </row>
    <row r="321" hidden="1">
      <c r="A321" s="35" t="str">
        <f>'Copy of INCEXC A'!A321</f>
        <v>https://doi.org/10.1145/3772318.3791600</v>
      </c>
      <c r="B321" s="35" t="str">
        <f>'Copy of INCEXC B'!A321</f>
        <v>https://doi.org/10.1145/3772318.3791600</v>
      </c>
      <c r="C321" s="28" t="b">
        <f t="shared" si="1"/>
        <v>1</v>
      </c>
      <c r="E321" s="28" t="str">
        <f>'Copy of INCEXC A'!C321</f>
        <v>Feedback by Design: Understanding and Overcoming User Feedback Barriers in Conversational Agents</v>
      </c>
      <c r="F321" s="28" t="str">
        <f>'Copy of INCEXC A'!D321</f>
        <v>Kaiser</v>
      </c>
      <c r="G321" s="28" t="str">
        <f>'Copy of INCEXC B'!D321</f>
        <v>Taylor</v>
      </c>
      <c r="H321" s="28" t="str">
        <f>'Copy of INCEXC A'!E321</f>
        <v>Exclude</v>
      </c>
      <c r="I321" s="28" t="str">
        <f>'Copy of INCEXC B'!E321</f>
        <v>Include</v>
      </c>
      <c r="J321" s="28" t="b">
        <f t="shared" si="2"/>
        <v>0</v>
      </c>
      <c r="K321" s="28" t="b">
        <f t="shared" si="3"/>
        <v>0</v>
      </c>
    </row>
    <row r="322" hidden="1">
      <c r="A322" s="35" t="str">
        <f>'Copy of INCEXC A'!A322</f>
        <v>https://doi.org/10.1145/3772318.3791632</v>
      </c>
      <c r="B322" s="35" t="str">
        <f>'Copy of INCEXC B'!A322</f>
        <v>https://doi.org/10.1145/3772318.3791632</v>
      </c>
      <c r="C322" s="28" t="b">
        <f t="shared" si="1"/>
        <v>1</v>
      </c>
      <c r="E322" s="28" t="str">
        <f>'Copy of INCEXC A'!C322</f>
        <v>What is Safety? Corporate Discourse</v>
      </c>
      <c r="F322" s="28" t="str">
        <f>'Copy of INCEXC A'!D322</f>
        <v>Jonathan</v>
      </c>
      <c r="G322" s="28" t="str">
        <f>'Copy of INCEXC B'!D322</f>
        <v>Ceren</v>
      </c>
      <c r="H322" s="28" t="str">
        <f>'Copy of INCEXC A'!E322</f>
        <v/>
      </c>
      <c r="I322" s="28" t="str">
        <f>'Copy of INCEXC B'!E322</f>
        <v>Exclude</v>
      </c>
      <c r="J322" s="28" t="b">
        <f t="shared" si="2"/>
        <v>0</v>
      </c>
      <c r="K322" s="28" t="b">
        <f t="shared" si="3"/>
        <v>0</v>
      </c>
    </row>
    <row r="323" hidden="1">
      <c r="A323" s="35" t="str">
        <f>'Copy of INCEXC A'!A323</f>
        <v>https://doi.org/10.1145/3772318.3791640</v>
      </c>
      <c r="B323" s="35" t="str">
        <f>'Copy of INCEXC B'!A323</f>
        <v>https://doi.org/10.1145/3772318.3791640</v>
      </c>
      <c r="C323" s="28" t="b">
        <f t="shared" si="1"/>
        <v>1</v>
      </c>
      <c r="E323" s="28" t="str">
        <f>'Copy of INCEXC A'!C323</f>
        <v>Forage: Understanding LLM-facilitated sensemaking of conversation data</v>
      </c>
      <c r="F323" s="28" t="str">
        <f>'Copy of INCEXC A'!D323</f>
        <v>Marilyn</v>
      </c>
      <c r="G323" s="28" t="str">
        <f>'Copy of INCEXC B'!D323</f>
        <v>Taylor</v>
      </c>
      <c r="H323" s="28" t="str">
        <f>'Copy of INCEXC A'!E323</f>
        <v>Exclude</v>
      </c>
      <c r="I323" s="28" t="str">
        <f>'Copy of INCEXC B'!E323</f>
        <v>Exclude</v>
      </c>
      <c r="J323" s="28" t="b">
        <f t="shared" si="2"/>
        <v>1</v>
      </c>
      <c r="K323" s="28" t="b">
        <f t="shared" si="3"/>
        <v>0</v>
      </c>
    </row>
    <row r="324" hidden="1">
      <c r="A324" s="35" t="str">
        <f>'Copy of INCEXC A'!A324</f>
        <v>https://doi.org/10.1145/3772318.3791726</v>
      </c>
      <c r="B324" s="35" t="str">
        <f>'Copy of INCEXC B'!A324</f>
        <v>https://doi.org/10.1145/3772318.3791726</v>
      </c>
      <c r="C324" s="28" t="b">
        <f t="shared" si="1"/>
        <v>1</v>
      </c>
      <c r="E324" s="28" t="str">
        <f>'Copy of INCEXC A'!C324</f>
        <v>Who Controls the Conversation? User Perspectives on Generative AI (LLM) System Prompts</v>
      </c>
      <c r="F324" s="28" t="str">
        <f>'Copy of INCEXC A'!D324</f>
        <v>Kaiser</v>
      </c>
      <c r="G324" s="28" t="str">
        <f>'Copy of INCEXC B'!D324</f>
        <v>Taylor</v>
      </c>
      <c r="H324" s="28" t="str">
        <f>'Copy of INCEXC A'!E324</f>
        <v>Exclude</v>
      </c>
      <c r="I324" s="28" t="str">
        <f>'Copy of INCEXC B'!E324</f>
        <v>Exclude</v>
      </c>
      <c r="J324" s="28" t="b">
        <f t="shared" si="2"/>
        <v>1</v>
      </c>
      <c r="K324" s="28" t="b">
        <f t="shared" si="3"/>
        <v>0</v>
      </c>
    </row>
    <row r="325" hidden="1">
      <c r="A325" s="35" t="str">
        <f>'Copy of INCEXC A'!A325</f>
        <v>https://doi.org/10.1145/3772318.3791760</v>
      </c>
      <c r="B325" s="35" t="str">
        <f>'Copy of INCEXC B'!A325</f>
        <v>https://doi.org/10.1145/3772318.3791760</v>
      </c>
      <c r="C325" s="28" t="b">
        <f t="shared" si="1"/>
        <v>1</v>
      </c>
      <c r="E325" s="28" t="str">
        <f>'Copy of INCEXC A'!C325</f>
        <v>OceanChat: The Effect of Virtual Conversational AI Agents on Sustainable Attitude and Behavior Change</v>
      </c>
      <c r="F325" s="28" t="str">
        <f>'Copy of INCEXC A'!D325</f>
        <v>Marilyn</v>
      </c>
      <c r="G325" s="28" t="str">
        <f>'Copy of INCEXC B'!D325</f>
        <v>Taylor</v>
      </c>
      <c r="H325" s="28" t="str">
        <f>'Copy of INCEXC A'!E325</f>
        <v>Exclude</v>
      </c>
      <c r="I325" s="28" t="str">
        <f>'Copy of INCEXC B'!E325</f>
        <v>Exclude</v>
      </c>
      <c r="J325" s="28" t="b">
        <f t="shared" si="2"/>
        <v>1</v>
      </c>
      <c r="K325" s="28" t="b">
        <f t="shared" si="3"/>
        <v>0</v>
      </c>
    </row>
    <row r="326" hidden="1">
      <c r="A326" s="35" t="str">
        <f>'Copy of INCEXC A'!A326</f>
        <v>https://doi.org/10.1145/3772318.3791775</v>
      </c>
      <c r="B326" s="35" t="str">
        <f>'Copy of INCEXC B'!A326</f>
        <v>https://doi.org/10.1145/3772318.3791775</v>
      </c>
      <c r="C326" s="28" t="b">
        <f t="shared" si="1"/>
        <v>1</v>
      </c>
      <c r="E326" s="28" t="str">
        <f>'Copy of INCEXC A'!C326</f>
        <v>From Symptoms to Systems: An Expert-Guided Approach to Understanding Risks of Generative AI for Eating Disorders</v>
      </c>
      <c r="F326" s="28" t="str">
        <f>'Copy of INCEXC A'!D326</f>
        <v>Jonathan</v>
      </c>
      <c r="G326" s="28" t="str">
        <f>'Copy of INCEXC B'!D326</f>
        <v>Danni</v>
      </c>
      <c r="H326" s="28" t="str">
        <f>'Copy of INCEXC A'!E326</f>
        <v/>
      </c>
      <c r="I326" s="28" t="str">
        <f>'Copy of INCEXC B'!E326</f>
        <v>Exclude</v>
      </c>
      <c r="J326" s="28" t="b">
        <f t="shared" si="2"/>
        <v>0</v>
      </c>
      <c r="K326" s="28" t="b">
        <f t="shared" si="3"/>
        <v>0</v>
      </c>
    </row>
    <row r="327" hidden="1">
      <c r="A327" s="35" t="str">
        <f>'Copy of INCEXC A'!A327</f>
        <v>https://doi.org/10.1145/3772318.3791834</v>
      </c>
      <c r="B327" s="35" t="str">
        <f>'Copy of INCEXC B'!A327</f>
        <v>https://doi.org/10.1145/3772318.3791834</v>
      </c>
      <c r="C327" s="28" t="b">
        <f t="shared" si="1"/>
        <v>1</v>
      </c>
      <c r="E327" s="28" t="str">
        <f>'Copy of INCEXC A'!C327</f>
        <v>Say It My Way: Exploring Control in Conversational Visual Question Answering with Blind Users</v>
      </c>
      <c r="F327" s="28" t="str">
        <f>'Copy of INCEXC A'!D327</f>
        <v>Jonathan</v>
      </c>
      <c r="G327" s="28" t="str">
        <f>'Copy of INCEXC B'!D327</f>
        <v>Taylor</v>
      </c>
      <c r="H327" s="28" t="str">
        <f>'Copy of INCEXC A'!E327</f>
        <v/>
      </c>
      <c r="I327" s="28" t="str">
        <f>'Copy of INCEXC B'!E327</f>
        <v>Exclude</v>
      </c>
      <c r="J327" s="28" t="b">
        <f t="shared" si="2"/>
        <v>0</v>
      </c>
      <c r="K327" s="28" t="b">
        <f t="shared" si="3"/>
        <v>0</v>
      </c>
    </row>
    <row r="328" hidden="1">
      <c r="A328" s="35" t="str">
        <f>'Copy of INCEXC A'!A328</f>
        <v>https://doi.org/10.1145/3772318.3791845</v>
      </c>
      <c r="B328" s="35" t="str">
        <f>'Copy of INCEXC B'!A328</f>
        <v>https://doi.org/10.1145/3772318.3791845</v>
      </c>
      <c r="C328" s="28" t="b">
        <f t="shared" si="1"/>
        <v>1</v>
      </c>
      <c r="E328" s="28" t="str">
        <f>'Copy of INCEXC A'!C328</f>
        <v>Are We Automating the Joy Out of Work? Designing AI to Augment Work</v>
      </c>
      <c r="F328" s="28" t="str">
        <f>'Copy of INCEXC A'!D328</f>
        <v>Jonathan</v>
      </c>
      <c r="G328" s="28" t="str">
        <f>'Copy of INCEXC B'!D328</f>
        <v>Danni</v>
      </c>
      <c r="H328" s="28" t="str">
        <f>'Copy of INCEXC A'!E328</f>
        <v/>
      </c>
      <c r="I328" s="28" t="str">
        <f>'Copy of INCEXC B'!E328</f>
        <v>Exclude</v>
      </c>
      <c r="J328" s="28" t="b">
        <f t="shared" si="2"/>
        <v>0</v>
      </c>
      <c r="K328" s="28" t="b">
        <f t="shared" si="3"/>
        <v>0</v>
      </c>
    </row>
    <row r="329" hidden="1">
      <c r="A329" s="35" t="str">
        <f>'Copy of INCEXC A'!A329</f>
        <v>https://doi.org/10.1145/3772318.3791851</v>
      </c>
      <c r="B329" s="35" t="str">
        <f>'Copy of INCEXC B'!A329</f>
        <v>https://doi.org/10.1145/3772318.3791851</v>
      </c>
      <c r="C329" s="28" t="b">
        <f t="shared" si="1"/>
        <v>1</v>
      </c>
      <c r="E329" s="28" t="str">
        <f>'Copy of INCEXC A'!C329</f>
        <v>Personal Validation Effect in LLMs: Positive AI Responses Bias Perceptions of Validity</v>
      </c>
      <c r="F329" s="28" t="str">
        <f>'Copy of INCEXC A'!D329</f>
        <v>Jonathan</v>
      </c>
      <c r="G329" s="28" t="str">
        <f>'Copy of INCEXC B'!D329</f>
        <v>Danni</v>
      </c>
      <c r="H329" s="28" t="str">
        <f>'Copy of INCEXC A'!E329</f>
        <v/>
      </c>
      <c r="I329" s="28" t="str">
        <f>'Copy of INCEXC B'!E329</f>
        <v>Include</v>
      </c>
      <c r="J329" s="28" t="b">
        <f t="shared" si="2"/>
        <v>0</v>
      </c>
      <c r="K329" s="28" t="b">
        <f t="shared" si="3"/>
        <v>0</v>
      </c>
    </row>
    <row r="330" hidden="1">
      <c r="A330" s="35" t="str">
        <f>'Copy of INCEXC A'!A330</f>
        <v>https://doi.org/10.1145/3772318.3791880</v>
      </c>
      <c r="B330" s="35" t="str">
        <f>'Copy of INCEXC B'!A330</f>
        <v>https://doi.org/10.1145/3772318.3791880</v>
      </c>
      <c r="C330" s="28" t="b">
        <f t="shared" si="1"/>
        <v>1</v>
      </c>
      <c r="E330" s="28" t="str">
        <f>'Copy of INCEXC A'!C330</f>
        <v>SeeSawBot: An LLM-Driven Chatbot Mediating Across Private and Shared Slack Channels to Support Team Dynamics</v>
      </c>
      <c r="F330" s="28" t="str">
        <f>'Copy of INCEXC A'!D330</f>
        <v>Jonathan</v>
      </c>
      <c r="G330" s="28" t="str">
        <f>'Copy of INCEXC B'!D330</f>
        <v>Ceren</v>
      </c>
      <c r="H330" s="28" t="str">
        <f>'Copy of INCEXC A'!E330</f>
        <v/>
      </c>
      <c r="I330" s="28" t="str">
        <f>'Copy of INCEXC B'!E330</f>
        <v>Exclude</v>
      </c>
      <c r="J330" s="28" t="b">
        <f t="shared" si="2"/>
        <v>0</v>
      </c>
      <c r="K330" s="28" t="b">
        <f t="shared" si="3"/>
        <v>0</v>
      </c>
    </row>
    <row r="331">
      <c r="A331" s="35" t="str">
        <f>'Copy of INCEXC A'!A331</f>
        <v>https://doi.org/10.1145/3772318.3791915</v>
      </c>
      <c r="B331" s="35" t="str">
        <f>'Copy of INCEXC B'!A331</f>
        <v>https://doi.org/10.1145/3772318.3791915</v>
      </c>
      <c r="C331" s="28" t="b">
        <f t="shared" si="1"/>
        <v>1</v>
      </c>
      <c r="D331" s="28" t="str">
        <f>'INCEXC A'!B324</f>
        <v>10.1145/3772318.3791726</v>
      </c>
      <c r="E331" s="28" t="str">
        <f>'Copy of INCEXC A'!C331</f>
        <v>Interaction Context Often Increases Sycophancy in LLMs</v>
      </c>
      <c r="F331" s="28" t="str">
        <f>'Copy of INCEXC A'!D331</f>
        <v>Kaiser</v>
      </c>
      <c r="G331" s="28" t="str">
        <f>'Copy of INCEXC B'!D331</f>
        <v>Danni</v>
      </c>
      <c r="H331" s="28" t="str">
        <f>'Copy of INCEXC A'!E331</f>
        <v>Include</v>
      </c>
      <c r="I331" s="28" t="str">
        <f>'Copy of INCEXC B'!E331</f>
        <v>Include</v>
      </c>
      <c r="J331" s="28" t="b">
        <f t="shared" si="2"/>
        <v>1</v>
      </c>
      <c r="K331" s="28" t="b">
        <f t="shared" si="3"/>
        <v>1</v>
      </c>
    </row>
    <row r="332" hidden="1">
      <c r="A332" s="35" t="str">
        <f>'Copy of INCEXC A'!A332</f>
        <v>https://doi.org/10.1145/3772318.3793266</v>
      </c>
      <c r="B332" s="35" t="str">
        <f>'Copy of INCEXC B'!A332</f>
        <v>https://doi.org/10.1145/3772318.3793266</v>
      </c>
      <c r="C332" s="28" t="b">
        <f t="shared" si="1"/>
        <v>1</v>
      </c>
      <c r="E332" s="28" t="str">
        <f>'Copy of INCEXC A'!C332</f>
        <v>How Multimodal Large Language Models Support Access to Visual Information: A Diary Study With Blind and Low Vision People</v>
      </c>
      <c r="F332" s="28" t="str">
        <f>'Copy of INCEXC A'!D332</f>
        <v>Marilyn</v>
      </c>
      <c r="G332" s="28" t="str">
        <f>'Copy of INCEXC B'!D332</f>
        <v>Ceren</v>
      </c>
      <c r="H332" s="28" t="str">
        <f>'Copy of INCEXC A'!E332</f>
        <v>Exclude</v>
      </c>
      <c r="I332" s="28" t="str">
        <f>'Copy of INCEXC B'!E332</f>
        <v>Exclude</v>
      </c>
      <c r="J332" s="28" t="b">
        <f t="shared" si="2"/>
        <v>1</v>
      </c>
      <c r="K332" s="28" t="b">
        <f t="shared" si="3"/>
        <v>0</v>
      </c>
    </row>
    <row r="333" hidden="1">
      <c r="A333" s="35" t="str">
        <f>'Copy of INCEXC A'!A333</f>
        <v>https://doi.org/10.1145/3772318.3808894</v>
      </c>
      <c r="B333" s="35" t="str">
        <f>'Copy of INCEXC B'!A333</f>
        <v>https://doi.org/10.1145/3772318.3808894</v>
      </c>
      <c r="C333" s="28" t="b">
        <f t="shared" si="1"/>
        <v>1</v>
      </c>
      <c r="E333" s="28" t="str">
        <f>'Copy of INCEXC A'!C333</f>
        <v>Session Summary Podcast: Session 14: AI for Youth Learning</v>
      </c>
      <c r="F333" s="28" t="str">
        <f>'Copy of INCEXC A'!D333</f>
        <v>Jonathan</v>
      </c>
      <c r="G333" s="28" t="str">
        <f>'Copy of INCEXC B'!D333</f>
        <v>Taylor</v>
      </c>
      <c r="H333" s="28" t="str">
        <f>'Copy of INCEXC A'!E333</f>
        <v/>
      </c>
      <c r="I333" s="28" t="str">
        <f>'Copy of INCEXC B'!E333</f>
        <v>Exclude</v>
      </c>
      <c r="J333" s="28" t="b">
        <f t="shared" si="2"/>
        <v>0</v>
      </c>
      <c r="K333" s="28" t="b">
        <f t="shared" si="3"/>
        <v>0</v>
      </c>
    </row>
    <row r="334" hidden="1">
      <c r="A334" s="35" t="str">
        <f>'Copy of INCEXC A'!A334</f>
        <v>https://doi.org/10.1145/3772318.3809068</v>
      </c>
      <c r="B334" s="35" t="str">
        <f>'Copy of INCEXC B'!A334</f>
        <v>https://doi.org/10.1145/3772318.3809068</v>
      </c>
      <c r="C334" s="28" t="b">
        <f t="shared" si="1"/>
        <v>1</v>
      </c>
      <c r="E334" s="28" t="str">
        <f>'Copy of INCEXC A'!C334</f>
        <v>Session Summary Podcast: Session 180: Relationships with AI</v>
      </c>
      <c r="F334" s="28" t="str">
        <f>'Copy of INCEXC A'!D334</f>
        <v>Marilyn</v>
      </c>
      <c r="G334" s="28" t="str">
        <f>'Copy of INCEXC B'!D334</f>
        <v>Ceren</v>
      </c>
      <c r="H334" s="28" t="str">
        <f>'Copy of INCEXC A'!E334</f>
        <v>Exclude</v>
      </c>
      <c r="I334" s="28" t="str">
        <f>'Copy of INCEXC B'!E334</f>
        <v/>
      </c>
      <c r="J334" s="28" t="b">
        <f t="shared" si="2"/>
        <v>0</v>
      </c>
      <c r="K334" s="28" t="b">
        <f t="shared" si="3"/>
        <v>0</v>
      </c>
    </row>
    <row r="335" hidden="1">
      <c r="A335" s="35" t="str">
        <f>'Copy of INCEXC A'!A335</f>
        <v>https://doi.org/10.1145/3772318.3809104</v>
      </c>
      <c r="B335" s="35" t="str">
        <f>'Copy of INCEXC B'!A335</f>
        <v>https://doi.org/10.1145/3772318.3809104</v>
      </c>
      <c r="C335" s="28" t="b">
        <f t="shared" si="1"/>
        <v>1</v>
      </c>
      <c r="E335" s="28" t="str">
        <f>'Copy of INCEXC A'!C335</f>
        <v>Session Summary Podcast: Session 216: The Dark Sides of AI</v>
      </c>
      <c r="F335" s="28" t="str">
        <f>'Copy of INCEXC A'!D335</f>
        <v>Jonathan</v>
      </c>
      <c r="G335" s="28" t="str">
        <f>'Copy of INCEXC B'!D335</f>
        <v>Danni</v>
      </c>
      <c r="H335" s="28" t="str">
        <f>'Copy of INCEXC A'!E335</f>
        <v/>
      </c>
      <c r="I335" s="28" t="str">
        <f>'Copy of INCEXC B'!E335</f>
        <v>Exclude</v>
      </c>
      <c r="J335" s="28" t="b">
        <f t="shared" si="2"/>
        <v>0</v>
      </c>
      <c r="K335" s="28" t="b">
        <f t="shared" si="3"/>
        <v>0</v>
      </c>
    </row>
    <row r="336" hidden="1">
      <c r="A336" s="35" t="str">
        <f>'Copy of INCEXC A'!A336</f>
        <v>https://doi.org/10.1145/3772363.3778699</v>
      </c>
      <c r="B336" s="35" t="str">
        <f>'Copy of INCEXC B'!A336</f>
        <v>https://doi.org/10.1145/3772363.3778699</v>
      </c>
      <c r="C336" s="28" t="b">
        <f t="shared" si="1"/>
        <v>1</v>
      </c>
      <c r="E336" s="28" t="str">
        <f>'Copy of INCEXC A'!C336</f>
        <v>Social and Emotional Uses of AI</v>
      </c>
      <c r="F336" s="28" t="str">
        <f>'Copy of INCEXC A'!D336</f>
        <v>Kaiser</v>
      </c>
      <c r="G336" s="28" t="str">
        <f>'Copy of INCEXC B'!D336</f>
        <v>Taylor</v>
      </c>
      <c r="H336" s="28" t="str">
        <f>'Copy of INCEXC A'!E336</f>
        <v>Include</v>
      </c>
      <c r="I336" s="28" t="str">
        <f>'Copy of INCEXC B'!E336</f>
        <v>Exclude</v>
      </c>
      <c r="J336" s="28" t="b">
        <f t="shared" si="2"/>
        <v>0</v>
      </c>
      <c r="K336" s="28" t="b">
        <f t="shared" si="3"/>
        <v>0</v>
      </c>
    </row>
    <row r="337" hidden="1">
      <c r="A337" s="35" t="str">
        <f>'Copy of INCEXC A'!A337</f>
        <v>https://doi.org/10.1145/3772363.3778745</v>
      </c>
      <c r="B337" s="35" t="str">
        <f>'Copy of INCEXC B'!A337</f>
        <v>https://doi.org/10.1145/3772363.3778745</v>
      </c>
      <c r="C337" s="28" t="b">
        <f t="shared" si="1"/>
        <v>1</v>
      </c>
      <c r="E337" s="28" t="str">
        <f>'Copy of INCEXC A'!C337</f>
        <v>From Generation to Simulation: Responsible Use of AI Personas in Human-Centered Design and Research</v>
      </c>
      <c r="F337" s="28" t="str">
        <f>'Copy of INCEXC A'!D337</f>
        <v>Jonathan</v>
      </c>
      <c r="G337" s="28" t="str">
        <f>'Copy of INCEXC B'!D337</f>
        <v>Taylor</v>
      </c>
      <c r="H337" s="28" t="str">
        <f>'Copy of INCEXC A'!E337</f>
        <v/>
      </c>
      <c r="I337" s="28" t="str">
        <f>'Copy of INCEXC B'!E337</f>
        <v>Exclude</v>
      </c>
      <c r="J337" s="28" t="b">
        <f t="shared" si="2"/>
        <v>0</v>
      </c>
      <c r="K337" s="28" t="b">
        <f t="shared" si="3"/>
        <v>0</v>
      </c>
    </row>
    <row r="338" hidden="1">
      <c r="A338" s="35" t="str">
        <f>'Copy of INCEXC A'!A338</f>
        <v>https://doi.org/10.1145/3772363.3798453</v>
      </c>
      <c r="B338" s="35" t="str">
        <f>'Copy of INCEXC B'!A338</f>
        <v>https://doi.org/10.1145/3772363.3798453</v>
      </c>
      <c r="C338" s="28" t="b">
        <f t="shared" si="1"/>
        <v>1</v>
      </c>
      <c r="E338" s="28" t="str">
        <f>'Copy of INCEXC A'!C338</f>
        <v>AI-Induced Delusional Spirals: Understanding Lived Experiences During Maladaptive Human-Chatbot Interactions</v>
      </c>
      <c r="F338" s="28" t="str">
        <f>'Copy of INCEXC A'!D338</f>
        <v>Marilyn</v>
      </c>
      <c r="G338" s="28" t="str">
        <f>'Copy of INCEXC B'!D338</f>
        <v>Ceren</v>
      </c>
      <c r="H338" s="28" t="str">
        <f>'Copy of INCEXC A'!E338</f>
        <v>Exclude</v>
      </c>
      <c r="I338" s="28" t="str">
        <f>'Copy of INCEXC B'!E338</f>
        <v>Exclude</v>
      </c>
      <c r="J338" s="28" t="b">
        <f t="shared" si="2"/>
        <v>1</v>
      </c>
      <c r="K338" s="28" t="b">
        <f t="shared" si="3"/>
        <v>0</v>
      </c>
    </row>
    <row r="339" hidden="1">
      <c r="A339" s="35" t="str">
        <f>'Copy of INCEXC A'!A339</f>
        <v>https://doi.org/10.1145/3772363.3798512</v>
      </c>
      <c r="B339" s="35" t="str">
        <f>'Copy of INCEXC B'!A339</f>
        <v>https://doi.org/10.1145/3772363.3798512</v>
      </c>
      <c r="C339" s="28" t="b">
        <f t="shared" si="1"/>
        <v>1</v>
      </c>
      <c r="E339" s="28" t="str">
        <f>'Copy of INCEXC A'!C339</f>
        <v>“Just Listening Was Enough—Until It Wasn't”: Relationship-Stage-Aware Cognitive Scaffolding in AI Companions</v>
      </c>
      <c r="F339" s="28" t="str">
        <f>'Copy of INCEXC A'!D339</f>
        <v>Marilyn</v>
      </c>
      <c r="G339" s="28" t="str">
        <f>'Copy of INCEXC B'!D339</f>
        <v>Danni</v>
      </c>
      <c r="H339" s="28" t="str">
        <f>'Copy of INCEXC A'!E339</f>
        <v>Exclude</v>
      </c>
      <c r="I339" s="28" t="str">
        <f>'Copy of INCEXC B'!E339</f>
        <v>Include</v>
      </c>
      <c r="J339" s="28" t="b">
        <f t="shared" si="2"/>
        <v>0</v>
      </c>
      <c r="K339" s="28" t="b">
        <f t="shared" si="3"/>
        <v>0</v>
      </c>
    </row>
    <row r="340" hidden="1">
      <c r="A340" s="35" t="str">
        <f>'Copy of INCEXC A'!A340</f>
        <v>https://doi.org/10.1145/3772363.3798562</v>
      </c>
      <c r="B340" s="35" t="str">
        <f>'Copy of INCEXC B'!A340</f>
        <v>https://doi.org/10.1145/3772363.3798562</v>
      </c>
      <c r="C340" s="28" t="b">
        <f t="shared" si="1"/>
        <v>1</v>
      </c>
      <c r="E340" s="28" t="str">
        <f>'Copy of INCEXC A'!C340</f>
        <v>The Multilingual Safety Divide: Cross-Lingual Disparities in LLM Climate Misinformation Detection</v>
      </c>
      <c r="F340" s="28" t="str">
        <f>'Copy of INCEXC A'!D340</f>
        <v>Jonathan</v>
      </c>
      <c r="G340" s="28" t="str">
        <f>'Copy of INCEXC B'!D340</f>
        <v>Taylor</v>
      </c>
      <c r="H340" s="28" t="str">
        <f>'Copy of INCEXC A'!E340</f>
        <v/>
      </c>
      <c r="I340" s="28" t="str">
        <f>'Copy of INCEXC B'!E340</f>
        <v>Exclude</v>
      </c>
      <c r="J340" s="28" t="b">
        <f t="shared" si="2"/>
        <v>0</v>
      </c>
      <c r="K340" s="28" t="b">
        <f t="shared" si="3"/>
        <v>0</v>
      </c>
    </row>
    <row r="341" hidden="1">
      <c r="A341" s="35" t="str">
        <f>'Copy of INCEXC A'!A341</f>
        <v>https://doi.org/10.1145/3772363.3798575</v>
      </c>
      <c r="B341" s="35" t="str">
        <f>'Copy of INCEXC B'!A341</f>
        <v>https://doi.org/10.1145/3772363.3798575</v>
      </c>
      <c r="C341" s="28" t="b">
        <f t="shared" si="1"/>
        <v>1</v>
      </c>
      <c r="E341" s="28" t="str">
        <f>'Copy of INCEXC A'!C341</f>
        <v>When Flattery Backfires: How Sycophancy and Interaction Context Shape Perceived Authenticity and Trust in Large Language AI Models</v>
      </c>
      <c r="F341" s="28" t="str">
        <f>'Copy of INCEXC A'!D341</f>
        <v>Jonathan</v>
      </c>
      <c r="G341" s="28" t="str">
        <f>'Copy of INCEXC B'!D341</f>
        <v>Ceren</v>
      </c>
      <c r="H341" s="28" t="str">
        <f>'Copy of INCEXC A'!E341</f>
        <v/>
      </c>
      <c r="I341" s="28" t="str">
        <f>'Copy of INCEXC B'!E341</f>
        <v/>
      </c>
      <c r="J341" s="28" t="b">
        <f t="shared" si="2"/>
        <v>1</v>
      </c>
      <c r="K341" s="28" t="b">
        <f t="shared" si="3"/>
        <v>0</v>
      </c>
    </row>
    <row r="342" hidden="1">
      <c r="A342" s="35" t="str">
        <f>'Copy of INCEXC A'!A342</f>
        <v>https://doi.org/10.1145/3772363.3798611</v>
      </c>
      <c r="B342" s="35" t="str">
        <f>'Copy of INCEXC B'!A342</f>
        <v>https://doi.org/10.1145/3772363.3798611</v>
      </c>
      <c r="C342" s="28" t="b">
        <f t="shared" si="1"/>
        <v>1</v>
      </c>
      <c r="E342" s="28" t="str">
        <f>'Copy of INCEXC A'!C342</f>
        <v>Verbalizing LLMs' Assumptions About the User to Calibrate Expectations and Reduce Sycophancy</v>
      </c>
      <c r="F342" s="28" t="str">
        <f>'Copy of INCEXC A'!D342</f>
        <v>Jonathan</v>
      </c>
      <c r="G342" s="28" t="str">
        <f>'Copy of INCEXC B'!D342</f>
        <v>Taylor</v>
      </c>
      <c r="H342" s="28" t="str">
        <f>'Copy of INCEXC A'!E342</f>
        <v/>
      </c>
      <c r="I342" s="28" t="str">
        <f>'Copy of INCEXC B'!E342</f>
        <v>Include</v>
      </c>
      <c r="J342" s="28" t="b">
        <f t="shared" si="2"/>
        <v>0</v>
      </c>
      <c r="K342" s="28" t="b">
        <f t="shared" si="3"/>
        <v>0</v>
      </c>
    </row>
    <row r="343" hidden="1">
      <c r="A343" s="35" t="str">
        <f>'Copy of INCEXC A'!A343</f>
        <v>https://doi.org/10.1145/3772363.3798685</v>
      </c>
      <c r="B343" s="35" t="str">
        <f>'Copy of INCEXC B'!A343</f>
        <v>https://doi.org/10.1145/3772363.3798685</v>
      </c>
      <c r="C343" s="28" t="b">
        <f t="shared" si="1"/>
        <v>1</v>
      </c>
      <c r="E343" s="28" t="str">
        <f>'Copy of INCEXC A'!C343</f>
        <v>Who wants to be nagged by AI?: Investigating the Effects of Agreeableness on Older Adults' Perception of LLM-Based Voice Assistants' Explanations</v>
      </c>
      <c r="F343" s="28" t="str">
        <f>'Copy of INCEXC A'!D343</f>
        <v>Jonathan</v>
      </c>
      <c r="G343" s="28" t="str">
        <f>'Copy of INCEXC B'!D343</f>
        <v>Danni</v>
      </c>
      <c r="H343" s="28" t="str">
        <f>'Copy of INCEXC A'!E343</f>
        <v/>
      </c>
      <c r="I343" s="28" t="str">
        <f>'Copy of INCEXC B'!E343</f>
        <v>Exclude</v>
      </c>
      <c r="J343" s="28" t="b">
        <f t="shared" si="2"/>
        <v>0</v>
      </c>
      <c r="K343" s="28" t="b">
        <f t="shared" si="3"/>
        <v>0</v>
      </c>
    </row>
    <row r="344">
      <c r="A344" s="35" t="str">
        <f>'Copy of INCEXC A'!A344</f>
        <v>https://doi.org/10.1145/3772363.3798705</v>
      </c>
      <c r="B344" s="35" t="str">
        <f>'Copy of INCEXC B'!A344</f>
        <v>https://doi.org/10.1145/3772363.3798705</v>
      </c>
      <c r="C344" s="28" t="b">
        <f t="shared" si="1"/>
        <v>1</v>
      </c>
      <c r="D344" s="28" t="str">
        <f>'INCEXC A'!B337</f>
        <v>10.1145/3772363.3778745</v>
      </c>
      <c r="E344" s="28" t="str">
        <f>'Copy of INCEXC A'!C344</f>
        <v>When AI Agrees</v>
      </c>
      <c r="F344" s="28" t="str">
        <f>'Copy of INCEXC A'!D344</f>
        <v>Kaiser</v>
      </c>
      <c r="G344" s="28" t="str">
        <f>'Copy of INCEXC B'!D344</f>
        <v>Taylor</v>
      </c>
      <c r="H344" s="28" t="str">
        <f>'Copy of INCEXC A'!E344</f>
        <v>Include</v>
      </c>
      <c r="I344" s="28" t="str">
        <f>'Copy of INCEXC B'!E344</f>
        <v>Include</v>
      </c>
      <c r="J344" s="28" t="b">
        <f t="shared" si="2"/>
        <v>1</v>
      </c>
      <c r="K344" s="28" t="b">
        <f t="shared" si="3"/>
        <v>1</v>
      </c>
    </row>
    <row r="345" hidden="1">
      <c r="A345" s="35" t="str">
        <f>'Copy of INCEXC A'!A345</f>
        <v>https://doi.org/10.1145/3772363.3798812</v>
      </c>
      <c r="B345" s="35" t="str">
        <f>'Copy of INCEXC B'!A345</f>
        <v>https://doi.org/10.1145/3772363.3798812</v>
      </c>
      <c r="C345" s="28" t="b">
        <f t="shared" si="1"/>
        <v>1</v>
      </c>
      <c r="E345" s="28" t="str">
        <f>'Copy of INCEXC A'!C345</f>
        <v>I'm Thinking of Ending Things: Use of LLMs for Support During Break-ups</v>
      </c>
      <c r="F345" s="28" t="str">
        <f>'Copy of INCEXC A'!D345</f>
        <v>Marilyn</v>
      </c>
      <c r="G345" s="28" t="str">
        <f>'Copy of INCEXC B'!D345</f>
        <v>Ceren</v>
      </c>
      <c r="H345" s="28" t="str">
        <f>'Copy of INCEXC A'!E345</f>
        <v>Exclude</v>
      </c>
      <c r="I345" s="28" t="str">
        <f>'Copy of INCEXC B'!E345</f>
        <v/>
      </c>
      <c r="J345" s="28" t="b">
        <f t="shared" si="2"/>
        <v>0</v>
      </c>
      <c r="K345" s="28" t="b">
        <f t="shared" si="3"/>
        <v>0</v>
      </c>
    </row>
    <row r="346" hidden="1">
      <c r="A346" s="35" t="str">
        <f>'Copy of INCEXC A'!A346</f>
        <v>https://doi.org/10.1145/3772363.3798919</v>
      </c>
      <c r="B346" s="35" t="str">
        <f>'Copy of INCEXC B'!A346</f>
        <v>https://doi.org/10.1145/3772363.3798919</v>
      </c>
      <c r="C346" s="28" t="b">
        <f t="shared" si="1"/>
        <v>1</v>
      </c>
      <c r="E346" s="28" t="str">
        <f>'Copy of INCEXC A'!C346</f>
        <v>When Objects Gossip: Exploring Object-to-Object Conversation with GAI</v>
      </c>
      <c r="F346" s="28" t="str">
        <f>'Copy of INCEXC A'!D346</f>
        <v>Kaiser</v>
      </c>
      <c r="G346" s="28" t="str">
        <f>'Copy of INCEXC B'!D346</f>
        <v>Taylor</v>
      </c>
      <c r="H346" s="28" t="str">
        <f>'Copy of INCEXC A'!E346</f>
        <v>Exclude</v>
      </c>
      <c r="I346" s="28" t="str">
        <f>'Copy of INCEXC B'!E346</f>
        <v>Exclude</v>
      </c>
      <c r="J346" s="28" t="b">
        <f t="shared" si="2"/>
        <v>1</v>
      </c>
      <c r="K346" s="28" t="b">
        <f t="shared" si="3"/>
        <v>0</v>
      </c>
    </row>
    <row r="347" hidden="1">
      <c r="A347" s="35" t="str">
        <f>'Copy of INCEXC A'!A347</f>
        <v>https://doi.org/10.1145/3772363.3798923</v>
      </c>
      <c r="B347" s="35" t="str">
        <f>'Copy of INCEXC B'!A347</f>
        <v>https://doi.org/10.1145/3772363.3798923</v>
      </c>
      <c r="C347" s="28" t="b">
        <f t="shared" si="1"/>
        <v>1</v>
      </c>
      <c r="E347" s="28" t="str">
        <f>'Copy of INCEXC A'!C347</f>
        <v>ChatGPT Is a People Pleaser</v>
      </c>
      <c r="F347" s="28" t="str">
        <f>'Copy of INCEXC A'!D347</f>
        <v>Marilyn</v>
      </c>
      <c r="G347" s="28" t="str">
        <f>'Copy of INCEXC B'!D347</f>
        <v>Taylor</v>
      </c>
      <c r="H347" s="28" t="str">
        <f>'Copy of INCEXC A'!E347</f>
        <v>Exclude</v>
      </c>
      <c r="I347" s="28" t="str">
        <f>'Copy of INCEXC B'!E347</f>
        <v>Include</v>
      </c>
      <c r="J347" s="28" t="b">
        <f t="shared" si="2"/>
        <v>0</v>
      </c>
      <c r="K347" s="28" t="b">
        <f t="shared" si="3"/>
        <v>0</v>
      </c>
    </row>
    <row r="348" hidden="1">
      <c r="A348" s="35" t="str">
        <f>'Copy of INCEXC A'!A348</f>
        <v>https://doi.org/10.1145/3772363.3798995</v>
      </c>
      <c r="B348" s="35" t="str">
        <f>'Copy of INCEXC B'!A348</f>
        <v>https://doi.org/10.1145/3772363.3798995</v>
      </c>
      <c r="C348" s="28" t="b">
        <f t="shared" si="1"/>
        <v>1</v>
      </c>
      <c r="E348" s="28" t="str">
        <f>'Copy of INCEXC A'!C348</f>
        <v>Codex Relatio: A Descriptive Framework for Analyzing Relational Dynamics in Human–AI Interaction</v>
      </c>
      <c r="F348" s="28" t="str">
        <f>'Copy of INCEXC A'!D348</f>
        <v>Marilyn</v>
      </c>
      <c r="G348" s="28" t="str">
        <f>'Copy of INCEXC B'!D348</f>
        <v>Danni</v>
      </c>
      <c r="H348" s="28" t="str">
        <f>'Copy of INCEXC A'!E348</f>
        <v>Exclude</v>
      </c>
      <c r="I348" s="28" t="str">
        <f>'Copy of INCEXC B'!E348</f>
        <v>Exclude</v>
      </c>
      <c r="J348" s="28" t="b">
        <f t="shared" si="2"/>
        <v>1</v>
      </c>
      <c r="K348" s="28" t="b">
        <f t="shared" si="3"/>
        <v>0</v>
      </c>
    </row>
    <row r="349" hidden="1">
      <c r="A349" s="35" t="str">
        <f>'Copy of INCEXC A'!A349</f>
        <v>https://doi.org/10.1145/3772363.3799156</v>
      </c>
      <c r="B349" s="35" t="str">
        <f>'Copy of INCEXC B'!A349</f>
        <v>https://doi.org/10.1145/3772363.3799156</v>
      </c>
      <c r="C349" s="28" t="b">
        <f t="shared" si="1"/>
        <v>1</v>
      </c>
      <c r="E349" s="28" t="str">
        <f>'Copy of INCEXC A'!C349</f>
        <v>Demoing Stochastic Parrot: A Candid AI Cohabitant</v>
      </c>
      <c r="F349" s="28" t="str">
        <f>'Copy of INCEXC A'!D349</f>
        <v>Marilyn</v>
      </c>
      <c r="G349" s="28" t="str">
        <f>'Copy of INCEXC B'!D349</f>
        <v>Danni</v>
      </c>
      <c r="H349" s="28" t="str">
        <f>'Copy of INCEXC A'!E349</f>
        <v>Exclude</v>
      </c>
      <c r="I349" s="28" t="str">
        <f>'Copy of INCEXC B'!E349</f>
        <v>Include</v>
      </c>
      <c r="J349" s="28" t="b">
        <f t="shared" si="2"/>
        <v>0</v>
      </c>
      <c r="K349" s="28" t="b">
        <f t="shared" si="3"/>
        <v>0</v>
      </c>
    </row>
    <row r="350" hidden="1">
      <c r="A350" s="35" t="str">
        <f>'Copy of INCEXC A'!A350</f>
        <v>https://doi.org/10.1145/3772363.3799334</v>
      </c>
      <c r="B350" s="35" t="str">
        <f>'Copy of INCEXC B'!A350</f>
        <v>https://doi.org/10.1145/3772363.3799334</v>
      </c>
      <c r="C350" s="28" t="b">
        <f t="shared" si="1"/>
        <v>1</v>
      </c>
      <c r="E350" s="28" t="str">
        <f>'Copy of INCEXC A'!C350</f>
        <v>Maintaining Stable Personas? Examining Temporal Stability in LLM-Based Human Simulation</v>
      </c>
      <c r="F350" s="28" t="str">
        <f>'Copy of INCEXC A'!D350</f>
        <v>Kaiser</v>
      </c>
      <c r="G350" s="28" t="str">
        <f>'Copy of INCEXC B'!D350</f>
        <v>Taylor</v>
      </c>
      <c r="H350" s="28" t="str">
        <f>'Copy of INCEXC A'!E350</f>
        <v>Include</v>
      </c>
      <c r="I350" s="28" t="str">
        <f>'Copy of INCEXC B'!E350</f>
        <v>Exclude</v>
      </c>
      <c r="J350" s="28" t="b">
        <f t="shared" si="2"/>
        <v>0</v>
      </c>
      <c r="K350" s="28" t="b">
        <f t="shared" si="3"/>
        <v>0</v>
      </c>
    </row>
    <row r="351">
      <c r="A351" s="35" t="str">
        <f>'Copy of INCEXC A'!A351</f>
        <v>https://doi.org/10.1145/3774904.3792506</v>
      </c>
      <c r="B351" s="35" t="str">
        <f>'Copy of INCEXC B'!A351</f>
        <v>https://doi.org/10.1145/3774904.3792506</v>
      </c>
      <c r="C351" s="28" t="b">
        <f t="shared" si="1"/>
        <v>1</v>
      </c>
      <c r="D351" s="28" t="str">
        <f>'INCEXC A'!B344</f>
        <v>10.1145/3772363.3798705</v>
      </c>
      <c r="E351" s="28" t="str">
        <f>'Copy of INCEXC A'!C351</f>
        <v>Acting Flatterers via LLMs Sycophancy: Combating Clickbait with LLMs Opposing-Stance Reasoning</v>
      </c>
      <c r="F351" s="28" t="str">
        <f>'Copy of INCEXC A'!D351</f>
        <v>Kaiser</v>
      </c>
      <c r="G351" s="28" t="str">
        <f>'Copy of INCEXC B'!D351</f>
        <v>Danni</v>
      </c>
      <c r="H351" s="28" t="str">
        <f>'Copy of INCEXC A'!E351</f>
        <v>Include</v>
      </c>
      <c r="I351" s="28" t="str">
        <f>'Copy of INCEXC B'!E351</f>
        <v>Include</v>
      </c>
      <c r="J351" s="28" t="b">
        <f t="shared" si="2"/>
        <v>1</v>
      </c>
      <c r="K351" s="28" t="b">
        <f t="shared" si="3"/>
        <v>1</v>
      </c>
    </row>
    <row r="352" hidden="1">
      <c r="A352" s="35" t="str">
        <f>'Copy of INCEXC A'!A352</f>
        <v>https://doi.org/10.1145/3774904.3792671</v>
      </c>
      <c r="B352" s="35" t="str">
        <f>'Copy of INCEXC B'!A352</f>
        <v>https://doi.org/10.1145/3774904.3792671</v>
      </c>
      <c r="C352" s="28" t="b">
        <f t="shared" si="1"/>
        <v>1</v>
      </c>
      <c r="E352" s="28" t="str">
        <f>'Copy of INCEXC A'!C352</f>
        <v>The Algorithmic Self-Portrait:Deconstructing Memory in ChatGPT</v>
      </c>
      <c r="F352" s="28" t="str">
        <f>'Copy of INCEXC A'!D352</f>
        <v>Kaiser</v>
      </c>
      <c r="G352" s="28" t="str">
        <f>'Copy of INCEXC B'!D352</f>
        <v>Taylor</v>
      </c>
      <c r="H352" s="28" t="str">
        <f>'Copy of INCEXC A'!E352</f>
        <v>Exclude</v>
      </c>
      <c r="I352" s="28" t="str">
        <f>'Copy of INCEXC B'!E352</f>
        <v>Exclude</v>
      </c>
      <c r="J352" s="28" t="b">
        <f t="shared" si="2"/>
        <v>1</v>
      </c>
      <c r="K352" s="28" t="b">
        <f t="shared" si="3"/>
        <v>0</v>
      </c>
    </row>
    <row r="353" hidden="1">
      <c r="A353" s="35" t="str">
        <f>'Copy of INCEXC A'!A353</f>
        <v>https://doi.org/10.1145/3774904.3792976</v>
      </c>
      <c r="B353" s="35" t="str">
        <f>'Copy of INCEXC B'!A353</f>
        <v>https://doi.org/10.1145/3774904.3792976</v>
      </c>
      <c r="C353" s="28" t="b">
        <f t="shared" si="1"/>
        <v>1</v>
      </c>
      <c r="E353" s="28" t="str">
        <f>'Copy of INCEXC A'!C353</f>
        <v>Belief-Driven Multi-Agent Collaboration via Approximate Perfect Bayesian Equilibrium for Social Simulation</v>
      </c>
      <c r="F353" s="28" t="str">
        <f>'Copy of INCEXC A'!D353</f>
        <v>Jonathan</v>
      </c>
      <c r="G353" s="28" t="str">
        <f>'Copy of INCEXC B'!D353</f>
        <v>Danni</v>
      </c>
      <c r="H353" s="28" t="str">
        <f>'Copy of INCEXC A'!E353</f>
        <v/>
      </c>
      <c r="I353" s="28" t="str">
        <f>'Copy of INCEXC B'!E353</f>
        <v>Exclude</v>
      </c>
      <c r="J353" s="28" t="b">
        <f t="shared" si="2"/>
        <v>0</v>
      </c>
      <c r="K353" s="28" t="b">
        <f t="shared" si="3"/>
        <v>0</v>
      </c>
    </row>
    <row r="354">
      <c r="A354" s="35" t="str">
        <f>'Copy of INCEXC A'!A354</f>
        <v>https://doi.org/10.1145/3776734.3794532</v>
      </c>
      <c r="B354" s="35" t="str">
        <f>'Copy of INCEXC B'!A354</f>
        <v>https://doi.org/10.1145/3776734.3794532</v>
      </c>
      <c r="C354" s="28" t="b">
        <f t="shared" si="1"/>
        <v>1</v>
      </c>
      <c r="D354" s="28" t="str">
        <f>'INCEXC A'!B347</f>
        <v>10.1145/3772363.3798923</v>
      </c>
      <c r="E354" s="28" t="str">
        <f>'Copy of INCEXC A'!C354</f>
        <v>Robotic Sycophancy: A Scoping Review</v>
      </c>
      <c r="F354" s="28" t="str">
        <f>'Copy of INCEXC A'!D354</f>
        <v>Kaiser</v>
      </c>
      <c r="G354" s="28" t="str">
        <f>'Copy of INCEXC B'!D354</f>
        <v>Danni</v>
      </c>
      <c r="H354" s="28" t="str">
        <f>'Copy of INCEXC A'!E354</f>
        <v>Include</v>
      </c>
      <c r="I354" s="28" t="str">
        <f>'Copy of INCEXC B'!E354</f>
        <v>Include</v>
      </c>
      <c r="J354" s="28" t="b">
        <f t="shared" si="2"/>
        <v>1</v>
      </c>
      <c r="K354" s="28" t="b">
        <f t="shared" si="3"/>
        <v>1</v>
      </c>
    </row>
    <row r="355" hidden="1">
      <c r="A355" s="35" t="str">
        <f>'Copy of INCEXC A'!A355</f>
        <v>https://doi.org/10.1145/3778354</v>
      </c>
      <c r="B355" s="35" t="str">
        <f>'Copy of INCEXC B'!A355</f>
        <v>https://doi.org/10.1145/3778354</v>
      </c>
      <c r="C355" s="28" t="b">
        <f t="shared" si="1"/>
        <v>1</v>
      </c>
      <c r="E355" s="28" t="str">
        <f>'Copy of INCEXC A'!C355</f>
        <v>Exploring the Human-LLM Synergy in Advancing Theory-driven Qualitative Analysis</v>
      </c>
      <c r="F355" s="28" t="str">
        <f>'Copy of INCEXC A'!D355</f>
        <v>Kaiser</v>
      </c>
      <c r="G355" s="28" t="str">
        <f>'Copy of INCEXC B'!D355</f>
        <v>Danni</v>
      </c>
      <c r="H355" s="28" t="str">
        <f>'Copy of INCEXC A'!E355</f>
        <v>Exclude</v>
      </c>
      <c r="I355" s="28" t="str">
        <f>'Copy of INCEXC B'!E355</f>
        <v>Exclude</v>
      </c>
      <c r="J355" s="28" t="b">
        <f t="shared" si="2"/>
        <v>1</v>
      </c>
      <c r="K355" s="28" t="b">
        <f t="shared" si="3"/>
        <v>0</v>
      </c>
    </row>
    <row r="356" hidden="1">
      <c r="A356" s="35" t="str">
        <f>'Copy of INCEXC A'!A356</f>
        <v>https://doi.org/10.1145/3779295</v>
      </c>
      <c r="B356" s="35" t="str">
        <f>'Copy of INCEXC B'!A356</f>
        <v>https://doi.org/10.1145/3779295</v>
      </c>
      <c r="C356" s="28" t="b">
        <f t="shared" si="1"/>
        <v>1</v>
      </c>
      <c r="E356" s="28" t="str">
        <f>'Copy of INCEXC A'!C356</f>
        <v>“Robot Emotions Are Not Real!”: Future Factory Workers’ Perceptions</v>
      </c>
      <c r="F356" s="28" t="str">
        <f>'Copy of INCEXC A'!D356</f>
        <v>Jonathan</v>
      </c>
      <c r="G356" s="28" t="str">
        <f>'Copy of INCEXC B'!D356</f>
        <v>Danni</v>
      </c>
      <c r="H356" s="28" t="str">
        <f>'Copy of INCEXC A'!E356</f>
        <v/>
      </c>
      <c r="I356" s="28" t="str">
        <f>'Copy of INCEXC B'!E356</f>
        <v>Exclude</v>
      </c>
      <c r="J356" s="28" t="b">
        <f t="shared" si="2"/>
        <v>0</v>
      </c>
      <c r="K356" s="28" t="b">
        <f t="shared" si="3"/>
        <v>0</v>
      </c>
    </row>
    <row r="357" hidden="1">
      <c r="A357" s="35" t="str">
        <f>'Copy of INCEXC A'!A357</f>
        <v>https://doi.org/10.1145/3786167.3788413</v>
      </c>
      <c r="B357" s="35" t="str">
        <f>'Copy of INCEXC B'!A357</f>
        <v>https://doi.org/10.1145/3786167.3788413</v>
      </c>
      <c r="C357" s="28" t="b">
        <f t="shared" si="1"/>
        <v>1</v>
      </c>
      <c r="E357" s="28" t="str">
        <f>'Copy of INCEXC A'!C357</f>
        <v>Not All Problems Are Nails</v>
      </c>
      <c r="F357" s="28" t="str">
        <f>'Copy of INCEXC A'!D357</f>
        <v>Jonathan</v>
      </c>
      <c r="G357" s="28" t="str">
        <f>'Copy of INCEXC B'!D357</f>
        <v>Ceren</v>
      </c>
      <c r="H357" s="28" t="str">
        <f>'Copy of INCEXC A'!E357</f>
        <v/>
      </c>
      <c r="I357" s="28" t="str">
        <f>'Copy of INCEXC B'!E357</f>
        <v/>
      </c>
      <c r="J357" s="28" t="b">
        <f t="shared" si="2"/>
        <v>1</v>
      </c>
      <c r="K357" s="28" t="b">
        <f t="shared" si="3"/>
        <v>0</v>
      </c>
    </row>
    <row r="358" hidden="1">
      <c r="A358" s="35" t="str">
        <f>'Copy of INCEXC A'!A358</f>
        <v>https://doi.org/10.1145/3786304.3787865</v>
      </c>
      <c r="B358" s="35" t="str">
        <f>'Copy of INCEXC B'!A358</f>
        <v>https://doi.org/10.1145/3786304.3787865</v>
      </c>
      <c r="C358" s="28" t="b">
        <f t="shared" si="1"/>
        <v>1</v>
      </c>
      <c r="E358" s="28" t="str">
        <f>'Copy of INCEXC A'!C358</f>
        <v>Although Powerful	it's not Infallible: Investigating Academic Researchers' Verification Challenges with LLMs</v>
      </c>
      <c r="F358" s="28" t="str">
        <f>'Copy of INCEXC A'!D358</f>
        <v>Kaiser</v>
      </c>
      <c r="G358" s="28" t="str">
        <f>'Copy of INCEXC B'!D358</f>
        <v>Taylor</v>
      </c>
      <c r="H358" s="28" t="str">
        <f>'Copy of INCEXC A'!E358</f>
        <v>Exclude</v>
      </c>
      <c r="I358" s="28" t="str">
        <f>'Copy of INCEXC B'!E358</f>
        <v>Include</v>
      </c>
      <c r="J358" s="28" t="b">
        <f t="shared" si="2"/>
        <v>0</v>
      </c>
      <c r="K358" s="28" t="b">
        <f t="shared" si="3"/>
        <v>0</v>
      </c>
    </row>
    <row r="359" hidden="1">
      <c r="A359" s="35" t="str">
        <f>'Copy of INCEXC A'!A359</f>
        <v>https://doi.org/10.1145/3786304.3787879</v>
      </c>
      <c r="B359" s="35" t="str">
        <f>'Copy of INCEXC B'!A359</f>
        <v>https://doi.org/10.1145/3786304.3787879</v>
      </c>
      <c r="C359" s="28" t="b">
        <f t="shared" si="1"/>
        <v>1</v>
      </c>
      <c r="E359" s="28" t="str">
        <f>'Copy of INCEXC A'!C359</f>
        <v>Confirmation</v>
      </c>
      <c r="F359" s="28" t="str">
        <f>'Copy of INCEXC A'!D359</f>
        <v>Jonathan</v>
      </c>
      <c r="G359" s="28" t="str">
        <f>'Copy of INCEXC B'!D359</f>
        <v>Taylor</v>
      </c>
      <c r="H359" s="28" t="str">
        <f>'Copy of INCEXC A'!E359</f>
        <v/>
      </c>
      <c r="I359" s="28" t="str">
        <f>'Copy of INCEXC B'!E359</f>
        <v>Include</v>
      </c>
      <c r="J359" s="28" t="b">
        <f t="shared" si="2"/>
        <v>0</v>
      </c>
      <c r="K359" s="28" t="b">
        <f t="shared" si="3"/>
        <v>0</v>
      </c>
    </row>
    <row r="360" hidden="1">
      <c r="A360" s="35" t="str">
        <f>'Copy of INCEXC A'!A360</f>
        <v>https://doi.org/10.1145/3786304.3787891</v>
      </c>
      <c r="B360" s="35" t="str">
        <f>'Copy of INCEXC B'!A360</f>
        <v>https://doi.org/10.1145/3786304.3787891</v>
      </c>
      <c r="C360" s="28" t="b">
        <f t="shared" si="1"/>
        <v>1</v>
      </c>
      <c r="E360" s="28" t="str">
        <f>'Copy of INCEXC A'!C360</f>
        <v>Offscript: Agentic Auditing of Instruction Adherence in LLMs</v>
      </c>
      <c r="F360" s="28" t="str">
        <f>'Copy of INCEXC A'!D360</f>
        <v>Jonathan</v>
      </c>
      <c r="G360" s="28" t="str">
        <f>'Copy of INCEXC B'!D360</f>
        <v>Ceren</v>
      </c>
      <c r="H360" s="28" t="str">
        <f>'Copy of INCEXC A'!E360</f>
        <v/>
      </c>
      <c r="I360" s="28" t="str">
        <f>'Copy of INCEXC B'!E360</f>
        <v/>
      </c>
      <c r="J360" s="28" t="b">
        <f t="shared" si="2"/>
        <v>1</v>
      </c>
      <c r="K360" s="28" t="b">
        <f t="shared" si="3"/>
        <v>0</v>
      </c>
    </row>
    <row r="361" hidden="1">
      <c r="A361" s="35" t="str">
        <f>'Copy of INCEXC A'!A361</f>
        <v>https://doi.org/10.1145/3786335.3813137</v>
      </c>
      <c r="B361" s="35" t="str">
        <f>'Copy of INCEXC B'!A361</f>
        <v>https://doi.org/10.1145/3786335.3813137</v>
      </c>
      <c r="C361" s="28" t="b">
        <f t="shared" si="1"/>
        <v>1</v>
      </c>
      <c r="E361" s="28" t="str">
        <f>'Copy of INCEXC A'!C361</f>
        <v>The Cost of Consensus: Isolated Self-Correction Prevails Over Unguided Homogeneous Multi-Agent Debate</v>
      </c>
      <c r="F361" s="28" t="str">
        <f>'Copy of INCEXC A'!D361</f>
        <v>Jonathan</v>
      </c>
      <c r="G361" s="28" t="str">
        <f>'Copy of INCEXC B'!D361</f>
        <v>Danni</v>
      </c>
      <c r="H361" s="28" t="str">
        <f>'Copy of INCEXC A'!E361</f>
        <v/>
      </c>
      <c r="I361" s="28" t="str">
        <f>'Copy of INCEXC B'!E361</f>
        <v>Include</v>
      </c>
      <c r="J361" s="28" t="b">
        <f t="shared" si="2"/>
        <v>0</v>
      </c>
      <c r="K361" s="28" t="b">
        <f t="shared" si="3"/>
        <v>0</v>
      </c>
    </row>
    <row r="362" hidden="1">
      <c r="A362" s="35" t="str">
        <f>'Copy of INCEXC A'!A362</f>
        <v>https://doi.org/10.1145/3788646.3789536</v>
      </c>
      <c r="B362" s="35" t="str">
        <f>'Copy of INCEXC B'!A362</f>
        <v>https://doi.org/10.1145/3788646.3789536</v>
      </c>
      <c r="C362" s="28" t="b">
        <f t="shared" si="1"/>
        <v>1</v>
      </c>
      <c r="E362" s="28" t="str">
        <f>'Copy of INCEXC A'!C362</f>
        <v>AI-Assisted Moot Courts: Simulating Justice-Specific Questioning in Oral Arguments</v>
      </c>
      <c r="F362" s="28" t="str">
        <f>'Copy of INCEXC A'!D362</f>
        <v>Marilyn</v>
      </c>
      <c r="G362" s="28" t="str">
        <f>'Copy of INCEXC B'!D362</f>
        <v>Taylor</v>
      </c>
      <c r="H362" s="28" t="str">
        <f>'Copy of INCEXC A'!E362</f>
        <v>Exclude</v>
      </c>
      <c r="I362" s="28" t="str">
        <f>'Copy of INCEXC B'!E362</f>
        <v>Include</v>
      </c>
      <c r="J362" s="28" t="b">
        <f t="shared" si="2"/>
        <v>0</v>
      </c>
      <c r="K362" s="28" t="b">
        <f t="shared" si="3"/>
        <v>0</v>
      </c>
    </row>
    <row r="363" hidden="1">
      <c r="A363" s="35" t="str">
        <f>'Copy of INCEXC A'!A363</f>
        <v>https://doi.org/10.1145/3793638.3793643</v>
      </c>
      <c r="B363" s="35" t="str">
        <f>'Copy of INCEXC B'!A363</f>
        <v>https://doi.org/10.1145/3793638.3793643</v>
      </c>
      <c r="C363" s="28" t="b">
        <f t="shared" si="1"/>
        <v>1</v>
      </c>
      <c r="E363" s="28" t="str">
        <f>'Copy of INCEXC A'!C363</f>
        <v>How Linguistic Variation Shapes Hallucination Risk in Large Language Models: A Psychometric Perspective</v>
      </c>
      <c r="F363" s="28" t="str">
        <f>'Copy of INCEXC A'!D363</f>
        <v>Jonathan</v>
      </c>
      <c r="G363" s="28" t="str">
        <f>'Copy of INCEXC B'!D363</f>
        <v>Ceren</v>
      </c>
      <c r="H363" s="28" t="str">
        <f>'Copy of INCEXC A'!E363</f>
        <v/>
      </c>
      <c r="I363" s="28" t="str">
        <f>'Copy of INCEXC B'!E363</f>
        <v/>
      </c>
      <c r="J363" s="28" t="b">
        <f t="shared" si="2"/>
        <v>1</v>
      </c>
      <c r="K363" s="28" t="b">
        <f t="shared" si="3"/>
        <v>0</v>
      </c>
    </row>
    <row r="364" hidden="1">
      <c r="A364" s="35" t="str">
        <f>'Copy of INCEXC A'!A364</f>
        <v>https://doi.org/10.1145/3793679</v>
      </c>
      <c r="B364" s="35" t="str">
        <f>'Copy of INCEXC B'!A364</f>
        <v>https://doi.org/10.1145/3793679</v>
      </c>
      <c r="C364" s="28" t="b">
        <f t="shared" si="1"/>
        <v>1</v>
      </c>
      <c r="E364" s="28" t="str">
        <f>'Copy of INCEXC A'!C364</f>
        <v>Who’s Sorry Now: User Preferences Among Rote</v>
      </c>
      <c r="F364" s="28" t="str">
        <f>'Copy of INCEXC A'!D364</f>
        <v>Jonathan</v>
      </c>
      <c r="G364" s="28" t="str">
        <f>'Copy of INCEXC B'!D364</f>
        <v>Ceren</v>
      </c>
      <c r="H364" s="28" t="str">
        <f>'Copy of INCEXC A'!E364</f>
        <v/>
      </c>
      <c r="I364" s="28" t="str">
        <f>'Copy of INCEXC B'!E364</f>
        <v/>
      </c>
      <c r="J364" s="28" t="b">
        <f t="shared" si="2"/>
        <v>1</v>
      </c>
      <c r="K364" s="28" t="b">
        <f t="shared" si="3"/>
        <v>0</v>
      </c>
    </row>
    <row r="365" hidden="1">
      <c r="A365" s="35" t="str">
        <f>'Copy of INCEXC A'!A365</f>
        <v>https://doi.org/10.1145/3799914.3799919</v>
      </c>
      <c r="B365" s="35" t="str">
        <f>'Copy of INCEXC B'!A365</f>
        <v>https://doi.org/10.1145/3799914.3799919</v>
      </c>
      <c r="C365" s="28" t="b">
        <f t="shared" si="1"/>
        <v>1</v>
      </c>
      <c r="E365" s="28" t="str">
        <f>'Copy of INCEXC A'!C365</f>
        <v>About Authenticity in Information Retrieval: A Keynote at ICTIR 2025</v>
      </c>
      <c r="F365" s="28" t="str">
        <f>'Copy of INCEXC A'!D365</f>
        <v>Marilyn</v>
      </c>
      <c r="G365" s="28" t="str">
        <f>'Copy of INCEXC B'!D365</f>
        <v>Danni</v>
      </c>
      <c r="H365" s="28" t="str">
        <f>'Copy of INCEXC A'!E365</f>
        <v>Exclude</v>
      </c>
      <c r="I365" s="28" t="str">
        <f>'Copy of INCEXC B'!E365</f>
        <v>Exclude</v>
      </c>
      <c r="J365" s="28" t="b">
        <f t="shared" si="2"/>
        <v>1</v>
      </c>
      <c r="K365" s="28" t="b">
        <f t="shared" si="3"/>
        <v>0</v>
      </c>
    </row>
    <row r="366" hidden="1">
      <c r="A366" s="35" t="str">
        <f>'Copy of INCEXC A'!A366</f>
        <v>https://doi.org/10.1145/3800580</v>
      </c>
      <c r="B366" s="35" t="str">
        <f>'Copy of INCEXC B'!A366</f>
        <v>https://doi.org/10.1145/3800580</v>
      </c>
      <c r="C366" s="28" t="b">
        <f t="shared" si="1"/>
        <v>1</v>
      </c>
      <c r="E366" s="28" t="str">
        <f>'Copy of INCEXC A'!C366</f>
        <v>Novice Developers’ Perspectives on Adopting LLMs for Software Development: A Systematic Literature Review</v>
      </c>
      <c r="F366" s="28" t="str">
        <f>'Copy of INCEXC A'!D366</f>
        <v>Marilyn</v>
      </c>
      <c r="G366" s="28" t="str">
        <f>'Copy of INCEXC B'!D366</f>
        <v>Ceren</v>
      </c>
      <c r="H366" s="28" t="str">
        <f>'Copy of INCEXC A'!E366</f>
        <v>Exclude</v>
      </c>
      <c r="I366" s="28" t="str">
        <f>'Copy of INCEXC B'!E366</f>
        <v>Exclude</v>
      </c>
      <c r="J366" s="28" t="b">
        <f t="shared" si="2"/>
        <v>1</v>
      </c>
      <c r="K366" s="28" t="b">
        <f t="shared" si="3"/>
        <v>0</v>
      </c>
    </row>
    <row r="367" hidden="1">
      <c r="A367" s="35" t="str">
        <f>'Copy of INCEXC A'!A367</f>
        <v>https://doi.org/10.1145/3800683</v>
      </c>
      <c r="B367" s="35" t="str">
        <f>'Copy of INCEXC B'!A367</f>
        <v>https://doi.org/10.1145/3800683</v>
      </c>
      <c r="C367" s="28" t="b">
        <f t="shared" si="1"/>
        <v>1</v>
      </c>
      <c r="E367" s="28" t="str">
        <f>'Copy of INCEXC A'!C367</f>
        <v>From Individual to Society: A Survey on Social Simulation Driven by Large Language Model-based Agents</v>
      </c>
      <c r="F367" s="28" t="str">
        <f>'Copy of INCEXC A'!D367</f>
        <v>Marilyn</v>
      </c>
      <c r="G367" s="28" t="str">
        <f>'Copy of INCEXC B'!D367</f>
        <v>Taylor</v>
      </c>
      <c r="H367" s="28" t="str">
        <f>'Copy of INCEXC A'!E367</f>
        <v>Exclude</v>
      </c>
      <c r="I367" s="28" t="str">
        <f>'Copy of INCEXC B'!E367</f>
        <v>Include</v>
      </c>
      <c r="J367" s="28" t="b">
        <f t="shared" si="2"/>
        <v>0</v>
      </c>
      <c r="K367" s="28" t="b">
        <f t="shared" si="3"/>
        <v>0</v>
      </c>
    </row>
    <row r="368" hidden="1">
      <c r="A368" s="35" t="str">
        <f>'Copy of INCEXC A'!A368</f>
        <v>https://doi.org/10.1145/3800687</v>
      </c>
      <c r="B368" s="35" t="str">
        <f>'Copy of INCEXC B'!A368</f>
        <v>https://doi.org/10.1145/3800687</v>
      </c>
      <c r="C368" s="28" t="b">
        <f t="shared" si="1"/>
        <v>1</v>
      </c>
      <c r="E368" s="28" t="str">
        <f>'Copy of INCEXC A'!C368</f>
        <v>Must Read: A Comprehensive Survey of Computational Persuasion</v>
      </c>
      <c r="F368" s="28" t="str">
        <f>'Copy of INCEXC A'!D368</f>
        <v>Kaiser</v>
      </c>
      <c r="G368" s="28" t="str">
        <f>'Copy of INCEXC B'!D368</f>
        <v>Ceren</v>
      </c>
      <c r="H368" s="28" t="str">
        <f>'Copy of INCEXC A'!E368</f>
        <v>Exclude</v>
      </c>
      <c r="I368" s="28" t="str">
        <f>'Copy of INCEXC B'!E368</f>
        <v/>
      </c>
      <c r="J368" s="28" t="b">
        <f t="shared" si="2"/>
        <v>0</v>
      </c>
      <c r="K368" s="28" t="b">
        <f t="shared" si="3"/>
        <v>0</v>
      </c>
    </row>
    <row r="369" hidden="1">
      <c r="A369" s="35" t="str">
        <f>'Copy of INCEXC A'!A369</f>
        <v>https://doi.org/10.1145/3802598</v>
      </c>
      <c r="B369" s="35" t="str">
        <f>'Copy of INCEXC B'!A369</f>
        <v>https://doi.org/10.1145/3802598</v>
      </c>
      <c r="C369" s="28" t="b">
        <f t="shared" si="1"/>
        <v>1</v>
      </c>
      <c r="E369" s="28" t="str">
        <f>'Copy of INCEXC A'!C369</f>
        <v>Chatbots’ Downward Spiral</v>
      </c>
      <c r="F369" s="28" t="str">
        <f>'Copy of INCEXC A'!D369</f>
        <v>Jonathan</v>
      </c>
      <c r="G369" s="28" t="str">
        <f>'Copy of INCEXC B'!D369</f>
        <v>Danni</v>
      </c>
      <c r="H369" s="28" t="str">
        <f>'Copy of INCEXC A'!E369</f>
        <v/>
      </c>
      <c r="I369" s="28" t="str">
        <f>'Copy of INCEXC B'!E369</f>
        <v>Exclude</v>
      </c>
      <c r="J369" s="28" t="b">
        <f t="shared" si="2"/>
        <v>0</v>
      </c>
      <c r="K369" s="28" t="b">
        <f t="shared" si="3"/>
        <v>0</v>
      </c>
    </row>
    <row r="370" hidden="1">
      <c r="A370" s="35" t="str">
        <f>'Copy of INCEXC A'!A370</f>
        <v>https://doi.org/10.1145/3810945</v>
      </c>
      <c r="B370" s="35" t="str">
        <f>'Copy of INCEXC B'!A370</f>
        <v>https://doi.org/10.1145/3810945</v>
      </c>
      <c r="C370" s="28" t="b">
        <f t="shared" si="1"/>
        <v>1</v>
      </c>
      <c r="E370" s="28" t="str">
        <f>'Copy of INCEXC A'!C370</f>
        <v>Participatory Research with Youth for Responsible AI in the Netherlands: the perspective and design requirements of youth from diverse backgrounds for an AI-based digital mental health app</v>
      </c>
      <c r="F370" s="28" t="str">
        <f>'Copy of INCEXC A'!D370</f>
        <v>Jonathan</v>
      </c>
      <c r="G370" s="28" t="str">
        <f>'Copy of INCEXC B'!D370</f>
        <v>Ceren</v>
      </c>
      <c r="H370" s="28" t="str">
        <f>'Copy of INCEXC A'!E370</f>
        <v/>
      </c>
      <c r="I370" s="28" t="str">
        <f>'Copy of INCEXC B'!E370</f>
        <v/>
      </c>
      <c r="J370" s="28" t="b">
        <f t="shared" si="2"/>
        <v>1</v>
      </c>
      <c r="K370" s="28" t="b">
        <f t="shared" si="3"/>
        <v>0</v>
      </c>
    </row>
    <row r="371" hidden="1">
      <c r="A371" s="35" t="str">
        <f>'Copy of INCEXC A'!A371</f>
        <v>https://doi.org/10.1145/3815195</v>
      </c>
      <c r="B371" s="35" t="str">
        <f>'Copy of INCEXC B'!A371</f>
        <v>https://doi.org/10.1145/3815195</v>
      </c>
      <c r="C371" s="28" t="b">
        <f t="shared" si="1"/>
        <v>1</v>
      </c>
      <c r="E371" s="28" t="str">
        <f>'Copy of INCEXC A'!C371</f>
        <v>Imperfect AI</v>
      </c>
      <c r="F371" s="28" t="str">
        <f>'Copy of INCEXC A'!D371</f>
        <v>Marilyn</v>
      </c>
      <c r="G371" s="28" t="str">
        <f>'Copy of INCEXC B'!D371</f>
        <v>Taylor</v>
      </c>
      <c r="H371" s="28" t="str">
        <f>'Copy of INCEXC A'!E371</f>
        <v>Exclude</v>
      </c>
      <c r="I371" s="28" t="str">
        <f>'Copy of INCEXC B'!E371</f>
        <v>Exclude</v>
      </c>
      <c r="J371" s="28" t="b">
        <f t="shared" si="2"/>
        <v>1</v>
      </c>
      <c r="K371" s="28" t="b">
        <f t="shared" si="3"/>
        <v>0</v>
      </c>
    </row>
    <row r="372" hidden="1">
      <c r="A372" s="35" t="str">
        <f>'Copy of INCEXC A'!A372</f>
        <v>https://doi.org/10.1145/381807.381810</v>
      </c>
      <c r="B372" s="35" t="str">
        <f>'Copy of INCEXC B'!A372</f>
        <v>https://doi.org/10.1145/381807.381810</v>
      </c>
      <c r="C372" s="28" t="b">
        <f t="shared" si="1"/>
        <v>1</v>
      </c>
      <c r="E372" s="28" t="str">
        <f>'Copy of INCEXC A'!C372</f>
        <v>ACM SIGOIS worldwide membership directory</v>
      </c>
      <c r="F372" s="28" t="str">
        <f>'Copy of INCEXC A'!D372</f>
        <v>Jonathan</v>
      </c>
      <c r="G372" s="28" t="str">
        <f>'Copy of INCEXC B'!D372</f>
        <v>Ceren</v>
      </c>
      <c r="H372" s="28" t="str">
        <f>'Copy of INCEXC A'!E372</f>
        <v/>
      </c>
      <c r="I372" s="28" t="str">
        <f>'Copy of INCEXC B'!E372</f>
        <v/>
      </c>
      <c r="J372" s="28" t="b">
        <f t="shared" si="2"/>
        <v>1</v>
      </c>
      <c r="K372" s="28" t="b">
        <f t="shared" si="3"/>
        <v>0</v>
      </c>
    </row>
    <row r="373" hidden="1">
      <c r="A373" s="35" t="str">
        <f>'Copy of INCEXC A'!A373</f>
        <v>https://doi.org/10.1145/514236.514248</v>
      </c>
      <c r="B373" s="35" t="str">
        <f>'Copy of INCEXC B'!A373</f>
        <v>https://doi.org/10.1145/514236.514248</v>
      </c>
      <c r="C373" s="28" t="b">
        <f t="shared" si="1"/>
        <v>1</v>
      </c>
      <c r="E373" s="28" t="str">
        <f>'Copy of INCEXC A'!C373</f>
        <v>Forum</v>
      </c>
      <c r="F373" s="28" t="str">
        <f>'Copy of INCEXC A'!D373</f>
        <v>Jonathan</v>
      </c>
      <c r="G373" s="28" t="str">
        <f>'Copy of INCEXC B'!D373</f>
        <v>Danni</v>
      </c>
      <c r="H373" s="28" t="str">
        <f>'Copy of INCEXC A'!E373</f>
        <v/>
      </c>
      <c r="I373" s="28" t="str">
        <f>'Copy of INCEXC B'!E373</f>
        <v>Exclude</v>
      </c>
      <c r="J373" s="28" t="b">
        <f t="shared" si="2"/>
        <v>0</v>
      </c>
      <c r="K373" s="28" t="b">
        <f t="shared" si="3"/>
        <v>0</v>
      </c>
    </row>
    <row r="374" hidden="1">
      <c r="A374" s="35" t="str">
        <f>'Copy of INCEXC A'!A374</f>
        <v>https://doi.org/10.1145/581710.581733</v>
      </c>
      <c r="B374" s="35" t="str">
        <f>'Copy of INCEXC B'!A374</f>
        <v>https://doi.org/10.1145/581710.581733</v>
      </c>
      <c r="C374" s="28" t="b">
        <f t="shared" si="1"/>
        <v>1</v>
      </c>
      <c r="E374" s="28" t="str">
        <f>'Copy of INCEXC A'!C374</f>
        <v>Scripting the interactor: an approach to VR drama</v>
      </c>
      <c r="F374" s="28" t="str">
        <f>'Copy of INCEXC A'!D374</f>
        <v>Jonathan</v>
      </c>
      <c r="G374" s="28" t="str">
        <f>'Copy of INCEXC B'!D374</f>
        <v>Danni</v>
      </c>
      <c r="H374" s="28" t="str">
        <f>'Copy of INCEXC A'!E374</f>
        <v/>
      </c>
      <c r="I374" s="28" t="str">
        <f>'Copy of INCEXC B'!E374</f>
        <v>Exclude</v>
      </c>
      <c r="J374" s="28" t="b">
        <f t="shared" si="2"/>
        <v>0</v>
      </c>
      <c r="K374" s="28" t="b">
        <f t="shared" si="3"/>
        <v>0</v>
      </c>
    </row>
    <row r="375" hidden="1">
      <c r="A375" s="35" t="str">
        <f>'Copy of INCEXC A'!A375</f>
        <v>https://doi.org/10.1145/63047.63088</v>
      </c>
      <c r="B375" s="35" t="str">
        <f>'Copy of INCEXC B'!A375</f>
        <v>https://doi.org/10.1145/63047.63088</v>
      </c>
      <c r="C375" s="28" t="b">
        <f t="shared" si="1"/>
        <v>1</v>
      </c>
      <c r="E375" s="28" t="str">
        <f>'Copy of INCEXC A'!C375</f>
        <v>Chess on a hypercube</v>
      </c>
      <c r="F375" s="28" t="str">
        <f>'Copy of INCEXC A'!D375</f>
        <v>Marilyn</v>
      </c>
      <c r="G375" s="28" t="str">
        <f>'Copy of INCEXC B'!D375</f>
        <v>Ceren</v>
      </c>
      <c r="H375" s="28" t="str">
        <f>'Copy of INCEXC A'!E375</f>
        <v>Exclude</v>
      </c>
      <c r="I375" s="28" t="str">
        <f>'Copy of INCEXC B'!E375</f>
        <v/>
      </c>
      <c r="J375" s="28" t="b">
        <f t="shared" si="2"/>
        <v>0</v>
      </c>
      <c r="K375" s="28" t="b">
        <f t="shared" si="3"/>
        <v>0</v>
      </c>
    </row>
    <row r="376" hidden="1">
      <c r="A376" s="35" t="str">
        <f>'Copy of INCEXC A'!A376</f>
        <v>https://doi.org/10.1145/6617.6618</v>
      </c>
      <c r="B376" s="35" t="str">
        <f>'Copy of INCEXC B'!A376</f>
        <v>https://doi.org/10.1145/6617.6618</v>
      </c>
      <c r="C376" s="28" t="b">
        <f t="shared" si="1"/>
        <v>1</v>
      </c>
      <c r="E376" s="28" t="str">
        <f>'Copy of INCEXC A'!C376</f>
        <v>Notable computer networks</v>
      </c>
      <c r="F376" s="28" t="str">
        <f>'Copy of INCEXC A'!D376</f>
        <v>Marilyn</v>
      </c>
      <c r="G376" s="28" t="str">
        <f>'Copy of INCEXC B'!D376</f>
        <v>Danni</v>
      </c>
      <c r="H376" s="28" t="str">
        <f>'Copy of INCEXC A'!E376</f>
        <v>Exclude</v>
      </c>
      <c r="I376" s="28" t="str">
        <f>'Copy of INCEXC B'!E376</f>
        <v>Exclude</v>
      </c>
      <c r="J376" s="28" t="b">
        <f t="shared" si="2"/>
        <v>1</v>
      </c>
      <c r="K376" s="28" t="b">
        <f t="shared" si="3"/>
        <v>0</v>
      </c>
    </row>
    <row r="377" hidden="1">
      <c r="A377" s="35" t="str">
        <f>'Copy of INCEXC A'!A377</f>
        <v>https://doi.org/10.1145/67544.66934</v>
      </c>
      <c r="B377" s="35" t="str">
        <f>'Copy of INCEXC B'!A377</f>
        <v>https://doi.org/10.1145/67544.66934</v>
      </c>
      <c r="C377" s="28" t="b">
        <f t="shared" si="1"/>
        <v>1</v>
      </c>
      <c r="E377" s="28" t="str">
        <f>'Copy of INCEXC A'!C377</f>
        <v>Incorporating hierarchy in a relational model of data</v>
      </c>
      <c r="F377" s="28" t="str">
        <f>'Copy of INCEXC A'!D377</f>
        <v>Marilyn</v>
      </c>
      <c r="G377" s="28" t="str">
        <f>'Copy of INCEXC B'!D377</f>
        <v>Ceren</v>
      </c>
      <c r="H377" s="28" t="str">
        <f>'Copy of INCEXC A'!E377</f>
        <v>Exclude</v>
      </c>
      <c r="I377" s="28" t="str">
        <f>'Copy of INCEXC B'!E377</f>
        <v/>
      </c>
      <c r="J377" s="28" t="b">
        <f t="shared" si="2"/>
        <v>0</v>
      </c>
      <c r="K377" s="28" t="b">
        <f t="shared" si="3"/>
        <v>0</v>
      </c>
    </row>
    <row r="378" hidden="1">
      <c r="A378" s="35" t="str">
        <f>'Copy of INCEXC A'!A378</f>
        <v>https://doi.org/10.1145/764008.763957</v>
      </c>
      <c r="B378" s="35" t="str">
        <f>'Copy of INCEXC B'!A378</f>
        <v>https://doi.org/10.1145/764008.763957</v>
      </c>
      <c r="C378" s="28" t="b">
        <f t="shared" si="1"/>
        <v>1</v>
      </c>
      <c r="E378" s="28" t="str">
        <f>'Copy of INCEXC A'!C378</f>
        <v>Persuasive technology: using computers to change what we think and do</v>
      </c>
      <c r="F378" s="28" t="str">
        <f>'Copy of INCEXC A'!D378</f>
        <v>Marilyn</v>
      </c>
      <c r="G378" s="28" t="str">
        <f>'Copy of INCEXC B'!D378</f>
        <v>Danni</v>
      </c>
      <c r="H378" s="28" t="str">
        <f>'Copy of INCEXC A'!E378</f>
        <v>Exclude</v>
      </c>
      <c r="I378" s="28" t="str">
        <f>'Copy of INCEXC B'!E378</f>
        <v>Exclude</v>
      </c>
      <c r="J378" s="28" t="b">
        <f t="shared" si="2"/>
        <v>1</v>
      </c>
      <c r="K378" s="28" t="b">
        <f t="shared" si="3"/>
        <v>0</v>
      </c>
    </row>
    <row r="379" hidden="1">
      <c r="A379" s="35" t="str">
        <f>'Copy of INCEXC A'!A379</f>
        <v>https://doi.org/10.14236/ewic/BCSHCI2025.10</v>
      </c>
      <c r="B379" s="35" t="str">
        <f>'Copy of INCEXC B'!A379</f>
        <v>https://doi.org/10.14236/ewic/BCSHCI2025.10</v>
      </c>
      <c r="C379" s="28" t="b">
        <f t="shared" si="1"/>
        <v>1</v>
      </c>
      <c r="E379" s="28" t="str">
        <f>'Copy of INCEXC A'!C379</f>
        <v>‘Chattable’ Avatars: Using LLMs to Power Visitor Engagement with Historical Persons</v>
      </c>
      <c r="F379" s="28" t="str">
        <f>'Copy of INCEXC A'!D379</f>
        <v>Marilyn</v>
      </c>
      <c r="G379" s="28" t="str">
        <f>'Copy of INCEXC B'!D379</f>
        <v>Taylor</v>
      </c>
      <c r="H379" s="28" t="str">
        <f>'Copy of INCEXC A'!E379</f>
        <v>Exclude</v>
      </c>
      <c r="I379" s="28" t="str">
        <f>'Copy of INCEXC B'!E379</f>
        <v>Exclude</v>
      </c>
      <c r="J379" s="28" t="b">
        <f t="shared" si="2"/>
        <v>1</v>
      </c>
      <c r="K379" s="28" t="b">
        <f t="shared" si="3"/>
        <v>0</v>
      </c>
    </row>
    <row r="380" hidden="1">
      <c r="A380" s="35" t="str">
        <f>'Copy of INCEXC A'!A380</f>
        <v>https://doi.org/10.14778/1920841.1921015</v>
      </c>
      <c r="B380" s="35" t="str">
        <f>'Copy of INCEXC B'!A380</f>
        <v>https://doi.org/10.14778/1920841.1921015</v>
      </c>
      <c r="C380" s="28" t="b">
        <f t="shared" si="1"/>
        <v>1</v>
      </c>
      <c r="E380" s="28" t="str">
        <f>'Copy of INCEXC A'!C380</f>
        <v>FlashStore: high throughput persistent key-value store</v>
      </c>
      <c r="F380" s="28" t="str">
        <f>'Copy of INCEXC A'!D380</f>
        <v>Jonathan</v>
      </c>
      <c r="G380" s="28" t="str">
        <f>'Copy of INCEXC B'!D380</f>
        <v>Danni</v>
      </c>
      <c r="H380" s="28" t="str">
        <f>'Copy of INCEXC A'!E380</f>
        <v/>
      </c>
      <c r="I380" s="28" t="str">
        <f>'Copy of INCEXC B'!E380</f>
        <v>Exclude</v>
      </c>
      <c r="J380" s="28" t="b">
        <f t="shared" si="2"/>
        <v>0</v>
      </c>
      <c r="K380" s="28" t="b">
        <f t="shared" si="3"/>
        <v>0</v>
      </c>
    </row>
    <row r="381" hidden="1">
      <c r="A381" s="35" t="str">
        <f>'Copy of INCEXC A'!A381</f>
        <v>https://doi.org/10.14778/1938545.1938549</v>
      </c>
      <c r="B381" s="35" t="str">
        <f>'Copy of INCEXC B'!A381</f>
        <v>https://doi.org/10.14778/1938545.1938549</v>
      </c>
      <c r="C381" s="28" t="b">
        <f t="shared" si="1"/>
        <v>1</v>
      </c>
      <c r="E381" s="28" t="str">
        <f>'Copy of INCEXC A'!C381</f>
        <v>Using Paxos to build a scalable</v>
      </c>
      <c r="F381" s="28" t="str">
        <f>'Copy of INCEXC A'!D381</f>
        <v>Jonathan</v>
      </c>
      <c r="G381" s="28" t="str">
        <f>'Copy of INCEXC B'!D381</f>
        <v>Taylor</v>
      </c>
      <c r="H381" s="28" t="str">
        <f>'Copy of INCEXC A'!E381</f>
        <v/>
      </c>
      <c r="I381" s="28" t="str">
        <f>'Copy of INCEXC B'!E381</f>
        <v>Exclude</v>
      </c>
      <c r="J381" s="28" t="b">
        <f t="shared" si="2"/>
        <v>0</v>
      </c>
      <c r="K381" s="28" t="b">
        <f t="shared" si="3"/>
        <v>0</v>
      </c>
    </row>
    <row r="382" hidden="1">
      <c r="A382" s="35" t="str">
        <f>'Copy of INCEXC A'!A382</f>
        <v>https://doi.org/10.14778/2947618.2947625</v>
      </c>
      <c r="B382" s="35" t="str">
        <f>'Copy of INCEXC B'!A382</f>
        <v>https://doi.org/10.14778/2947618.2947625</v>
      </c>
      <c r="C382" s="28" t="b">
        <f t="shared" si="1"/>
        <v>1</v>
      </c>
      <c r="E382" s="28" t="str">
        <f>'Copy of INCEXC A'!C382</f>
        <v>An experimental evaluation of datacenter workloads on low-power embedded micro servers</v>
      </c>
      <c r="F382" s="28" t="str">
        <f>'Copy of INCEXC A'!D382</f>
        <v>Marilyn</v>
      </c>
      <c r="G382" s="28" t="str">
        <f>'Copy of INCEXC B'!D382</f>
        <v>Ceren</v>
      </c>
      <c r="H382" s="28" t="str">
        <f>'Copy of INCEXC A'!E382</f>
        <v>Exclude</v>
      </c>
      <c r="I382" s="28" t="str">
        <f>'Copy of INCEXC B'!E382</f>
        <v/>
      </c>
      <c r="J382" s="28" t="b">
        <f t="shared" si="2"/>
        <v>0</v>
      </c>
      <c r="K382" s="28" t="b">
        <f t="shared" si="3"/>
        <v>0</v>
      </c>
    </row>
    <row r="383" hidden="1">
      <c r="A383" s="35" t="str">
        <f>'Copy of INCEXC A'!A383</f>
        <v>https://doi.org/10.14778/3025111.3025113</v>
      </c>
      <c r="B383" s="35" t="str">
        <f>'Copy of INCEXC B'!A383</f>
        <v>https://doi.org/10.14778/3025111.3025113</v>
      </c>
      <c r="C383" s="28" t="b">
        <f t="shared" si="1"/>
        <v>1</v>
      </c>
      <c r="E383" s="28" t="str">
        <f>'Copy of INCEXC A'!C383</f>
        <v>Bluecache: a scalable distributed flash-based key-value store</v>
      </c>
      <c r="F383" s="28" t="str">
        <f>'Copy of INCEXC A'!D383</f>
        <v>Marilyn</v>
      </c>
      <c r="G383" s="28" t="str">
        <f>'Copy of INCEXC B'!D383</f>
        <v>Taylor</v>
      </c>
      <c r="H383" s="28" t="str">
        <f>'Copy of INCEXC A'!E383</f>
        <v>Exclude</v>
      </c>
      <c r="I383" s="28" t="str">
        <f>'Copy of INCEXC B'!E383</f>
        <v>Exclude</v>
      </c>
      <c r="J383" s="28" t="b">
        <f t="shared" si="2"/>
        <v>1</v>
      </c>
      <c r="K383" s="28" t="b">
        <f t="shared" si="3"/>
        <v>0</v>
      </c>
    </row>
    <row r="384" hidden="1">
      <c r="A384" s="35" t="str">
        <f>'Copy of INCEXC A'!A384</f>
        <v>https://doi.org/10.14778/3476311.3476373</v>
      </c>
      <c r="B384" s="35" t="str">
        <f>'Copy of INCEXC B'!A384</f>
        <v>https://doi.org/10.14778/3476311.3476373</v>
      </c>
      <c r="C384" s="28" t="b">
        <f t="shared" si="1"/>
        <v>1</v>
      </c>
      <c r="E384" s="28" t="str">
        <f>'Copy of INCEXC A'!C384</f>
        <v>The end of Moore's law and the rise of the data processor</v>
      </c>
      <c r="F384" s="28" t="str">
        <f>'Copy of INCEXC A'!D384</f>
        <v>Jonathan</v>
      </c>
      <c r="G384" s="28" t="str">
        <f>'Copy of INCEXC B'!D384</f>
        <v>Danni</v>
      </c>
      <c r="H384" s="28" t="str">
        <f>'Copy of INCEXC A'!E384</f>
        <v/>
      </c>
      <c r="I384" s="28" t="str">
        <f>'Copy of INCEXC B'!E384</f>
        <v>Exclude</v>
      </c>
      <c r="J384" s="28" t="b">
        <f t="shared" si="2"/>
        <v>0</v>
      </c>
      <c r="K384" s="28" t="b">
        <f t="shared" si="3"/>
        <v>0</v>
      </c>
    </row>
    <row r="385" hidden="1">
      <c r="A385" s="35" t="str">
        <f>'Copy of INCEXC A'!A385</f>
        <v>https://doi.org/10.1613/jair.1.17654</v>
      </c>
      <c r="B385" s="35" t="str">
        <f>'Copy of INCEXC B'!A385</f>
        <v>https://doi.org/10.1613/jair.1.17654</v>
      </c>
      <c r="C385" s="28" t="b">
        <f t="shared" si="1"/>
        <v>1</v>
      </c>
      <c r="E385" s="28" t="str">
        <f>'Copy of INCEXC A'!C385</f>
        <v>Against The Achilles' Heel: A Survey on Red Teaming for Generative Models</v>
      </c>
      <c r="F385" s="28" t="str">
        <f>'Copy of INCEXC A'!D385</f>
        <v>Jonathan</v>
      </c>
      <c r="G385" s="28" t="str">
        <f>'Copy of INCEXC B'!D385</f>
        <v>Ceren</v>
      </c>
      <c r="H385" s="28" t="str">
        <f>'Copy of INCEXC A'!E385</f>
        <v/>
      </c>
      <c r="I385" s="28" t="str">
        <f>'Copy of INCEXC B'!E385</f>
        <v>Exclude</v>
      </c>
      <c r="J385" s="28" t="b">
        <f t="shared" si="2"/>
        <v>0</v>
      </c>
      <c r="K385" s="28" t="b">
        <f t="shared" si="3"/>
        <v>0</v>
      </c>
    </row>
    <row r="386" hidden="1">
      <c r="A386" s="35" t="str">
        <f>'Copy of INCEXC A'!A386</f>
        <v>https://doi.org/10.3115/1117554.1117558</v>
      </c>
      <c r="B386" s="35" t="str">
        <f>'Copy of INCEXC B'!A386</f>
        <v>https://doi.org/10.3115/1117554.1117558</v>
      </c>
      <c r="C386" s="28" t="b">
        <f t="shared" si="1"/>
        <v>1</v>
      </c>
      <c r="E386" s="28" t="str">
        <f>'Copy of INCEXC A'!C386</f>
        <v>An interlingua aiming at communication on the web: how language-independent can it be?</v>
      </c>
      <c r="F386" s="28" t="str">
        <f>'Copy of INCEXC A'!D386</f>
        <v>Marilyn</v>
      </c>
      <c r="G386" s="28" t="str">
        <f>'Copy of INCEXC B'!D386</f>
        <v>Taylor</v>
      </c>
      <c r="H386" s="28" t="str">
        <f>'Copy of INCEXC A'!E386</f>
        <v>Exclude</v>
      </c>
      <c r="I386" s="28" t="str">
        <f>'Copy of INCEXC B'!E386</f>
        <v>Exclude</v>
      </c>
      <c r="J386" s="28" t="b">
        <f t="shared" si="2"/>
        <v>1</v>
      </c>
      <c r="K386" s="28" t="b">
        <f t="shared" si="3"/>
        <v>0</v>
      </c>
    </row>
    <row r="387" hidden="1">
      <c r="A387" s="35" t="str">
        <f>'Copy of INCEXC A'!A387</f>
        <v>https://doi.org/10.3115/1220175.1220289</v>
      </c>
      <c r="B387" s="35" t="str">
        <f>'Copy of INCEXC B'!A387</f>
        <v>https://doi.org/10.3115/1220175.1220289</v>
      </c>
      <c r="C387" s="28" t="b">
        <f t="shared" si="1"/>
        <v>1</v>
      </c>
      <c r="E387" s="28" t="str">
        <f>'Copy of INCEXC A'!C387</f>
        <v>Methods for using textual entailment in open-domain question answering</v>
      </c>
      <c r="F387" s="28" t="str">
        <f>'Copy of INCEXC A'!D387</f>
        <v>Kaiser</v>
      </c>
      <c r="G387" s="28" t="str">
        <f>'Copy of INCEXC B'!D387</f>
        <v>Ceren</v>
      </c>
      <c r="H387" s="28" t="str">
        <f>'Copy of INCEXC A'!E387</f>
        <v>Exclude</v>
      </c>
      <c r="I387" s="28" t="str">
        <f>'Copy of INCEXC B'!E387</f>
        <v/>
      </c>
      <c r="J387" s="28" t="b">
        <f t="shared" si="2"/>
        <v>0</v>
      </c>
      <c r="K387" s="28" t="b">
        <f t="shared" si="3"/>
        <v>0</v>
      </c>
    </row>
    <row r="388" hidden="1">
      <c r="A388" s="35" t="str">
        <f>'Copy of INCEXC A'!A388</f>
        <v>https://doi.org/10.3115/980262.980281</v>
      </c>
      <c r="B388" s="35" t="str">
        <f>'Copy of INCEXC B'!A388</f>
        <v>https://doi.org/10.3115/980262.980281</v>
      </c>
      <c r="C388" s="28" t="b">
        <f t="shared" si="1"/>
        <v>1</v>
      </c>
      <c r="E388" s="28" t="str">
        <f>'Copy of INCEXC A'!C388</f>
        <v>Assent and compliance in children's language comprehension</v>
      </c>
      <c r="F388" s="28" t="str">
        <f>'Copy of INCEXC A'!D388</f>
        <v>Marilyn</v>
      </c>
      <c r="G388" s="28" t="str">
        <f>'Copy of INCEXC B'!D388</f>
        <v>Ceren</v>
      </c>
      <c r="H388" s="28" t="str">
        <f>'Copy of INCEXC A'!E388</f>
        <v>Exclude</v>
      </c>
      <c r="I388" s="28" t="str">
        <f>'Copy of INCEXC B'!E388</f>
        <v/>
      </c>
      <c r="J388" s="28" t="b">
        <f t="shared" si="2"/>
        <v>0</v>
      </c>
      <c r="K388" s="28" t="b">
        <f t="shared" si="3"/>
        <v>0</v>
      </c>
    </row>
    <row r="389" hidden="1">
      <c r="A389" s="35" t="str">
        <f>'Copy of INCEXC A'!A389</f>
        <v>https://doi.org/10.3115/981175.981177</v>
      </c>
      <c r="B389" s="35" t="str">
        <f>'Copy of INCEXC B'!A389</f>
        <v>https://doi.org/10.3115/981175.981177</v>
      </c>
      <c r="C389" s="28" t="b">
        <f t="shared" si="1"/>
        <v>1</v>
      </c>
      <c r="E389" s="28" t="str">
        <f>'Copy of INCEXC A'!C389</f>
        <v>A compositional semantics of temporal expressions in English</v>
      </c>
      <c r="F389" s="28" t="str">
        <f>'Copy of INCEXC A'!D389</f>
        <v>Marilyn</v>
      </c>
      <c r="G389" s="28" t="str">
        <f>'Copy of INCEXC B'!D389</f>
        <v>Ceren</v>
      </c>
      <c r="H389" s="28" t="str">
        <f>'Copy of INCEXC A'!E389</f>
        <v>Exclude</v>
      </c>
      <c r="I389" s="28" t="str">
        <f>'Copy of INCEXC B'!E389</f>
        <v/>
      </c>
      <c r="J389" s="28" t="b">
        <f t="shared" si="2"/>
        <v>0</v>
      </c>
      <c r="K389" s="28" t="b">
        <f t="shared" si="3"/>
        <v>0</v>
      </c>
    </row>
    <row r="390" hidden="1">
      <c r="A390" s="35" t="str">
        <f>'Copy of INCEXC A'!A390</f>
        <v>https://doi.org/10.3115/981436.981467</v>
      </c>
      <c r="B390" s="35" t="str">
        <f>'Copy of INCEXC B'!A390</f>
        <v>https://doi.org/10.3115/981436.981467</v>
      </c>
      <c r="C390" s="28" t="b">
        <f t="shared" si="1"/>
        <v>1</v>
      </c>
      <c r="E390" s="28" t="str">
        <f>'Copy of INCEXC A'!C390</f>
        <v>Flexible parsing</v>
      </c>
      <c r="F390" s="28" t="str">
        <f>'Copy of INCEXC A'!D390</f>
        <v>Jonathan</v>
      </c>
      <c r="G390" s="28" t="str">
        <f>'Copy of INCEXC B'!D390</f>
        <v>Danni</v>
      </c>
      <c r="H390" s="28" t="str">
        <f>'Copy of INCEXC A'!E390</f>
        <v/>
      </c>
      <c r="I390" s="28" t="str">
        <f>'Copy of INCEXC B'!E390</f>
        <v>Exclude</v>
      </c>
      <c r="J390" s="28" t="b">
        <f t="shared" si="2"/>
        <v>0</v>
      </c>
      <c r="K390" s="28" t="b">
        <f t="shared" si="3"/>
        <v>0</v>
      </c>
    </row>
    <row r="391" hidden="1">
      <c r="A391" s="35" t="str">
        <f>'Copy of INCEXC A'!A391</f>
        <v>https://doi.org/10.3115/990820.990864</v>
      </c>
      <c r="B391" s="35" t="str">
        <f>'Copy of INCEXC B'!A391</f>
        <v>https://doi.org/10.3115/990820.990864</v>
      </c>
      <c r="C391" s="28" t="b">
        <f t="shared" si="1"/>
        <v>1</v>
      </c>
      <c r="E391" s="28" t="str">
        <f>'Copy of INCEXC A'!C391</f>
        <v>Effects of adjective orientation and gradability on sentence subjectivity</v>
      </c>
      <c r="F391" s="28" t="str">
        <f>'Copy of INCEXC A'!D391</f>
        <v>Jonathan</v>
      </c>
      <c r="G391" s="28" t="str">
        <f>'Copy of INCEXC B'!D391</f>
        <v>Danni</v>
      </c>
      <c r="H391" s="28" t="str">
        <f>'Copy of INCEXC A'!E391</f>
        <v/>
      </c>
      <c r="I391" s="28" t="str">
        <f>'Copy of INCEXC B'!E391</f>
        <v>Exclude</v>
      </c>
      <c r="J391" s="28" t="b">
        <f t="shared" si="2"/>
        <v>0</v>
      </c>
      <c r="K391" s="28" t="b">
        <f t="shared" si="3"/>
        <v>0</v>
      </c>
    </row>
    <row r="392" hidden="1">
      <c r="A392" s="35" t="str">
        <f>'Copy of INCEXC A'!A392</f>
        <v>https://doi.org/10.3115/991886.991938</v>
      </c>
      <c r="B392" s="35" t="str">
        <f>'Copy of INCEXC B'!A392</f>
        <v>https://doi.org/10.3115/991886.991938</v>
      </c>
      <c r="C392" s="28" t="b">
        <f t="shared" si="1"/>
        <v>1</v>
      </c>
      <c r="E392" s="28" t="str">
        <f>'Copy of INCEXC A'!C392</f>
        <v>Co-occurrence vectors from corpora vs. distance vectors from dictionaries</v>
      </c>
      <c r="F392" s="28" t="str">
        <f>'Copy of INCEXC A'!D392</f>
        <v>Marilyn</v>
      </c>
      <c r="G392" s="28" t="str">
        <f>'Copy of INCEXC B'!D392</f>
        <v>Ceren</v>
      </c>
      <c r="H392" s="28" t="str">
        <f>'Copy of INCEXC A'!E392</f>
        <v>Exclude</v>
      </c>
      <c r="I392" s="28" t="str">
        <f>'Copy of INCEXC B'!E392</f>
        <v>Exclude</v>
      </c>
      <c r="J392" s="28" t="b">
        <f t="shared" si="2"/>
        <v>1</v>
      </c>
      <c r="K392" s="28" t="b">
        <f t="shared" si="3"/>
        <v>0</v>
      </c>
    </row>
    <row r="393" hidden="1">
      <c r="A393" s="35" t="str">
        <f>'Copy of INCEXC A'!A393</f>
        <v>https://doi.org/10.3115/991886.991970</v>
      </c>
      <c r="B393" s="35" t="str">
        <f>'Copy of INCEXC B'!A393</f>
        <v>https://doi.org/10.3115/991886.991970</v>
      </c>
      <c r="C393" s="28" t="b">
        <f t="shared" si="1"/>
        <v>1</v>
      </c>
      <c r="E393" s="28" t="str">
        <f>'Copy of INCEXC A'!C393</f>
        <v>PRINCIPAR: an efficient</v>
      </c>
      <c r="F393" s="28" t="str">
        <f>'Copy of INCEXC A'!D393</f>
        <v>Marilyn</v>
      </c>
      <c r="G393" s="28" t="str">
        <f>'Copy of INCEXC B'!D393</f>
        <v>Danni</v>
      </c>
      <c r="H393" s="28" t="str">
        <f>'Copy of INCEXC A'!E393</f>
        <v>Exclude</v>
      </c>
      <c r="I393" s="28" t="str">
        <f>'Copy of INCEXC B'!E393</f>
        <v>Exclude</v>
      </c>
      <c r="J393" s="28" t="b">
        <f t="shared" si="2"/>
        <v>1</v>
      </c>
      <c r="K393" s="28" t="b">
        <f t="shared" si="3"/>
        <v>0</v>
      </c>
    </row>
    <row r="394" hidden="1">
      <c r="A394" s="35" t="str">
        <f>'Copy of INCEXC A'!A394</f>
        <v>https://ieeexplore.ieee.org/stamp/stamp.jsp?arnumber=11270034</v>
      </c>
      <c r="B394" s="35" t="str">
        <f>'Copy of INCEXC B'!A394</f>
        <v>https://ieeexplore.ieee.org/stamp/stamp.jsp?arnumber=11270034</v>
      </c>
      <c r="C394" s="28" t="b">
        <f t="shared" si="1"/>
        <v>1</v>
      </c>
      <c r="E394" s="28" t="str">
        <f>'Copy of INCEXC A'!C394</f>
        <v>IEEE Approved Draft Recommended Practice for Ethical Considerations of Emulated Empathy in Partner-based General-Purpose Artificial Intelligence Systems</v>
      </c>
      <c r="F394" s="28" t="str">
        <f>'Copy of INCEXC A'!D394</f>
        <v>Jonathan</v>
      </c>
      <c r="G394" s="28" t="str">
        <f>'Copy of INCEXC B'!D394</f>
        <v>Danni</v>
      </c>
      <c r="H394" s="28" t="str">
        <f>'Copy of INCEXC A'!E394</f>
        <v/>
      </c>
      <c r="I394" s="28" t="str">
        <f>'Copy of INCEXC B'!E394</f>
        <v>Exclude</v>
      </c>
      <c r="J394" s="28" t="b">
        <f t="shared" si="2"/>
        <v>0</v>
      </c>
      <c r="K394" s="28" t="b">
        <f t="shared" si="3"/>
        <v>0</v>
      </c>
    </row>
    <row r="395" hidden="1">
      <c r="A395" s="35" t="str">
        <f>'Copy of INCEXC A'!A395</f>
        <v>https://ieeexplore.ieee.org/xpl/ebooks/bookPdfWithBanner.jsp?fileName=8646901.pdf&amp;bkn=8646803&amp;pdfType=chapter</v>
      </c>
      <c r="B395" s="35" t="str">
        <f>'Copy of INCEXC B'!A395</f>
        <v>https://ieeexplore.ieee.org/stamp/stamp.jsp?arnumber=6921105</v>
      </c>
      <c r="C395" s="28" t="b">
        <f t="shared" si="1"/>
        <v>0</v>
      </c>
      <c r="E395" s="28" t="str">
        <f>'Copy of INCEXC A'!C395</f>
        <v>7 Empowered by Games: Games as a Means of Self-Expression and Activism</v>
      </c>
      <c r="F395" s="28" t="str">
        <f>'Copy of INCEXC A'!D395</f>
        <v>Kaiser</v>
      </c>
      <c r="G395" s="28" t="str">
        <f>'Copy of INCEXC B'!D395</f>
        <v>Ceren</v>
      </c>
      <c r="H395" s="28" t="str">
        <f>'Copy of INCEXC A'!E395</f>
        <v>Exclude</v>
      </c>
      <c r="I395" s="28" t="str">
        <f>'Copy of INCEXC B'!E395</f>
        <v/>
      </c>
      <c r="J395" s="28" t="b">
        <f t="shared" si="2"/>
        <v>0</v>
      </c>
      <c r="K395" s="28" t="b">
        <f t="shared" si="3"/>
        <v>0</v>
      </c>
    </row>
    <row r="396" hidden="1">
      <c r="A396" s="35" t="str">
        <f>'Copy of INCEXC A'!A396</f>
        <v>https://ieeexplore.ieee.org/stamp/stamp.jsp?arnumber=6921105</v>
      </c>
      <c r="B396" s="35" t="str">
        <f>'Copy of INCEXC B'!A396</f>
        <v>https://ieeexplore.ieee.org/xpl/ebooks/bookPdfWithBanner.jsp?fileName=8646901.pdf&amp;bkn=8646803&amp;pdfType=chapter</v>
      </c>
      <c r="C396" s="28" t="b">
        <f t="shared" si="1"/>
        <v>0</v>
      </c>
      <c r="E396" s="28" t="str">
        <f>'Copy of INCEXC A'!C396</f>
        <v>Exploring the national role and position of international technology diffusion: A technological embeddedness perspective</v>
      </c>
      <c r="F396" s="28" t="str">
        <f>'Copy of INCEXC A'!D396</f>
        <v>Kaiser</v>
      </c>
      <c r="G396" s="28" t="str">
        <f>'Copy of INCEXC B'!D396</f>
        <v>Taylor</v>
      </c>
      <c r="H396" s="28" t="str">
        <f>'Copy of INCEXC A'!E396</f>
        <v>Exclude</v>
      </c>
      <c r="I396" s="28" t="str">
        <f>'Copy of INCEXC B'!E396</f>
        <v>Exclude</v>
      </c>
      <c r="J396" s="28" t="b">
        <f t="shared" si="2"/>
        <v>1</v>
      </c>
      <c r="K396" s="28" t="b">
        <f t="shared" si="3"/>
        <v>0</v>
      </c>
    </row>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K$1:$K$1000">
    <filterColumn colId="0">
      <filters>
        <filter val="TRUE"/>
      </filters>
    </filterColumn>
  </autoFil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7.88"/>
    <col customWidth="1" min="2" max="2" width="4.88"/>
    <col customWidth="1" min="3" max="3" width="3.75"/>
    <col customWidth="1" min="4" max="4" width="7.25"/>
    <col customWidth="1" min="5" max="5" width="10.0"/>
    <col customWidth="1" min="6" max="6" width="10.25"/>
    <col customWidth="1" min="7" max="12" width="12.5"/>
    <col customWidth="1" min="13" max="13" width="16.13"/>
    <col customWidth="1" min="14" max="14" width="12.5"/>
    <col customWidth="1" min="15" max="19" width="15.38"/>
    <col customWidth="1" min="20" max="20" width="12.63"/>
    <col customWidth="1" min="21" max="21" width="8.75"/>
    <col customWidth="1" min="22" max="22" width="12.38"/>
  </cols>
  <sheetData>
    <row r="1">
      <c r="A1" s="1" t="s">
        <v>0</v>
      </c>
      <c r="B1" s="1" t="s">
        <v>2</v>
      </c>
      <c r="C1" s="1" t="s">
        <v>1</v>
      </c>
      <c r="D1" s="1" t="s">
        <v>1617</v>
      </c>
      <c r="E1" s="1" t="s">
        <v>1613</v>
      </c>
      <c r="F1" s="1" t="s">
        <v>1614</v>
      </c>
      <c r="G1" s="37" t="s">
        <v>1620</v>
      </c>
      <c r="H1" s="10" t="s">
        <v>1621</v>
      </c>
      <c r="I1" s="3"/>
      <c r="J1" s="3"/>
      <c r="K1" s="3"/>
      <c r="L1" s="3"/>
      <c r="M1" s="4" t="s">
        <v>4</v>
      </c>
      <c r="N1" s="5"/>
      <c r="O1" s="5"/>
      <c r="P1" s="5"/>
      <c r="Q1" s="5"/>
      <c r="R1" s="6" t="s">
        <v>5</v>
      </c>
      <c r="S1" s="7"/>
      <c r="T1" s="7"/>
      <c r="U1" s="7"/>
      <c r="V1" s="7"/>
    </row>
    <row r="2" ht="29.25" customHeight="1">
      <c r="A2" s="8"/>
      <c r="B2" s="9"/>
      <c r="C2" s="9"/>
      <c r="D2" s="9"/>
      <c r="E2" s="9"/>
      <c r="F2" s="9"/>
      <c r="G2" s="37" t="s">
        <v>1693</v>
      </c>
      <c r="H2" s="10" t="s">
        <v>1623</v>
      </c>
      <c r="I2" s="10" t="s">
        <v>1624</v>
      </c>
      <c r="J2" s="10" t="s">
        <v>6</v>
      </c>
      <c r="K2" s="10" t="s">
        <v>7</v>
      </c>
      <c r="L2" s="10" t="s">
        <v>8</v>
      </c>
      <c r="M2" s="4" t="s">
        <v>9</v>
      </c>
      <c r="N2" s="4" t="s">
        <v>10</v>
      </c>
      <c r="O2" s="4" t="s">
        <v>11</v>
      </c>
      <c r="P2" s="4" t="s">
        <v>12</v>
      </c>
      <c r="Q2" s="4" t="s">
        <v>13</v>
      </c>
      <c r="R2" s="6" t="s">
        <v>14</v>
      </c>
      <c r="S2" s="6" t="s">
        <v>15</v>
      </c>
      <c r="T2" s="6" t="s">
        <v>16</v>
      </c>
      <c r="U2" s="6" t="s">
        <v>17</v>
      </c>
      <c r="V2" s="6" t="s">
        <v>18</v>
      </c>
    </row>
    <row r="3" ht="57.75" customHeight="1">
      <c r="A3" s="8"/>
      <c r="B3" s="9"/>
      <c r="C3" s="9"/>
      <c r="D3" s="9"/>
      <c r="E3" s="9"/>
      <c r="F3" s="9"/>
      <c r="G3" s="38"/>
      <c r="H3" s="11" t="s">
        <v>1625</v>
      </c>
      <c r="I3" s="11" t="s">
        <v>1626</v>
      </c>
      <c r="J3" s="11" t="s">
        <v>19</v>
      </c>
      <c r="K3" s="11" t="s">
        <v>20</v>
      </c>
      <c r="L3" s="11" t="s">
        <v>21</v>
      </c>
      <c r="M3" s="12" t="s">
        <v>22</v>
      </c>
      <c r="N3" s="12" t="s">
        <v>23</v>
      </c>
      <c r="O3" s="12" t="s">
        <v>24</v>
      </c>
      <c r="P3" s="12" t="s">
        <v>25</v>
      </c>
      <c r="Q3" s="12" t="s">
        <v>26</v>
      </c>
      <c r="R3" s="6" t="s">
        <v>27</v>
      </c>
      <c r="S3" s="6" t="s">
        <v>28</v>
      </c>
      <c r="T3" s="6" t="s">
        <v>29</v>
      </c>
      <c r="U3" s="6" t="s">
        <v>30</v>
      </c>
      <c r="V3" s="6" t="s">
        <v>31</v>
      </c>
    </row>
    <row r="4">
      <c r="A4" s="53" t="str">
        <f>'Mapping A'!A4</f>
        <v>https://ieeexplore.ieee.org/stamp/stamp.jsp?arnumber=11467909</v>
      </c>
      <c r="B4" s="13" t="str">
        <f>'Mapping A'!B4</f>
        <v>10.1109/ACDSA67686.2026.11467909</v>
      </c>
      <c r="C4" s="13" t="str">
        <f>'Mapping A'!C4</f>
        <v>Evaluating LLM-Induced Investment Biases via Persona Design and Prompt Analysis: A Quantitative Study of Post-Retirement Asset Depletion Risk Through Social Simulation</v>
      </c>
      <c r="D4" s="13" t="b">
        <f>B4='Mapping B'!B4</f>
        <v>1</v>
      </c>
      <c r="E4" s="19" t="str">
        <f>'Mapping A'!D4</f>
        <v>Ceren</v>
      </c>
      <c r="F4" s="19" t="str">
        <f>'Mapping B'!D4</f>
        <v>Tina</v>
      </c>
      <c r="G4" s="55" t="s">
        <v>1694</v>
      </c>
      <c r="H4" s="14" t="str">
        <f>IF(AND('Mapping A'!F4="X",'Mapping B'!F4="X"),"X",IF(AND('Mapping A'!F4="",'Mapping B'!F4=""),"","?"))</f>
        <v/>
      </c>
      <c r="I4" s="14" t="str">
        <f>IF(AND('Mapping A'!G4="X",'Mapping B'!G4="X"),"X",IF(AND('Mapping A'!G4="",'Mapping B'!G4=""),"","?"))</f>
        <v/>
      </c>
      <c r="J4" s="14" t="str">
        <f>IF(AND('Mapping A'!H4="X",'Mapping B'!H4="X"),"X",IF(AND('Mapping A'!H4="",'Mapping B'!H4=""),"","?"))</f>
        <v/>
      </c>
      <c r="K4" s="14" t="str">
        <f>IF(AND('Mapping A'!I4="X",'Mapping B'!I4="X"),"X",IF(AND('Mapping A'!I4="",'Mapping B'!I4=""),"","?"))</f>
        <v/>
      </c>
      <c r="L4" s="14" t="str">
        <f>IF(AND('Mapping A'!J4="X",'Mapping B'!J4="X"),"X",IF(AND('Mapping A'!J4="",'Mapping B'!J4=""),"","?"))</f>
        <v/>
      </c>
      <c r="M4" s="14" t="str">
        <f>IF(AND('Mapping A'!K4="X",'Mapping B'!K4="X"),"X",IF(AND('Mapping A'!K4="",'Mapping B'!K4=""),"","?"))</f>
        <v/>
      </c>
      <c r="N4" s="14" t="str">
        <f>IF(AND('Mapping A'!L4="X",'Mapping B'!L4="X"),"X",IF(AND('Mapping A'!L4="",'Mapping B'!L4=""),"","?"))</f>
        <v/>
      </c>
      <c r="O4" s="14" t="str">
        <f>IF(AND('Mapping A'!M4="X",'Mapping B'!M4="X"),"X",IF(AND('Mapping A'!M4="",'Mapping B'!M4=""),"","?"))</f>
        <v/>
      </c>
      <c r="P4" s="14" t="str">
        <f>IF(AND('Mapping A'!N4="X",'Mapping B'!N4="X"),"X",IF(AND('Mapping A'!N4="",'Mapping B'!N4=""),"","?"))</f>
        <v/>
      </c>
      <c r="Q4" s="14" t="str">
        <f>IF(AND('Mapping A'!O4="X",'Mapping B'!O4="X"),"X",IF(AND('Mapping A'!O4="",'Mapping B'!O4=""),"","?"))</f>
        <v/>
      </c>
      <c r="R4" s="14" t="str">
        <f>IF(AND('Mapping A'!P4="X",'Mapping B'!P4="X"),"X",IF(AND('Mapping A'!P4="",'Mapping B'!P4=""),"","?"))</f>
        <v/>
      </c>
      <c r="S4" s="14" t="str">
        <f>IF(AND('Mapping A'!Q4="X",'Mapping B'!Q4="X"),"X",IF(AND('Mapping A'!Q4="",'Mapping B'!Q4=""),"","?"))</f>
        <v/>
      </c>
      <c r="T4" s="14" t="str">
        <f>IF(AND('Mapping A'!R4="X",'Mapping B'!R4="X"),"X",IF(AND('Mapping A'!R4="",'Mapping B'!R4=""),"","?"))</f>
        <v/>
      </c>
      <c r="U4" s="14" t="str">
        <f>IF(AND('Mapping A'!S4="X",'Mapping B'!S4="X"),"X",IF(AND('Mapping A'!S4="",'Mapping B'!S4=""),"","?"))</f>
        <v/>
      </c>
      <c r="V4" s="14" t="str">
        <f>IF(AND('Mapping A'!T4="X",'Mapping B'!T4="X"),"X",IF(AND('Mapping A'!T4="",'Mapping B'!T4=""),"","?"))</f>
        <v/>
      </c>
    </row>
    <row r="5">
      <c r="A5" s="53" t="str">
        <f>'Mapping A'!A5</f>
        <v>https://ieeexplore.ieee.org/stamp/stamp.jsp?arnumber=11449950</v>
      </c>
      <c r="B5" s="13" t="str">
        <f>'Mapping A'!B5</f>
        <v>10.1109/AIxVR67263.2026.00026</v>
      </c>
      <c r="C5" s="13" t="str">
        <f>'Mapping A'!C5</f>
        <v>Too Positive to Be True? Sentiment Analysis of AI-Guided vs. Human-Led Debriefings in Virtual Reality Counseling Training</v>
      </c>
      <c r="D5" s="13" t="b">
        <f>B5='Mapping B'!B5</f>
        <v>1</v>
      </c>
      <c r="E5" s="19" t="str">
        <f>'Mapping A'!D5</f>
        <v>Ceren</v>
      </c>
      <c r="F5" s="19" t="str">
        <f>'Mapping B'!D5</f>
        <v>Marilyn</v>
      </c>
      <c r="G5" s="14" t="str">
        <f t="shared" ref="G5:G7" si="1">IF(AND(COUNTIF(H5:L5,"X")&gt;0,COUNTIF(M5:Q5,"X")&gt;0,COUNTIF(R5:V5,"X")&gt;0,COUNTIF(H5:V5,"~?")=0),"X","")</f>
        <v>X</v>
      </c>
      <c r="H5" s="14" t="str">
        <f>IF(AND('Mapping A'!F5="X",'Mapping B'!F5="X"),"X",IF(AND('Mapping A'!F5="",'Mapping B'!F5=""),"","?"))</f>
        <v/>
      </c>
      <c r="I5" s="14" t="str">
        <f>IF(AND('Mapping A'!G5="X",'Mapping B'!G5="X"),"X",IF(AND('Mapping A'!G5="",'Mapping B'!G5=""),"","?"))</f>
        <v/>
      </c>
      <c r="J5" s="14" t="str">
        <f>IF(AND('Mapping A'!H5="X",'Mapping B'!H5="X"),"X",IF(AND('Mapping A'!H5="",'Mapping B'!H5=""),"","?"))</f>
        <v/>
      </c>
      <c r="K5" s="14" t="str">
        <f>IF(AND('Mapping A'!I5="X",'Mapping B'!I5="X"),"X",IF(AND('Mapping A'!I5="",'Mapping B'!I5=""),"","?"))</f>
        <v/>
      </c>
      <c r="L5" s="14" t="str">
        <f>IF(AND('Mapping A'!J5="X",'Mapping B'!J5="X"),"X",IF(AND('Mapping A'!J5="",'Mapping B'!J5=""),"","?"))</f>
        <v>X</v>
      </c>
      <c r="M5" s="14" t="str">
        <f>IF(AND('Mapping A'!K5="X",'Mapping B'!K5="X"),"X",IF(AND('Mapping A'!K5="",'Mapping B'!K5=""),"","?"))</f>
        <v/>
      </c>
      <c r="N5" s="14" t="str">
        <f>IF(AND('Mapping A'!L5="X",'Mapping B'!L5="X"),"X",IF(AND('Mapping A'!L5="",'Mapping B'!L5=""),"","?"))</f>
        <v/>
      </c>
      <c r="O5" s="14" t="str">
        <f>IF(AND('Mapping A'!M5="X",'Mapping B'!M5="X"),"X",IF(AND('Mapping A'!M5="",'Mapping B'!M5=""),"","?"))</f>
        <v>X</v>
      </c>
      <c r="P5" s="14" t="str">
        <f>IF(AND('Mapping A'!N5="X",'Mapping B'!N5="X"),"X",IF(AND('Mapping A'!N5="",'Mapping B'!N5=""),"","?"))</f>
        <v/>
      </c>
      <c r="Q5" s="14" t="str">
        <f>IF(AND('Mapping A'!O5="X",'Mapping B'!O5="X"),"X",IF(AND('Mapping A'!O5="",'Mapping B'!O5=""),"","?"))</f>
        <v>X</v>
      </c>
      <c r="R5" s="14" t="str">
        <f>IF(AND('Mapping A'!P5="X",'Mapping B'!P5="X"),"X",IF(AND('Mapping A'!P5="",'Mapping B'!P5=""),"","?"))</f>
        <v/>
      </c>
      <c r="S5" s="14" t="str">
        <f>IF(AND('Mapping A'!Q5="X",'Mapping B'!Q5="X"),"X",IF(AND('Mapping A'!Q5="",'Mapping B'!Q5=""),"","?"))</f>
        <v/>
      </c>
      <c r="T5" s="14" t="str">
        <f>IF(AND('Mapping A'!R5="X",'Mapping B'!R5="X"),"X",IF(AND('Mapping A'!R5="",'Mapping B'!R5=""),"","?"))</f>
        <v>X</v>
      </c>
      <c r="U5" s="14" t="str">
        <f>IF(AND('Mapping A'!S5="X",'Mapping B'!S5="X"),"X",IF(AND('Mapping A'!S5="",'Mapping B'!S5=""),"","?"))</f>
        <v/>
      </c>
      <c r="V5" s="14" t="str">
        <f>IF(AND('Mapping A'!T5="X",'Mapping B'!T5="X"),"X",IF(AND('Mapping A'!T5="",'Mapping B'!T5=""),"","?"))</f>
        <v/>
      </c>
    </row>
    <row r="6">
      <c r="A6" s="53" t="str">
        <f>'Mapping A'!A6</f>
        <v>https://ieeexplore.ieee.org/stamp/stamp.jsp?arnumber=10825538</v>
      </c>
      <c r="B6" s="13" t="str">
        <f>'Mapping A'!B6</f>
        <v>10.1109/BigData62323.2024.10825538</v>
      </c>
      <c r="C6" s="13" t="str">
        <f>'Mapping A'!C6</f>
        <v>Mitigating Sycophancy in Large Language Models via Direct Preference Optimization</v>
      </c>
      <c r="D6" s="13" t="b">
        <f>B6='Mapping B'!B6</f>
        <v>1</v>
      </c>
      <c r="E6" s="19" t="str">
        <f>'Mapping A'!D6</f>
        <v>Ceren</v>
      </c>
      <c r="F6" s="19" t="str">
        <f>'Mapping B'!D6</f>
        <v>Danni</v>
      </c>
      <c r="G6" s="14" t="str">
        <f t="shared" si="1"/>
        <v>X</v>
      </c>
      <c r="H6" s="14" t="str">
        <f>IF(AND('Mapping A'!F6="X",'Mapping B'!F6="X"),"X",IF(AND('Mapping A'!F6="",'Mapping B'!F6=""),"","?"))</f>
        <v/>
      </c>
      <c r="I6" s="14" t="str">
        <f>IF(AND('Mapping A'!G6="X",'Mapping B'!G6="X"),"X",IF(AND('Mapping A'!G6="",'Mapping B'!G6=""),"","?"))</f>
        <v/>
      </c>
      <c r="J6" s="14" t="str">
        <f>IF(AND('Mapping A'!H6="X",'Mapping B'!H6="X"),"X",IF(AND('Mapping A'!H6="",'Mapping B'!H6=""),"","?"))</f>
        <v/>
      </c>
      <c r="K6" s="14" t="str">
        <f>IF(AND('Mapping A'!I6="X",'Mapping B'!I6="X"),"X",IF(AND('Mapping A'!I6="",'Mapping B'!I6=""),"","?"))</f>
        <v/>
      </c>
      <c r="L6" s="14" t="str">
        <f>IF(AND('Mapping A'!J6="X",'Mapping B'!J6="X"),"X",IF(AND('Mapping A'!J6="",'Mapping B'!J6=""),"","?"))</f>
        <v>X</v>
      </c>
      <c r="M6" s="14" t="str">
        <f>IF(AND('Mapping A'!K6="X",'Mapping B'!K6="X"),"X",IF(AND('Mapping A'!K6="",'Mapping B'!K6=""),"","?"))</f>
        <v/>
      </c>
      <c r="N6" s="14" t="str">
        <f>IF(AND('Mapping A'!L6="X",'Mapping B'!L6="X"),"X",IF(AND('Mapping A'!L6="",'Mapping B'!L6=""),"","?"))</f>
        <v/>
      </c>
      <c r="O6" s="14" t="str">
        <f>IF(AND('Mapping A'!M6="X",'Mapping B'!M6="X"),"X",IF(AND('Mapping A'!M6="",'Mapping B'!M6=""),"","?"))</f>
        <v/>
      </c>
      <c r="P6" s="14" t="str">
        <f>IF(AND('Mapping A'!N6="X",'Mapping B'!N6="X"),"X",IF(AND('Mapping A'!N6="",'Mapping B'!N6=""),"","?"))</f>
        <v>X</v>
      </c>
      <c r="Q6" s="14" t="str">
        <f>IF(AND('Mapping A'!O6="X",'Mapping B'!O6="X"),"X",IF(AND('Mapping A'!O6="",'Mapping B'!O6=""),"","?"))</f>
        <v>X</v>
      </c>
      <c r="R6" s="14" t="str">
        <f>IF(AND('Mapping A'!P6="X",'Mapping B'!P6="X"),"X",IF(AND('Mapping A'!P6="",'Mapping B'!P6=""),"","?"))</f>
        <v/>
      </c>
      <c r="S6" s="14" t="str">
        <f>IF(AND('Mapping A'!Q6="X",'Mapping B'!Q6="X"),"X",IF(AND('Mapping A'!Q6="",'Mapping B'!Q6=""),"","?"))</f>
        <v/>
      </c>
      <c r="T6" s="14" t="str">
        <f>IF(AND('Mapping A'!R6="X",'Mapping B'!R6="X"),"X",IF(AND('Mapping A'!R6="",'Mapping B'!R6=""),"","?"))</f>
        <v/>
      </c>
      <c r="U6" s="14" t="str">
        <f>IF(AND('Mapping A'!S6="X",'Mapping B'!S6="X"),"X",IF(AND('Mapping A'!S6="",'Mapping B'!S6=""),"","?"))</f>
        <v>X</v>
      </c>
      <c r="V6" s="14" t="str">
        <f>IF(AND('Mapping A'!T6="X",'Mapping B'!T6="X"),"X",IF(AND('Mapping A'!T6="",'Mapping B'!T6=""),"","?"))</f>
        <v/>
      </c>
    </row>
    <row r="7">
      <c r="A7" s="53" t="str">
        <f>'Mapping A'!A7</f>
        <v>https://ieeexplore.ieee.org/stamp/stamp.jsp?arnumber=11460702</v>
      </c>
      <c r="B7" s="13" t="str">
        <f>'Mapping A'!B7</f>
        <v>10.1109/ICASSP55912.2026.11460702</v>
      </c>
      <c r="C7" s="13" t="str">
        <f>'Mapping A'!C7</f>
        <v>Towards Self-Evaluation of Sycophantic Hallucinations in Mathematical Reasoning</v>
      </c>
      <c r="D7" s="13" t="b">
        <f>B7='Mapping B'!B7</f>
        <v>1</v>
      </c>
      <c r="E7" s="19" t="str">
        <f>'Mapping A'!D7</f>
        <v>Ceren</v>
      </c>
      <c r="F7" s="19" t="str">
        <f>'Mapping B'!D7</f>
        <v>Marilyn</v>
      </c>
      <c r="G7" s="14" t="str">
        <f t="shared" si="1"/>
        <v>X</v>
      </c>
      <c r="H7" s="14" t="str">
        <f>IF(AND('Mapping A'!F7="X",'Mapping B'!F7="X"),"X",IF(AND('Mapping A'!F7="",'Mapping B'!F7=""),"","?"))</f>
        <v/>
      </c>
      <c r="I7" s="14" t="str">
        <f>IF(AND('Mapping A'!G7="X",'Mapping B'!G7="X"),"X",IF(AND('Mapping A'!G7="",'Mapping B'!G7=""),"","?"))</f>
        <v/>
      </c>
      <c r="J7" s="14" t="str">
        <f>IF(AND('Mapping A'!H7="X",'Mapping B'!H7="X"),"X",IF(AND('Mapping A'!H7="",'Mapping B'!H7=""),"","?"))</f>
        <v/>
      </c>
      <c r="K7" s="14" t="str">
        <f>IF(AND('Mapping A'!I7="X",'Mapping B'!I7="X"),"X",IF(AND('Mapping A'!I7="",'Mapping B'!I7=""),"","?"))</f>
        <v/>
      </c>
      <c r="L7" s="14" t="str">
        <f>IF(AND('Mapping A'!J7="X",'Mapping B'!J7="X"),"X",IF(AND('Mapping A'!J7="",'Mapping B'!J7=""),"","?"))</f>
        <v>X</v>
      </c>
      <c r="M7" s="14" t="str">
        <f>IF(AND('Mapping A'!K7="X",'Mapping B'!K7="X"),"X",IF(AND('Mapping A'!K7="",'Mapping B'!K7=""),"","?"))</f>
        <v>X</v>
      </c>
      <c r="N7" s="14" t="str">
        <f>IF(AND('Mapping A'!L7="X",'Mapping B'!L7="X"),"X",IF(AND('Mapping A'!L7="",'Mapping B'!L7=""),"","?"))</f>
        <v/>
      </c>
      <c r="O7" s="14" t="str">
        <f>IF(AND('Mapping A'!M7="X",'Mapping B'!M7="X"),"X",IF(AND('Mapping A'!M7="",'Mapping B'!M7=""),"","?"))</f>
        <v/>
      </c>
      <c r="P7" s="14" t="str">
        <f>IF(AND('Mapping A'!N7="X",'Mapping B'!N7="X"),"X",IF(AND('Mapping A'!N7="",'Mapping B'!N7=""),"","?"))</f>
        <v>X</v>
      </c>
      <c r="Q7" s="14" t="str">
        <f>IF(AND('Mapping A'!O7="X",'Mapping B'!O7="X"),"X",IF(AND('Mapping A'!O7="",'Mapping B'!O7=""),"","?"))</f>
        <v>X</v>
      </c>
      <c r="R7" s="14" t="str">
        <f>IF(AND('Mapping A'!P7="X",'Mapping B'!P7="X"),"X",IF(AND('Mapping A'!P7="",'Mapping B'!P7=""),"","?"))</f>
        <v/>
      </c>
      <c r="S7" s="14" t="str">
        <f>IF(AND('Mapping A'!Q7="X",'Mapping B'!Q7="X"),"X",IF(AND('Mapping A'!Q7="",'Mapping B'!Q7=""),"","?"))</f>
        <v/>
      </c>
      <c r="T7" s="14" t="str">
        <f>IF(AND('Mapping A'!R7="X",'Mapping B'!R7="X"),"X",IF(AND('Mapping A'!R7="",'Mapping B'!R7=""),"","?"))</f>
        <v/>
      </c>
      <c r="U7" s="14" t="str">
        <f>IF(AND('Mapping A'!S7="X",'Mapping B'!S7="X"),"X",IF(AND('Mapping A'!S7="",'Mapping B'!S7=""),"","?"))</f>
        <v>X</v>
      </c>
      <c r="V7" s="14" t="str">
        <f>IF(AND('Mapping A'!T7="X",'Mapping B'!T7="X"),"X",IF(AND('Mapping A'!T7="",'Mapping B'!T7=""),"","?"))</f>
        <v/>
      </c>
    </row>
    <row r="8">
      <c r="A8" s="53" t="str">
        <f>'Mapping A'!A8</f>
        <v>https://ieeexplore.ieee.org/stamp/stamp.jsp?arnumber=11424465</v>
      </c>
      <c r="B8" s="13" t="str">
        <f>'Mapping A'!B8</f>
        <v>10.1109/RAMS50514.2026.11424465</v>
      </c>
      <c r="C8" s="13" t="str">
        <f>'Mapping A'!C8</f>
        <v>Autonomous AI-Driven FMEA Optimization For Safety And Reliability In Healthcare</v>
      </c>
      <c r="D8" s="13" t="b">
        <f>B8='Mapping B'!B8</f>
        <v>1</v>
      </c>
      <c r="E8" s="19" t="str">
        <f>'Mapping A'!D8</f>
        <v>Ceren</v>
      </c>
      <c r="F8" s="19" t="str">
        <f>'Mapping B'!D8</f>
        <v>Tina</v>
      </c>
      <c r="G8" s="55" t="s">
        <v>1694</v>
      </c>
      <c r="H8" s="14" t="str">
        <f>IF(AND('Mapping A'!F8="X",'Mapping B'!F8="X"),"X",IF(AND('Mapping A'!F8="",'Mapping B'!F8=""),"","?"))</f>
        <v/>
      </c>
      <c r="I8" s="14" t="str">
        <f>IF(AND('Mapping A'!G8="X",'Mapping B'!G8="X"),"X",IF(AND('Mapping A'!G8="",'Mapping B'!G8=""),"","?"))</f>
        <v/>
      </c>
      <c r="J8" s="14" t="str">
        <f>IF(AND('Mapping A'!H8="X",'Mapping B'!H8="X"),"X",IF(AND('Mapping A'!H8="",'Mapping B'!H8=""),"","?"))</f>
        <v/>
      </c>
      <c r="K8" s="14" t="str">
        <f>IF(AND('Mapping A'!I8="X",'Mapping B'!I8="X"),"X",IF(AND('Mapping A'!I8="",'Mapping B'!I8=""),"","?"))</f>
        <v/>
      </c>
      <c r="L8" s="14" t="str">
        <f>IF(AND('Mapping A'!J8="X",'Mapping B'!J8="X"),"X",IF(AND('Mapping A'!J8="",'Mapping B'!J8=""),"","?"))</f>
        <v/>
      </c>
      <c r="M8" s="14" t="str">
        <f>IF(AND('Mapping A'!K8="X",'Mapping B'!K8="X"),"X",IF(AND('Mapping A'!K8="",'Mapping B'!K8=""),"","?"))</f>
        <v/>
      </c>
      <c r="N8" s="14" t="str">
        <f>IF(AND('Mapping A'!L8="X",'Mapping B'!L8="X"),"X",IF(AND('Mapping A'!L8="",'Mapping B'!L8=""),"","?"))</f>
        <v/>
      </c>
      <c r="O8" s="14" t="str">
        <f>IF(AND('Mapping A'!M8="X",'Mapping B'!M8="X"),"X",IF(AND('Mapping A'!M8="",'Mapping B'!M8=""),"","?"))</f>
        <v/>
      </c>
      <c r="P8" s="14" t="str">
        <f>IF(AND('Mapping A'!N8="X",'Mapping B'!N8="X"),"X",IF(AND('Mapping A'!N8="",'Mapping B'!N8=""),"","?"))</f>
        <v/>
      </c>
      <c r="Q8" s="14" t="str">
        <f>IF(AND('Mapping A'!O8="X",'Mapping B'!O8="X"),"X",IF(AND('Mapping A'!O8="",'Mapping B'!O8=""),"","?"))</f>
        <v/>
      </c>
      <c r="R8" s="14" t="str">
        <f>IF(AND('Mapping A'!P8="X",'Mapping B'!P8="X"),"X",IF(AND('Mapping A'!P8="",'Mapping B'!P8=""),"","?"))</f>
        <v/>
      </c>
      <c r="S8" s="14" t="str">
        <f>IF(AND('Mapping A'!Q8="X",'Mapping B'!Q8="X"),"X",IF(AND('Mapping A'!Q8="",'Mapping B'!Q8=""),"","?"))</f>
        <v/>
      </c>
      <c r="T8" s="14" t="str">
        <f>IF(AND('Mapping A'!R8="X",'Mapping B'!R8="X"),"X",IF(AND('Mapping A'!R8="",'Mapping B'!R8=""),"","?"))</f>
        <v/>
      </c>
      <c r="U8" s="14" t="str">
        <f>IF(AND('Mapping A'!S8="X",'Mapping B'!S8="X"),"X",IF(AND('Mapping A'!S8="",'Mapping B'!S8=""),"","?"))</f>
        <v/>
      </c>
      <c r="V8" s="14" t="str">
        <f>IF(AND('Mapping A'!T8="X",'Mapping B'!T8="X"),"X",IF(AND('Mapping A'!T8="",'Mapping B'!T8=""),"","?"))</f>
        <v/>
      </c>
    </row>
    <row r="9">
      <c r="A9" s="53" t="str">
        <f>'Mapping A'!A9</f>
        <v>https://ieeexplore.ieee.org/stamp/stamp.jsp?arnumber=10820709</v>
      </c>
      <c r="B9" s="13" t="str">
        <f>'Mapping A'!B9</f>
        <v>10.1109/SCW63240.2024.00017</v>
      </c>
      <c r="C9" s="13" t="str">
        <f>'Mapping A'!C9</f>
        <v>SciTrust: Evaluating the Trustworthiness of Large Language Models for Science</v>
      </c>
      <c r="D9" s="13" t="b">
        <f>B9='Mapping B'!B9</f>
        <v>1</v>
      </c>
      <c r="E9" s="19" t="str">
        <f>'Mapping A'!D9</f>
        <v>Ceren</v>
      </c>
      <c r="F9" s="19" t="str">
        <f>'Mapping B'!D9</f>
        <v>Marilyn</v>
      </c>
      <c r="G9" s="14" t="str">
        <f t="shared" ref="G9:G20" si="2">IF(AND(COUNTIF(H9:L9,"X")&gt;0,COUNTIF(M9:Q9,"X")&gt;0,COUNTIF(R9:V9,"X")&gt;0,COUNTIF(H9:V9,"~?")=0),"X","")</f>
        <v>X</v>
      </c>
      <c r="H9" s="14" t="str">
        <f>IF(AND('Mapping A'!F9="X",'Mapping B'!F9="X"),"X",IF(AND('Mapping A'!F9="",'Mapping B'!F9=""),"","?"))</f>
        <v/>
      </c>
      <c r="I9" s="14" t="str">
        <f>IF(AND('Mapping A'!G9="X",'Mapping B'!G9="X"),"X",IF(AND('Mapping A'!G9="",'Mapping B'!G9=""),"","?"))</f>
        <v/>
      </c>
      <c r="J9" s="14" t="str">
        <f>IF(AND('Mapping A'!H9="X",'Mapping B'!H9="X"),"X",IF(AND('Mapping A'!H9="",'Mapping B'!H9=""),"","?"))</f>
        <v/>
      </c>
      <c r="K9" s="14" t="str">
        <f>IF(AND('Mapping A'!I9="X",'Mapping B'!I9="X"),"X",IF(AND('Mapping A'!I9="",'Mapping B'!I9=""),"","?"))</f>
        <v>X</v>
      </c>
      <c r="L9" s="14" t="str">
        <f>IF(AND('Mapping A'!J9="X",'Mapping B'!J9="X"),"X",IF(AND('Mapping A'!J9="",'Mapping B'!J9=""),"","?"))</f>
        <v>X</v>
      </c>
      <c r="M9" s="14" t="str">
        <f>IF(AND('Mapping A'!K9="X",'Mapping B'!K9="X"),"X",IF(AND('Mapping A'!K9="",'Mapping B'!K9=""),"","?"))</f>
        <v>X</v>
      </c>
      <c r="N9" s="14" t="str">
        <f>IF(AND('Mapping A'!L9="X",'Mapping B'!L9="X"),"X",IF(AND('Mapping A'!L9="",'Mapping B'!L9=""),"","?"))</f>
        <v/>
      </c>
      <c r="O9" s="14" t="str">
        <f>IF(AND('Mapping A'!M9="X",'Mapping B'!M9="X"),"X",IF(AND('Mapping A'!M9="",'Mapping B'!M9=""),"","?"))</f>
        <v/>
      </c>
      <c r="P9" s="14" t="str">
        <f>IF(AND('Mapping A'!N9="X",'Mapping B'!N9="X"),"X",IF(AND('Mapping A'!N9="",'Mapping B'!N9=""),"","?"))</f>
        <v/>
      </c>
      <c r="Q9" s="14" t="str">
        <f>IF(AND('Mapping A'!O9="X",'Mapping B'!O9="X"),"X",IF(AND('Mapping A'!O9="",'Mapping B'!O9=""),"","?"))</f>
        <v/>
      </c>
      <c r="R9" s="14" t="str">
        <f>IF(AND('Mapping A'!P9="X",'Mapping B'!P9="X"),"X",IF(AND('Mapping A'!P9="",'Mapping B'!P9=""),"","?"))</f>
        <v/>
      </c>
      <c r="S9" s="14" t="str">
        <f>IF(AND('Mapping A'!Q9="X",'Mapping B'!Q9="X"),"X",IF(AND('Mapping A'!Q9="",'Mapping B'!Q9=""),"","?"))</f>
        <v/>
      </c>
      <c r="T9" s="14" t="str">
        <f>IF(AND('Mapping A'!R9="X",'Mapping B'!R9="X"),"X",IF(AND('Mapping A'!R9="",'Mapping B'!R9=""),"","?"))</f>
        <v/>
      </c>
      <c r="U9" s="14" t="str">
        <f>IF(AND('Mapping A'!S9="X",'Mapping B'!S9="X"),"X",IF(AND('Mapping A'!S9="",'Mapping B'!S9=""),"","?"))</f>
        <v>X</v>
      </c>
      <c r="V9" s="14" t="str">
        <f>IF(AND('Mapping A'!T9="X",'Mapping B'!T9="X"),"X",IF(AND('Mapping A'!T9="",'Mapping B'!T9=""),"","?"))</f>
        <v/>
      </c>
    </row>
    <row r="10">
      <c r="A10" s="53" t="str">
        <f>'Mapping A'!A10</f>
        <v>https://doi.org/10.1145/1518701.1519021</v>
      </c>
      <c r="B10" s="13" t="str">
        <f>'Mapping A'!B10</f>
        <v>10.1145/1518701.1519021</v>
      </c>
      <c r="C10" s="13" t="str">
        <f>'Mapping A'!C10</f>
        <v>I'm sorry</v>
      </c>
      <c r="D10" s="13" t="b">
        <f>B10='Mapping B'!B10</f>
        <v>1</v>
      </c>
      <c r="E10" s="19" t="str">
        <f>'Mapping A'!D10</f>
        <v>Ceren</v>
      </c>
      <c r="F10" s="19" t="str">
        <f>'Mapping B'!D10</f>
        <v>Tina</v>
      </c>
      <c r="G10" s="14" t="str">
        <f t="shared" si="2"/>
        <v>X</v>
      </c>
      <c r="H10" s="14" t="str">
        <f>IF(AND('Mapping A'!F10="X",'Mapping B'!F10="X"),"X",IF(AND('Mapping A'!F10="",'Mapping B'!F10=""),"","?"))</f>
        <v>X</v>
      </c>
      <c r="I10" s="14" t="str">
        <f>IF(AND('Mapping A'!G10="X",'Mapping B'!G10="X"),"X",IF(AND('Mapping A'!G10="",'Mapping B'!G10=""),"","?"))</f>
        <v/>
      </c>
      <c r="J10" s="14" t="str">
        <f>IF(AND('Mapping A'!H10="X",'Mapping B'!H10="X"),"X",IF(AND('Mapping A'!H10="",'Mapping B'!H10=""),"","?"))</f>
        <v/>
      </c>
      <c r="K10" s="14" t="str">
        <f>IF(AND('Mapping A'!I10="X",'Mapping B'!I10="X"),"X",IF(AND('Mapping A'!I10="",'Mapping B'!I10=""),"","?"))</f>
        <v/>
      </c>
      <c r="L10" s="14" t="str">
        <f>IF(AND('Mapping A'!J10="X",'Mapping B'!J10="X"),"X",IF(AND('Mapping A'!J10="",'Mapping B'!J10=""),"","?"))</f>
        <v/>
      </c>
      <c r="M10" s="14" t="str">
        <f>IF(AND('Mapping A'!K10="X",'Mapping B'!K10="X"),"X",IF(AND('Mapping A'!K10="",'Mapping B'!K10=""),"","?"))</f>
        <v/>
      </c>
      <c r="N10" s="14" t="str">
        <f>IF(AND('Mapping A'!L10="X",'Mapping B'!L10="X"),"X",IF(AND('Mapping A'!L10="",'Mapping B'!L10=""),"","?"))</f>
        <v/>
      </c>
      <c r="O10" s="14" t="str">
        <f>IF(AND('Mapping A'!M10="X",'Mapping B'!M10="X"),"X",IF(AND('Mapping A'!M10="",'Mapping B'!M10=""),"","?"))</f>
        <v/>
      </c>
      <c r="P10" s="14" t="str">
        <f>IF(AND('Mapping A'!N10="X",'Mapping B'!N10="X"),"X",IF(AND('Mapping A'!N10="",'Mapping B'!N10=""),"","?"))</f>
        <v/>
      </c>
      <c r="Q10" s="14" t="str">
        <f>IF(AND('Mapping A'!O10="X",'Mapping B'!O10="X"),"X",IF(AND('Mapping A'!O10="",'Mapping B'!O10=""),"","?"))</f>
        <v>X</v>
      </c>
      <c r="R10" s="14" t="str">
        <f>IF(AND('Mapping A'!P10="X",'Mapping B'!P10="X"),"X",IF(AND('Mapping A'!P10="",'Mapping B'!P10=""),"","?"))</f>
        <v/>
      </c>
      <c r="S10" s="14" t="str">
        <f>IF(AND('Mapping A'!Q10="X",'Mapping B'!Q10="X"),"X",IF(AND('Mapping A'!Q10="",'Mapping B'!Q10=""),"","?"))</f>
        <v>X</v>
      </c>
      <c r="T10" s="14" t="str">
        <f>IF(AND('Mapping A'!R10="X",'Mapping B'!R10="X"),"X",IF(AND('Mapping A'!R10="",'Mapping B'!R10=""),"","?"))</f>
        <v>X</v>
      </c>
      <c r="U10" s="14" t="str">
        <f>IF(AND('Mapping A'!S10="X",'Mapping B'!S10="X"),"X",IF(AND('Mapping A'!S10="",'Mapping B'!S10=""),"","?"))</f>
        <v/>
      </c>
      <c r="V10" s="14" t="str">
        <f>IF(AND('Mapping A'!T10="X",'Mapping B'!T10="X"),"X",IF(AND('Mapping A'!T10="",'Mapping B'!T10=""),"","?"))</f>
        <v/>
      </c>
    </row>
    <row r="11">
      <c r="A11" s="53" t="str">
        <f>'Mapping A'!A11</f>
        <v>https://doi.org/10.1145/3660650.3660656</v>
      </c>
      <c r="B11" s="13" t="str">
        <f>'Mapping A'!B11</f>
        <v>10.1145/3660650.3660656</v>
      </c>
      <c r="C11" s="13" t="str">
        <f>'Mapping A'!C11</f>
        <v>Faceless Adversary</v>
      </c>
      <c r="D11" s="13" t="b">
        <f>B11='Mapping B'!B11</f>
        <v>1</v>
      </c>
      <c r="E11" s="19" t="str">
        <f>'Mapping A'!D11</f>
        <v>Cindy</v>
      </c>
      <c r="F11" s="19" t="str">
        <f>'Mapping B'!D11</f>
        <v>Marilyn</v>
      </c>
      <c r="G11" s="14" t="str">
        <f t="shared" si="2"/>
        <v>X</v>
      </c>
      <c r="H11" s="14" t="str">
        <f>IF(AND('Mapping A'!F11="X",'Mapping B'!F11="X"),"X",IF(AND('Mapping A'!F11="",'Mapping B'!F11=""),"","?"))</f>
        <v/>
      </c>
      <c r="I11" s="14" t="str">
        <f>IF(AND('Mapping A'!G11="X",'Mapping B'!G11="X"),"X",IF(AND('Mapping A'!G11="",'Mapping B'!G11=""),"","?"))</f>
        <v/>
      </c>
      <c r="J11" s="14" t="str">
        <f>IF(AND('Mapping A'!H11="X",'Mapping B'!H11="X"),"X",IF(AND('Mapping A'!H11="",'Mapping B'!H11=""),"","?"))</f>
        <v>X</v>
      </c>
      <c r="K11" s="14" t="str">
        <f>IF(AND('Mapping A'!I11="X",'Mapping B'!I11="X"),"X",IF(AND('Mapping A'!I11="",'Mapping B'!I11=""),"","?"))</f>
        <v/>
      </c>
      <c r="L11" s="14" t="str">
        <f>IF(AND('Mapping A'!J11="X",'Mapping B'!J11="X"),"X",IF(AND('Mapping A'!J11="",'Mapping B'!J11=""),"","?"))</f>
        <v/>
      </c>
      <c r="M11" s="14" t="str">
        <f>IF(AND('Mapping A'!K11="X",'Mapping B'!K11="X"),"X",IF(AND('Mapping A'!K11="",'Mapping B'!K11=""),"","?"))</f>
        <v/>
      </c>
      <c r="N11" s="14" t="str">
        <f>IF(AND('Mapping A'!L11="X",'Mapping B'!L11="X"),"X",IF(AND('Mapping A'!L11="",'Mapping B'!L11=""),"","?"))</f>
        <v/>
      </c>
      <c r="O11" s="14" t="str">
        <f>IF(AND('Mapping A'!M11="X",'Mapping B'!M11="X"),"X",IF(AND('Mapping A'!M11="",'Mapping B'!M11=""),"","?"))</f>
        <v>X</v>
      </c>
      <c r="P11" s="14" t="str">
        <f>IF(AND('Mapping A'!N11="X",'Mapping B'!N11="X"),"X",IF(AND('Mapping A'!N11="",'Mapping B'!N11=""),"","?"))</f>
        <v/>
      </c>
      <c r="Q11" s="14" t="str">
        <f>IF(AND('Mapping A'!O11="X",'Mapping B'!O11="X"),"X",IF(AND('Mapping A'!O11="",'Mapping B'!O11=""),"","?"))</f>
        <v>X</v>
      </c>
      <c r="R11" s="14" t="str">
        <f>IF(AND('Mapping A'!P11="X",'Mapping B'!P11="X"),"X",IF(AND('Mapping A'!P11="",'Mapping B'!P11=""),"","?"))</f>
        <v>X</v>
      </c>
      <c r="S11" s="14" t="str">
        <f>IF(AND('Mapping A'!Q11="X",'Mapping B'!Q11="X"),"X",IF(AND('Mapping A'!Q11="",'Mapping B'!Q11=""),"","?"))</f>
        <v/>
      </c>
      <c r="T11" s="14" t="str">
        <f>IF(AND('Mapping A'!R11="X",'Mapping B'!R11="X"),"X",IF(AND('Mapping A'!R11="",'Mapping B'!R11=""),"","?"))</f>
        <v/>
      </c>
      <c r="U11" s="14" t="str">
        <f>IF(AND('Mapping A'!S11="X",'Mapping B'!S11="X"),"X",IF(AND('Mapping A'!S11="",'Mapping B'!S11=""),"","?"))</f>
        <v/>
      </c>
      <c r="V11" s="14" t="str">
        <f>IF(AND('Mapping A'!T11="X",'Mapping B'!T11="X"),"X",IF(AND('Mapping A'!T11="",'Mapping B'!T11=""),"","?"))</f>
        <v/>
      </c>
    </row>
    <row r="12">
      <c r="A12" s="53" t="str">
        <f>'Mapping A'!A12</f>
        <v>https://doi.org/10.1145/3663547.3746319</v>
      </c>
      <c r="B12" s="13" t="str">
        <f>'Mapping A'!B12</f>
        <v>10.1145/3663547.3746319</v>
      </c>
      <c r="C12" s="13" t="str">
        <f>'Mapping A'!C12</f>
        <v>Probing the Gaps in ChatGPT's Live Video Chat for Real-World Assistance for People who are Blind or Visually Impaired</v>
      </c>
      <c r="D12" s="13" t="b">
        <f>B12='Mapping B'!B12</f>
        <v>1</v>
      </c>
      <c r="E12" s="19" t="str">
        <f>'Mapping A'!D12</f>
        <v>Cindy</v>
      </c>
      <c r="F12" s="19" t="str">
        <f>'Mapping B'!D12</f>
        <v>Marilyn</v>
      </c>
      <c r="G12" s="14" t="str">
        <f t="shared" si="2"/>
        <v>X</v>
      </c>
      <c r="H12" s="14" t="str">
        <f>IF(AND('Mapping A'!F12="X",'Mapping B'!F12="X"),"X",IF(AND('Mapping A'!F12="",'Mapping B'!F12=""),"","?"))</f>
        <v/>
      </c>
      <c r="I12" s="14" t="str">
        <f>IF(AND('Mapping A'!G12="X",'Mapping B'!G12="X"),"X",IF(AND('Mapping A'!G12="",'Mapping B'!G12=""),"","?"))</f>
        <v/>
      </c>
      <c r="J12" s="14" t="str">
        <f>IF(AND('Mapping A'!H12="X",'Mapping B'!H12="X"),"X",IF(AND('Mapping A'!H12="",'Mapping B'!H12=""),"","?"))</f>
        <v/>
      </c>
      <c r="K12" s="14" t="str">
        <f>IF(AND('Mapping A'!I12="X",'Mapping B'!I12="X"),"X",IF(AND('Mapping A'!I12="",'Mapping B'!I12=""),"","?"))</f>
        <v>X</v>
      </c>
      <c r="L12" s="14" t="str">
        <f>IF(AND('Mapping A'!J12="X",'Mapping B'!J12="X"),"X",IF(AND('Mapping A'!J12="",'Mapping B'!J12=""),"","?"))</f>
        <v/>
      </c>
      <c r="M12" s="14" t="str">
        <f>IF(AND('Mapping A'!K12="X",'Mapping B'!K12="X"),"X",IF(AND('Mapping A'!K12="",'Mapping B'!K12=""),"","?"))</f>
        <v/>
      </c>
      <c r="N12" s="14" t="str">
        <f>IF(AND('Mapping A'!L12="X",'Mapping B'!L12="X"),"X",IF(AND('Mapping A'!L12="",'Mapping B'!L12=""),"","?"))</f>
        <v/>
      </c>
      <c r="O12" s="14" t="str">
        <f>IF(AND('Mapping A'!M12="X",'Mapping B'!M12="X"),"X",IF(AND('Mapping A'!M12="",'Mapping B'!M12=""),"","?"))</f>
        <v/>
      </c>
      <c r="P12" s="14" t="str">
        <f>IF(AND('Mapping A'!N12="X",'Mapping B'!N12="X"),"X",IF(AND('Mapping A'!N12="",'Mapping B'!N12=""),"","?"))</f>
        <v/>
      </c>
      <c r="Q12" s="14" t="str">
        <f>IF(AND('Mapping A'!O12="X",'Mapping B'!O12="X"),"X",IF(AND('Mapping A'!O12="",'Mapping B'!O12=""),"","?"))</f>
        <v>X</v>
      </c>
      <c r="R12" s="14" t="str">
        <f>IF(AND('Mapping A'!P12="X",'Mapping B'!P12="X"),"X",IF(AND('Mapping A'!P12="",'Mapping B'!P12=""),"","?"))</f>
        <v/>
      </c>
      <c r="S12" s="14" t="str">
        <f>IF(AND('Mapping A'!Q12="X",'Mapping B'!Q12="X"),"X",IF(AND('Mapping A'!Q12="",'Mapping B'!Q12=""),"","?"))</f>
        <v>X</v>
      </c>
      <c r="T12" s="14" t="str">
        <f>IF(AND('Mapping A'!R12="X",'Mapping B'!R12="X"),"X",IF(AND('Mapping A'!R12="",'Mapping B'!R12=""),"","?"))</f>
        <v>X</v>
      </c>
      <c r="U12" s="14" t="str">
        <f>IF(AND('Mapping A'!S12="X",'Mapping B'!S12="X"),"X",IF(AND('Mapping A'!S12="",'Mapping B'!S12=""),"","?"))</f>
        <v/>
      </c>
      <c r="V12" s="14" t="str">
        <f>IF(AND('Mapping A'!T12="X",'Mapping B'!T12="X"),"X",IF(AND('Mapping A'!T12="",'Mapping B'!T12=""),"","?"))</f>
        <v/>
      </c>
    </row>
    <row r="13">
      <c r="A13" s="53" t="str">
        <f>'Mapping A'!A13</f>
        <v>https://doi.org/10.1145/3703155</v>
      </c>
      <c r="B13" s="13" t="str">
        <f>'Mapping A'!B13</f>
        <v>10.1145/3703155</v>
      </c>
      <c r="C13" s="13" t="str">
        <f>'Mapping A'!C13</f>
        <v>A Survey on Hallucination in Large Language Models: Principles</v>
      </c>
      <c r="D13" s="13" t="b">
        <f>B13='Mapping B'!B13</f>
        <v>1</v>
      </c>
      <c r="E13" s="19" t="str">
        <f>'Mapping A'!D13</f>
        <v>Cindy</v>
      </c>
      <c r="F13" s="19" t="str">
        <f>'Mapping B'!D13</f>
        <v>Marilyn</v>
      </c>
      <c r="G13" s="14" t="str">
        <f t="shared" si="2"/>
        <v>X</v>
      </c>
      <c r="H13" s="14" t="str">
        <f>IF(AND('Mapping A'!F13="X",'Mapping B'!F13="X"),"X",IF(AND('Mapping A'!F13="",'Mapping B'!F13=""),"","?"))</f>
        <v/>
      </c>
      <c r="I13" s="14" t="str">
        <f>IF(AND('Mapping A'!G13="X",'Mapping B'!G13="X"),"X",IF(AND('Mapping A'!G13="",'Mapping B'!G13=""),"","?"))</f>
        <v/>
      </c>
      <c r="J13" s="14" t="str">
        <f>IF(AND('Mapping A'!H13="X",'Mapping B'!H13="X"),"X",IF(AND('Mapping A'!H13="",'Mapping B'!H13=""),"","?"))</f>
        <v>X</v>
      </c>
      <c r="K13" s="14" t="str">
        <f>IF(AND('Mapping A'!I13="X",'Mapping B'!I13="X"),"X",IF(AND('Mapping A'!I13="",'Mapping B'!I13=""),"","?"))</f>
        <v/>
      </c>
      <c r="L13" s="14" t="str">
        <f>IF(AND('Mapping A'!J13="X",'Mapping B'!J13="X"),"X",IF(AND('Mapping A'!J13="",'Mapping B'!J13=""),"","?"))</f>
        <v/>
      </c>
      <c r="M13" s="14" t="str">
        <f>IF(AND('Mapping A'!K13="X",'Mapping B'!K13="X"),"X",IF(AND('Mapping A'!K13="",'Mapping B'!K13=""),"","?"))</f>
        <v>X</v>
      </c>
      <c r="N13" s="14" t="str">
        <f>IF(AND('Mapping A'!L13="X",'Mapping B'!L13="X"),"X",IF(AND('Mapping A'!L13="",'Mapping B'!L13=""),"","?"))</f>
        <v/>
      </c>
      <c r="O13" s="14" t="str">
        <f>IF(AND('Mapping A'!M13="X",'Mapping B'!M13="X"),"X",IF(AND('Mapping A'!M13="",'Mapping B'!M13=""),"","?"))</f>
        <v/>
      </c>
      <c r="P13" s="14" t="str">
        <f>IF(AND('Mapping A'!N13="X",'Mapping B'!N13="X"),"X",IF(AND('Mapping A'!N13="",'Mapping B'!N13=""),"","?"))</f>
        <v/>
      </c>
      <c r="Q13" s="14" t="str">
        <f>IF(AND('Mapping A'!O13="X",'Mapping B'!O13="X"),"X",IF(AND('Mapping A'!O13="",'Mapping B'!O13=""),"","?"))</f>
        <v>X</v>
      </c>
      <c r="R13" s="14" t="str">
        <f>IF(AND('Mapping A'!P13="X",'Mapping B'!P13="X"),"X",IF(AND('Mapping A'!P13="",'Mapping B'!P13=""),"","?"))</f>
        <v/>
      </c>
      <c r="S13" s="14" t="str">
        <f>IF(AND('Mapping A'!Q13="X",'Mapping B'!Q13="X"),"X",IF(AND('Mapping A'!Q13="",'Mapping B'!Q13=""),"","?"))</f>
        <v/>
      </c>
      <c r="T13" s="14" t="str">
        <f>IF(AND('Mapping A'!R13="X",'Mapping B'!R13="X"),"X",IF(AND('Mapping A'!R13="",'Mapping B'!R13=""),"","?"))</f>
        <v/>
      </c>
      <c r="U13" s="14" t="str">
        <f>IF(AND('Mapping A'!S13="X",'Mapping B'!S13="X"),"X",IF(AND('Mapping A'!S13="",'Mapping B'!S13=""),"","?"))</f>
        <v>X</v>
      </c>
      <c r="V13" s="14" t="str">
        <f>IF(AND('Mapping A'!T13="X",'Mapping B'!T13="X"),"X",IF(AND('Mapping A'!T13="",'Mapping B'!T13=""),"","?"))</f>
        <v/>
      </c>
    </row>
    <row r="14">
      <c r="A14" s="53" t="str">
        <f>'Mapping A'!A14</f>
        <v>https://doi.org/10.1145/3706599.3719976</v>
      </c>
      <c r="B14" s="13" t="str">
        <f>'Mapping A'!B14</f>
        <v>10.1145/3706599.3719976</v>
      </c>
      <c r="C14" s="13" t="str">
        <f>'Mapping A'!C14</f>
        <v>Exploring Older Adults Personality Preferences for LLM-powered Conversational Companions</v>
      </c>
      <c r="D14" s="13" t="b">
        <f>B14='Mapping B'!B14</f>
        <v>1</v>
      </c>
      <c r="E14" s="19" t="str">
        <f>'Mapping A'!D14</f>
        <v>Cindy</v>
      </c>
      <c r="F14" s="19" t="str">
        <f>'Mapping B'!D14</f>
        <v>Kaiser</v>
      </c>
      <c r="G14" s="14" t="str">
        <f t="shared" si="2"/>
        <v>X</v>
      </c>
      <c r="H14" s="14" t="str">
        <f>IF(AND('Mapping A'!F14="X",'Mapping B'!F14="X"),"X",IF(AND('Mapping A'!F14="",'Mapping B'!F14=""),"","?"))</f>
        <v>X</v>
      </c>
      <c r="I14" s="14" t="str">
        <f>IF(AND('Mapping A'!G14="X",'Mapping B'!G14="X"),"X",IF(AND('Mapping A'!G14="",'Mapping B'!G14=""),"","?"))</f>
        <v/>
      </c>
      <c r="J14" s="14" t="str">
        <f>IF(AND('Mapping A'!H14="X",'Mapping B'!H14="X"),"X",IF(AND('Mapping A'!H14="",'Mapping B'!H14=""),"","?"))</f>
        <v/>
      </c>
      <c r="K14" s="14" t="str">
        <f>IF(AND('Mapping A'!I14="X",'Mapping B'!I14="X"),"X",IF(AND('Mapping A'!I14="",'Mapping B'!I14=""),"","?"))</f>
        <v/>
      </c>
      <c r="L14" s="14" t="str">
        <f>IF(AND('Mapping A'!J14="X",'Mapping B'!J14="X"),"X",IF(AND('Mapping A'!J14="",'Mapping B'!J14=""),"","?"))</f>
        <v/>
      </c>
      <c r="M14" s="14" t="str">
        <f>IF(AND('Mapping A'!K14="X",'Mapping B'!K14="X"),"X",IF(AND('Mapping A'!K14="",'Mapping B'!K14=""),"","?"))</f>
        <v/>
      </c>
      <c r="N14" s="14" t="str">
        <f>IF(AND('Mapping A'!L14="X",'Mapping B'!L14="X"),"X",IF(AND('Mapping A'!L14="",'Mapping B'!L14=""),"","?"))</f>
        <v>X</v>
      </c>
      <c r="O14" s="14" t="str">
        <f>IF(AND('Mapping A'!M14="X",'Mapping B'!M14="X"),"X",IF(AND('Mapping A'!M14="",'Mapping B'!M14=""),"","?"))</f>
        <v/>
      </c>
      <c r="P14" s="14" t="str">
        <f>IF(AND('Mapping A'!N14="X",'Mapping B'!N14="X"),"X",IF(AND('Mapping A'!N14="",'Mapping B'!N14=""),"","?"))</f>
        <v/>
      </c>
      <c r="Q14" s="14" t="str">
        <f>IF(AND('Mapping A'!O14="X",'Mapping B'!O14="X"),"X",IF(AND('Mapping A'!O14="",'Mapping B'!O14=""),"","?"))</f>
        <v>X</v>
      </c>
      <c r="R14" s="14" t="str">
        <f>IF(AND('Mapping A'!P14="X",'Mapping B'!P14="X"),"X",IF(AND('Mapping A'!P14="",'Mapping B'!P14=""),"","?"))</f>
        <v/>
      </c>
      <c r="S14" s="14" t="str">
        <f>IF(AND('Mapping A'!Q14="X",'Mapping B'!Q14="X"),"X",IF(AND('Mapping A'!Q14="",'Mapping B'!Q14=""),"","?"))</f>
        <v>X</v>
      </c>
      <c r="T14" s="14" t="str">
        <f>IF(AND('Mapping A'!R14="X",'Mapping B'!R14="X"),"X",IF(AND('Mapping A'!R14="",'Mapping B'!R14=""),"","?"))</f>
        <v/>
      </c>
      <c r="U14" s="14" t="str">
        <f>IF(AND('Mapping A'!S14="X",'Mapping B'!S14="X"),"X",IF(AND('Mapping A'!S14="",'Mapping B'!S14=""),"","?"))</f>
        <v/>
      </c>
      <c r="V14" s="14" t="str">
        <f>IF(AND('Mapping A'!T14="X",'Mapping B'!T14="X"),"X",IF(AND('Mapping A'!T14="",'Mapping B'!T14=""),"","?"))</f>
        <v/>
      </c>
    </row>
    <row r="15">
      <c r="A15" s="53" t="str">
        <f>'Mapping A'!A15</f>
        <v>https://doi.org/10.1145/3715275.3732039</v>
      </c>
      <c r="B15" s="13" t="str">
        <f>'Mapping A'!B15</f>
        <v>10.1145/3715275.3732039</v>
      </c>
      <c r="C15" s="13" t="str">
        <f>'Mapping A'!C15</f>
        <v>Expressing stigma and inappropriate responses prevents LLMs from safely replacing mental health providers.</v>
      </c>
      <c r="D15" s="13" t="b">
        <f>B15='Mapping B'!B15</f>
        <v>1</v>
      </c>
      <c r="E15" s="19" t="str">
        <f>'Mapping A'!D15</f>
        <v>Cindy</v>
      </c>
      <c r="F15" s="19" t="str">
        <f>'Mapping B'!D15</f>
        <v>Marilyn</v>
      </c>
      <c r="G15" s="14" t="str">
        <f t="shared" si="2"/>
        <v>X</v>
      </c>
      <c r="H15" s="14" t="str">
        <f>IF(AND('Mapping A'!F15="X",'Mapping B'!F15="X"),"X",IF(AND('Mapping A'!F15="",'Mapping B'!F15=""),"","?"))</f>
        <v/>
      </c>
      <c r="I15" s="14" t="str">
        <f>IF(AND('Mapping A'!G15="X",'Mapping B'!G15="X"),"X",IF(AND('Mapping A'!G15="",'Mapping B'!G15=""),"","?"))</f>
        <v/>
      </c>
      <c r="J15" s="14" t="str">
        <f>IF(AND('Mapping A'!H15="X",'Mapping B'!H15="X"),"X",IF(AND('Mapping A'!H15="",'Mapping B'!H15=""),"","?"))</f>
        <v>X</v>
      </c>
      <c r="K15" s="14" t="str">
        <f>IF(AND('Mapping A'!I15="X",'Mapping B'!I15="X"),"X",IF(AND('Mapping A'!I15="",'Mapping B'!I15=""),"","?"))</f>
        <v/>
      </c>
      <c r="L15" s="14" t="str">
        <f>IF(AND('Mapping A'!J15="X",'Mapping B'!J15="X"),"X",IF(AND('Mapping A'!J15="",'Mapping B'!J15=""),"","?"))</f>
        <v>X</v>
      </c>
      <c r="M15" s="14" t="str">
        <f>IF(AND('Mapping A'!K15="X",'Mapping B'!K15="X"),"X",IF(AND('Mapping A'!K15="",'Mapping B'!K15=""),"","?"))</f>
        <v/>
      </c>
      <c r="N15" s="14" t="str">
        <f>IF(AND('Mapping A'!L15="X",'Mapping B'!L15="X"),"X",IF(AND('Mapping A'!L15="",'Mapping B'!L15=""),"","?"))</f>
        <v/>
      </c>
      <c r="O15" s="14" t="str">
        <f>IF(AND('Mapping A'!M15="X",'Mapping B'!M15="X"),"X",IF(AND('Mapping A'!M15="",'Mapping B'!M15=""),"","?"))</f>
        <v/>
      </c>
      <c r="P15" s="14" t="str">
        <f>IF(AND('Mapping A'!N15="X",'Mapping B'!N15="X"),"X",IF(AND('Mapping A'!N15="",'Mapping B'!N15=""),"","?"))</f>
        <v/>
      </c>
      <c r="Q15" s="14" t="str">
        <f>IF(AND('Mapping A'!O15="X",'Mapping B'!O15="X"),"X",IF(AND('Mapping A'!O15="",'Mapping B'!O15=""),"","?"))</f>
        <v>X</v>
      </c>
      <c r="R15" s="14" t="str">
        <f>IF(AND('Mapping A'!P15="X",'Mapping B'!P15="X"),"X",IF(AND('Mapping A'!P15="",'Mapping B'!P15=""),"","?"))</f>
        <v/>
      </c>
      <c r="S15" s="14" t="str">
        <f>IF(AND('Mapping A'!Q15="X",'Mapping B'!Q15="X"),"X",IF(AND('Mapping A'!Q15="",'Mapping B'!Q15=""),"","?"))</f>
        <v/>
      </c>
      <c r="T15" s="14" t="str">
        <f>IF(AND('Mapping A'!R15="X",'Mapping B'!R15="X"),"X",IF(AND('Mapping A'!R15="",'Mapping B'!R15=""),"","?"))</f>
        <v/>
      </c>
      <c r="U15" s="14" t="str">
        <f>IF(AND('Mapping A'!S15="X",'Mapping B'!S15="X"),"X",IF(AND('Mapping A'!S15="",'Mapping B'!S15=""),"","?"))</f>
        <v>X</v>
      </c>
      <c r="V15" s="14" t="str">
        <f>IF(AND('Mapping A'!T15="X",'Mapping B'!T15="X"),"X",IF(AND('Mapping A'!T15="",'Mapping B'!T15=""),"","?"))</f>
        <v/>
      </c>
    </row>
    <row r="16">
      <c r="A16" s="53" t="str">
        <f>'Mapping A'!A16</f>
        <v>https://doi.org/10.1145/3717511.3747073</v>
      </c>
      <c r="B16" s="13" t="str">
        <f>'Mapping A'!B16</f>
        <v>10.1145/3717511.3747073</v>
      </c>
      <c r="C16" s="13" t="str">
        <f>'Mapping A'!C16</f>
        <v>Interactive Social Agent Behaviors of Politeness and Compromise in Collaborative Decision-making</v>
      </c>
      <c r="D16" s="13" t="b">
        <f>B16='Mapping B'!B16</f>
        <v>1</v>
      </c>
      <c r="E16" s="19" t="str">
        <f>'Mapping A'!D16</f>
        <v>Cindy</v>
      </c>
      <c r="F16" s="19" t="str">
        <f>'Mapping B'!D16</f>
        <v>Ceren</v>
      </c>
      <c r="G16" s="14" t="str">
        <f t="shared" si="2"/>
        <v>X</v>
      </c>
      <c r="H16" s="14" t="str">
        <f>IF(AND('Mapping A'!F16="X",'Mapping B'!F16="X"),"X",IF(AND('Mapping A'!F16="",'Mapping B'!F16=""),"","?"))</f>
        <v>X</v>
      </c>
      <c r="I16" s="14" t="str">
        <f>IF(AND('Mapping A'!G16="X",'Mapping B'!G16="X"),"X",IF(AND('Mapping A'!G16="",'Mapping B'!G16=""),"","?"))</f>
        <v/>
      </c>
      <c r="J16" s="14" t="str">
        <f>IF(AND('Mapping A'!H16="X",'Mapping B'!H16="X"),"X",IF(AND('Mapping A'!H16="",'Mapping B'!H16=""),"","?"))</f>
        <v/>
      </c>
      <c r="K16" s="14" t="str">
        <f>IF(AND('Mapping A'!I16="X",'Mapping B'!I16="X"),"X",IF(AND('Mapping A'!I16="",'Mapping B'!I16=""),"","?"))</f>
        <v/>
      </c>
      <c r="L16" s="14" t="str">
        <f>IF(AND('Mapping A'!J16="X",'Mapping B'!J16="X"),"X",IF(AND('Mapping A'!J16="",'Mapping B'!J16=""),"","?"))</f>
        <v/>
      </c>
      <c r="M16" s="14" t="str">
        <f>IF(AND('Mapping A'!K16="X",'Mapping B'!K16="X"),"X",IF(AND('Mapping A'!K16="",'Mapping B'!K16=""),"","?"))</f>
        <v/>
      </c>
      <c r="N16" s="14" t="str">
        <f>IF(AND('Mapping A'!L16="X",'Mapping B'!L16="X"),"X",IF(AND('Mapping A'!L16="",'Mapping B'!L16=""),"","?"))</f>
        <v>X</v>
      </c>
      <c r="O16" s="14" t="str">
        <f>IF(AND('Mapping A'!M16="X",'Mapping B'!M16="X"),"X",IF(AND('Mapping A'!M16="",'Mapping B'!M16=""),"","?"))</f>
        <v/>
      </c>
      <c r="P16" s="14" t="str">
        <f>IF(AND('Mapping A'!N16="X",'Mapping B'!N16="X"),"X",IF(AND('Mapping A'!N16="",'Mapping B'!N16=""),"","?"))</f>
        <v/>
      </c>
      <c r="Q16" s="14" t="str">
        <f>IF(AND('Mapping A'!O16="X",'Mapping B'!O16="X"),"X",IF(AND('Mapping A'!O16="",'Mapping B'!O16=""),"","?"))</f>
        <v>X</v>
      </c>
      <c r="R16" s="14" t="str">
        <f>IF(AND('Mapping A'!P16="X",'Mapping B'!P16="X"),"X",IF(AND('Mapping A'!P16="",'Mapping B'!P16=""),"","?"))</f>
        <v/>
      </c>
      <c r="S16" s="14" t="str">
        <f>IF(AND('Mapping A'!Q16="X",'Mapping B'!Q16="X"),"X",IF(AND('Mapping A'!Q16="",'Mapping B'!Q16=""),"","?"))</f>
        <v/>
      </c>
      <c r="T16" s="14" t="str">
        <f>IF(AND('Mapping A'!R16="X",'Mapping B'!R16="X"),"X",IF(AND('Mapping A'!R16="",'Mapping B'!R16=""),"","?"))</f>
        <v/>
      </c>
      <c r="U16" s="14" t="str">
        <f>IF(AND('Mapping A'!S16="X",'Mapping B'!S16="X"),"X",IF(AND('Mapping A'!S16="",'Mapping B'!S16=""),"","?"))</f>
        <v/>
      </c>
      <c r="V16" s="14" t="str">
        <f>IF(AND('Mapping A'!T16="X",'Mapping B'!T16="X"),"X",IF(AND('Mapping A'!T16="",'Mapping B'!T16=""),"","?"))</f>
        <v>X</v>
      </c>
    </row>
    <row r="17">
      <c r="A17" s="53" t="str">
        <f>'Mapping A'!A17</f>
        <v>https://doi.org/10.1145/3719160.3736618</v>
      </c>
      <c r="B17" s="13" t="str">
        <f>'Mapping A'!B17</f>
        <v>10.1145/3719160.3736618</v>
      </c>
      <c r="C17" s="13" t="str">
        <f>'Mapping A'!C17</f>
        <v>Navigating the Fog: How University Students Recalibrate Sensemaking Practices to Address Plausible Falsehoods in LLM Outputs</v>
      </c>
      <c r="D17" s="13" t="b">
        <f>B17='Mapping B'!B17</f>
        <v>1</v>
      </c>
      <c r="E17" s="19" t="str">
        <f>'Mapping A'!D17</f>
        <v>Cindy</v>
      </c>
      <c r="F17" s="19" t="str">
        <f>'Mapping B'!D17</f>
        <v>Marilyn</v>
      </c>
      <c r="G17" s="14" t="str">
        <f t="shared" si="2"/>
        <v>X</v>
      </c>
      <c r="H17" s="14" t="str">
        <f>IF(AND('Mapping A'!F17="X",'Mapping B'!F17="X"),"X",IF(AND('Mapping A'!F17="",'Mapping B'!F17=""),"","?"))</f>
        <v/>
      </c>
      <c r="I17" s="14" t="str">
        <f>IF(AND('Mapping A'!G17="X",'Mapping B'!G17="X"),"X",IF(AND('Mapping A'!G17="",'Mapping B'!G17=""),"","?"))</f>
        <v>X</v>
      </c>
      <c r="J17" s="14" t="str">
        <f>IF(AND('Mapping A'!H17="X",'Mapping B'!H17="X"),"X",IF(AND('Mapping A'!H17="",'Mapping B'!H17=""),"","?"))</f>
        <v/>
      </c>
      <c r="K17" s="14" t="str">
        <f>IF(AND('Mapping A'!I17="X",'Mapping B'!I17="X"),"X",IF(AND('Mapping A'!I17="",'Mapping B'!I17=""),"","?"))</f>
        <v/>
      </c>
      <c r="L17" s="14" t="str">
        <f>IF(AND('Mapping A'!J17="X",'Mapping B'!J17="X"),"X",IF(AND('Mapping A'!J17="",'Mapping B'!J17=""),"","?"))</f>
        <v/>
      </c>
      <c r="M17" s="14" t="str">
        <f>IF(AND('Mapping A'!K17="X",'Mapping B'!K17="X"),"X",IF(AND('Mapping A'!K17="",'Mapping B'!K17=""),"","?"))</f>
        <v/>
      </c>
      <c r="N17" s="14" t="str">
        <f>IF(AND('Mapping A'!L17="X",'Mapping B'!L17="X"),"X",IF(AND('Mapping A'!L17="",'Mapping B'!L17=""),"","?"))</f>
        <v/>
      </c>
      <c r="O17" s="14" t="str">
        <f>IF(AND('Mapping A'!M17="X",'Mapping B'!M17="X"),"X",IF(AND('Mapping A'!M17="",'Mapping B'!M17=""),"","?"))</f>
        <v/>
      </c>
      <c r="P17" s="14" t="str">
        <f>IF(AND('Mapping A'!N17="X",'Mapping B'!N17="X"),"X",IF(AND('Mapping A'!N17="",'Mapping B'!N17=""),"","?"))</f>
        <v>X</v>
      </c>
      <c r="Q17" s="14" t="str">
        <f>IF(AND('Mapping A'!O17="X",'Mapping B'!O17="X"),"X",IF(AND('Mapping A'!O17="",'Mapping B'!O17=""),"","?"))</f>
        <v/>
      </c>
      <c r="R17" s="14" t="str">
        <f>IF(AND('Mapping A'!P17="X",'Mapping B'!P17="X"),"X",IF(AND('Mapping A'!P17="",'Mapping B'!P17=""),"","?"))</f>
        <v/>
      </c>
      <c r="S17" s="14" t="str">
        <f>IF(AND('Mapping A'!Q17="X",'Mapping B'!Q17="X"),"X",IF(AND('Mapping A'!Q17="",'Mapping B'!Q17=""),"","?"))</f>
        <v>X</v>
      </c>
      <c r="T17" s="14" t="str">
        <f>IF(AND('Mapping A'!R17="X",'Mapping B'!R17="X"),"X",IF(AND('Mapping A'!R17="",'Mapping B'!R17=""),"","?"))</f>
        <v>X</v>
      </c>
      <c r="U17" s="14" t="str">
        <f>IF(AND('Mapping A'!S17="X",'Mapping B'!S17="X"),"X",IF(AND('Mapping A'!S17="",'Mapping B'!S17=""),"","?"))</f>
        <v/>
      </c>
      <c r="V17" s="14" t="str">
        <f>IF(AND('Mapping A'!T17="X",'Mapping B'!T17="X"),"X",IF(AND('Mapping A'!T17="",'Mapping B'!T17=""),"","?"))</f>
        <v/>
      </c>
    </row>
    <row r="18">
      <c r="A18" s="53" t="str">
        <f>'Mapping A'!A18</f>
        <v>https://doi.org/10.1145/3742413.3789120</v>
      </c>
      <c r="B18" s="13" t="str">
        <f>'Mapping A'!B18</f>
        <v>10.1145/3742413.3789120</v>
      </c>
      <c r="C18" s="13" t="str">
        <f>'Mapping A'!C18</f>
        <v>Neural Transparency: Mechanistic Interpretability Interfaces for Anticipating Model Behaviors for Personalized AI</v>
      </c>
      <c r="D18" s="13" t="b">
        <f>B18='Mapping B'!B18</f>
        <v>1</v>
      </c>
      <c r="E18" s="19" t="str">
        <f>'Mapping A'!D18</f>
        <v>Danni</v>
      </c>
      <c r="F18" s="19" t="str">
        <f>'Mapping B'!D18</f>
        <v>Ceren</v>
      </c>
      <c r="G18" s="14" t="str">
        <f t="shared" si="2"/>
        <v>X</v>
      </c>
      <c r="H18" s="14" t="str">
        <f>IF(AND('Mapping A'!F18="X",'Mapping B'!F18="X"),"X",IF(AND('Mapping A'!F18="",'Mapping B'!F18=""),"","?"))</f>
        <v>X</v>
      </c>
      <c r="I18" s="14" t="str">
        <f>IF(AND('Mapping A'!G18="X",'Mapping B'!G18="X"),"X",IF(AND('Mapping A'!G18="",'Mapping B'!G18=""),"","?"))</f>
        <v/>
      </c>
      <c r="J18" s="14" t="str">
        <f>IF(AND('Mapping A'!H18="X",'Mapping B'!H18="X"),"X",IF(AND('Mapping A'!H18="",'Mapping B'!H18=""),"","?"))</f>
        <v/>
      </c>
      <c r="K18" s="14" t="str">
        <f>IF(AND('Mapping A'!I18="X",'Mapping B'!I18="X"),"X",IF(AND('Mapping A'!I18="",'Mapping B'!I18=""),"","?"))</f>
        <v/>
      </c>
      <c r="L18" s="14" t="str">
        <f>IF(AND('Mapping A'!J18="X",'Mapping B'!J18="X"),"X",IF(AND('Mapping A'!J18="",'Mapping B'!J18=""),"","?"))</f>
        <v>X</v>
      </c>
      <c r="M18" s="14" t="str">
        <f>IF(AND('Mapping A'!K18="X",'Mapping B'!K18="X"),"X",IF(AND('Mapping A'!K18="",'Mapping B'!K18=""),"","?"))</f>
        <v/>
      </c>
      <c r="N18" s="14" t="str">
        <f>IF(AND('Mapping A'!L18="X",'Mapping B'!L18="X"),"X",IF(AND('Mapping A'!L18="",'Mapping B'!L18=""),"","?"))</f>
        <v/>
      </c>
      <c r="O18" s="14" t="str">
        <f>IF(AND('Mapping A'!M18="X",'Mapping B'!M18="X"),"X",IF(AND('Mapping A'!M18="",'Mapping B'!M18=""),"","?"))</f>
        <v/>
      </c>
      <c r="P18" s="14" t="str">
        <f>IF(AND('Mapping A'!N18="X",'Mapping B'!N18="X"),"X",IF(AND('Mapping A'!N18="",'Mapping B'!N18=""),"","?"))</f>
        <v/>
      </c>
      <c r="Q18" s="14" t="str">
        <f>IF(AND('Mapping A'!O18="X",'Mapping B'!O18="X"),"X",IF(AND('Mapping A'!O18="",'Mapping B'!O18=""),"","?"))</f>
        <v>X</v>
      </c>
      <c r="R18" s="14" t="str">
        <f>IF(AND('Mapping A'!P18="X",'Mapping B'!P18="X"),"X",IF(AND('Mapping A'!P18="",'Mapping B'!P18=""),"","?"))</f>
        <v/>
      </c>
      <c r="S18" s="14" t="str">
        <f>IF(AND('Mapping A'!Q18="X",'Mapping B'!Q18="X"),"X",IF(AND('Mapping A'!Q18="",'Mapping B'!Q18=""),"","?"))</f>
        <v/>
      </c>
      <c r="T18" s="14" t="str">
        <f>IF(AND('Mapping A'!R18="X",'Mapping B'!R18="X"),"X",IF(AND('Mapping A'!R18="",'Mapping B'!R18=""),"","?"))</f>
        <v>X</v>
      </c>
      <c r="U18" s="14" t="str">
        <f>IF(AND('Mapping A'!S18="X",'Mapping B'!S18="X"),"X",IF(AND('Mapping A'!S18="",'Mapping B'!S18=""),"","?"))</f>
        <v/>
      </c>
      <c r="V18" s="14" t="str">
        <f>IF(AND('Mapping A'!T18="X",'Mapping B'!T18="X"),"X",IF(AND('Mapping A'!T18="",'Mapping B'!T18=""),"","?"))</f>
        <v>X</v>
      </c>
    </row>
    <row r="19">
      <c r="A19" s="53" t="str">
        <f>'Mapping A'!A19</f>
        <v>https://doi.org/10.1145/3744169.3744194</v>
      </c>
      <c r="B19" s="13" t="str">
        <f>'Mapping A'!B19</f>
        <v>10.1145/3744169.3744194</v>
      </c>
      <c r="C19" s="13" t="str">
        <f>'Mapping A'!C19</f>
        <v>Reading the Praise/Prompt Machine: An Interface Criticism Approach to ChatGPT</v>
      </c>
      <c r="D19" s="13" t="b">
        <f>B19='Mapping B'!B19</f>
        <v>1</v>
      </c>
      <c r="E19" s="19" t="str">
        <f>'Mapping A'!D19</f>
        <v>Danni</v>
      </c>
      <c r="F19" s="19" t="str">
        <f>'Mapping B'!D19</f>
        <v>Tina</v>
      </c>
      <c r="G19" s="14" t="str">
        <f t="shared" si="2"/>
        <v>X</v>
      </c>
      <c r="H19" s="14" t="str">
        <f>IF(AND('Mapping A'!F19="X",'Mapping B'!F19="X"),"X",IF(AND('Mapping A'!F19="",'Mapping B'!F19=""),"","?"))</f>
        <v/>
      </c>
      <c r="I19" s="14" t="str">
        <f>IF(AND('Mapping A'!G19="X",'Mapping B'!G19="X"),"X",IF(AND('Mapping A'!G19="",'Mapping B'!G19=""),"","?"))</f>
        <v/>
      </c>
      <c r="J19" s="14" t="str">
        <f>IF(AND('Mapping A'!H19="X",'Mapping B'!H19="X"),"X",IF(AND('Mapping A'!H19="",'Mapping B'!H19=""),"","?"))</f>
        <v/>
      </c>
      <c r="K19" s="14" t="str">
        <f>IF(AND('Mapping A'!I19="X",'Mapping B'!I19="X"),"X",IF(AND('Mapping A'!I19="",'Mapping B'!I19=""),"","?"))</f>
        <v>X</v>
      </c>
      <c r="L19" s="14" t="str">
        <f>IF(AND('Mapping A'!J19="X",'Mapping B'!J19="X"),"X",IF(AND('Mapping A'!J19="",'Mapping B'!J19=""),"","?"))</f>
        <v/>
      </c>
      <c r="M19" s="14" t="str">
        <f>IF(AND('Mapping A'!K19="X",'Mapping B'!K19="X"),"X",IF(AND('Mapping A'!K19="",'Mapping B'!K19=""),"","?"))</f>
        <v/>
      </c>
      <c r="N19" s="14" t="str">
        <f>IF(AND('Mapping A'!L19="X",'Mapping B'!L19="X"),"X",IF(AND('Mapping A'!L19="",'Mapping B'!L19=""),"","?"))</f>
        <v/>
      </c>
      <c r="O19" s="14" t="str">
        <f>IF(AND('Mapping A'!M19="X",'Mapping B'!M19="X"),"X",IF(AND('Mapping A'!M19="",'Mapping B'!M19=""),"","?"))</f>
        <v>X</v>
      </c>
      <c r="P19" s="14" t="str">
        <f>IF(AND('Mapping A'!N19="X",'Mapping B'!N19="X"),"X",IF(AND('Mapping A'!N19="",'Mapping B'!N19=""),"","?"))</f>
        <v/>
      </c>
      <c r="Q19" s="14" t="str">
        <f>IF(AND('Mapping A'!O19="X",'Mapping B'!O19="X"),"X",IF(AND('Mapping A'!O19="",'Mapping B'!O19=""),"","?"))</f>
        <v>X</v>
      </c>
      <c r="R19" s="14" t="str">
        <f>IF(AND('Mapping A'!P19="X",'Mapping B'!P19="X"),"X",IF(AND('Mapping A'!P19="",'Mapping B'!P19=""),"","?"))</f>
        <v>X</v>
      </c>
      <c r="S19" s="14" t="str">
        <f>IF(AND('Mapping A'!Q19="X",'Mapping B'!Q19="X"),"X",IF(AND('Mapping A'!Q19="",'Mapping B'!Q19=""),"","?"))</f>
        <v/>
      </c>
      <c r="T19" s="14" t="str">
        <f>IF(AND('Mapping A'!R19="X",'Mapping B'!R19="X"),"X",IF(AND('Mapping A'!R19="",'Mapping B'!R19=""),"","?"))</f>
        <v/>
      </c>
      <c r="U19" s="14" t="str">
        <f>IF(AND('Mapping A'!S19="X",'Mapping B'!S19="X"),"X",IF(AND('Mapping A'!S19="",'Mapping B'!S19=""),"","?"))</f>
        <v/>
      </c>
      <c r="V19" s="14" t="str">
        <f>IF(AND('Mapping A'!T19="X",'Mapping B'!T19="X"),"X",IF(AND('Mapping A'!T19="",'Mapping B'!T19=""),"","?"))</f>
        <v/>
      </c>
    </row>
    <row r="20">
      <c r="A20" s="53" t="str">
        <f>'Mapping A'!A20</f>
        <v>https://doi.org/10.1145/3746027.3755778</v>
      </c>
      <c r="B20" s="13" t="str">
        <f>'Mapping A'!B20</f>
        <v>10.1145/3746027.3755778</v>
      </c>
      <c r="C20" s="13" t="str">
        <f>'Mapping A'!C20</f>
        <v>Evaluating and Mitigating Sycophancy in Large Vision-Language Models</v>
      </c>
      <c r="D20" s="13" t="b">
        <f>B20='Mapping B'!B20</f>
        <v>1</v>
      </c>
      <c r="E20" s="19" t="str">
        <f>'Mapping A'!D20</f>
        <v>Danni</v>
      </c>
      <c r="F20" s="19" t="str">
        <f>'Mapping B'!D20</f>
        <v>Marilyn</v>
      </c>
      <c r="G20" s="14" t="str">
        <f t="shared" si="2"/>
        <v>X</v>
      </c>
      <c r="H20" s="14" t="str">
        <f>IF(AND('Mapping A'!F20="X",'Mapping B'!F20="X"),"X",IF(AND('Mapping A'!F20="",'Mapping B'!F20=""),"","?"))</f>
        <v/>
      </c>
      <c r="I20" s="14" t="str">
        <f>IF(AND('Mapping A'!G20="X",'Mapping B'!G20="X"),"X",IF(AND('Mapping A'!G20="",'Mapping B'!G20=""),"","?"))</f>
        <v/>
      </c>
      <c r="J20" s="14" t="str">
        <f>IF(AND('Mapping A'!H20="X",'Mapping B'!H20="X"),"X",IF(AND('Mapping A'!H20="",'Mapping B'!H20=""),"","?"))</f>
        <v/>
      </c>
      <c r="K20" s="14" t="str">
        <f>IF(AND('Mapping A'!I20="X",'Mapping B'!I20="X"),"X",IF(AND('Mapping A'!I20="",'Mapping B'!I20=""),"","?"))</f>
        <v>X</v>
      </c>
      <c r="L20" s="14" t="str">
        <f>IF(AND('Mapping A'!J20="X",'Mapping B'!J20="X"),"X",IF(AND('Mapping A'!J20="",'Mapping B'!J20=""),"","?"))</f>
        <v/>
      </c>
      <c r="M20" s="14" t="str">
        <f>IF(AND('Mapping A'!K20="X",'Mapping B'!K20="X"),"X",IF(AND('Mapping A'!K20="",'Mapping B'!K20=""),"","?"))</f>
        <v>X</v>
      </c>
      <c r="N20" s="14" t="str">
        <f>IF(AND('Mapping A'!L20="X",'Mapping B'!L20="X"),"X",IF(AND('Mapping A'!L20="",'Mapping B'!L20=""),"","?"))</f>
        <v/>
      </c>
      <c r="O20" s="14" t="str">
        <f>IF(AND('Mapping A'!M20="X",'Mapping B'!M20="X"),"X",IF(AND('Mapping A'!M20="",'Mapping B'!M20=""),"","?"))</f>
        <v/>
      </c>
      <c r="P20" s="14" t="str">
        <f>IF(AND('Mapping A'!N20="X",'Mapping B'!N20="X"),"X",IF(AND('Mapping A'!N20="",'Mapping B'!N20=""),"","?"))</f>
        <v>X</v>
      </c>
      <c r="Q20" s="14" t="str">
        <f>IF(AND('Mapping A'!O20="X",'Mapping B'!O20="X"),"X",IF(AND('Mapping A'!O20="",'Mapping B'!O20=""),"","?"))</f>
        <v/>
      </c>
      <c r="R20" s="14" t="str">
        <f>IF(AND('Mapping A'!P20="X",'Mapping B'!P20="X"),"X",IF(AND('Mapping A'!P20="",'Mapping B'!P20=""),"","?"))</f>
        <v/>
      </c>
      <c r="S20" s="14" t="str">
        <f>IF(AND('Mapping A'!Q20="X",'Mapping B'!Q20="X"),"X",IF(AND('Mapping A'!Q20="",'Mapping B'!Q20=""),"","?"))</f>
        <v/>
      </c>
      <c r="T20" s="14" t="str">
        <f>IF(AND('Mapping A'!R20="X",'Mapping B'!R20="X"),"X",IF(AND('Mapping A'!R20="",'Mapping B'!R20=""),"","?"))</f>
        <v/>
      </c>
      <c r="U20" s="14" t="str">
        <f>IF(AND('Mapping A'!S20="X",'Mapping B'!S20="X"),"X",IF(AND('Mapping A'!S20="",'Mapping B'!S20=""),"","?"))</f>
        <v>X</v>
      </c>
      <c r="V20" s="14" t="str">
        <f>IF(AND('Mapping A'!T20="X",'Mapping B'!T20="X"),"X",IF(AND('Mapping A'!T20="",'Mapping B'!T20=""),"","?"))</f>
        <v/>
      </c>
    </row>
    <row r="21">
      <c r="A21" s="53" t="str">
        <f>'Mapping A'!A21</f>
        <v>https://doi.org/10.1145/3772318.3790332</v>
      </c>
      <c r="B21" s="13" t="str">
        <f>'Mapping A'!B21</f>
        <v>10.1145/3772318.3790332</v>
      </c>
      <c r="C21" s="13" t="str">
        <f>'Mapping A'!C21</f>
        <v>Behavioral Indicators of Overreliance During Interaction with Conversational Language Models</v>
      </c>
      <c r="D21" s="13" t="b">
        <f>B21='Mapping B'!B21</f>
        <v>1</v>
      </c>
      <c r="E21" s="19" t="str">
        <f>'Mapping A'!D21</f>
        <v>Danni</v>
      </c>
      <c r="F21" s="19" t="str">
        <f>'Mapping B'!D21</f>
        <v>Tina</v>
      </c>
      <c r="G21" s="55" t="s">
        <v>1694</v>
      </c>
      <c r="H21" s="14" t="str">
        <f>IF(AND('Mapping A'!F21="X",'Mapping B'!F21="X"),"X",IF(AND('Mapping A'!F21="",'Mapping B'!F21=""),"","?"))</f>
        <v/>
      </c>
      <c r="I21" s="14" t="str">
        <f>IF(AND('Mapping A'!G21="X",'Mapping B'!G21="X"),"X",IF(AND('Mapping A'!G21="",'Mapping B'!G21=""),"","?"))</f>
        <v>?</v>
      </c>
      <c r="J21" s="14" t="str">
        <f>IF(AND('Mapping A'!H21="X",'Mapping B'!H21="X"),"X",IF(AND('Mapping A'!H21="",'Mapping B'!H21=""),"","?"))</f>
        <v/>
      </c>
      <c r="K21" s="14" t="str">
        <f>IF(AND('Mapping A'!I21="X",'Mapping B'!I21="X"),"X",IF(AND('Mapping A'!I21="",'Mapping B'!I21=""),"","?"))</f>
        <v/>
      </c>
      <c r="L21" s="14" t="str">
        <f>IF(AND('Mapping A'!J21="X",'Mapping B'!J21="X"),"X",IF(AND('Mapping A'!J21="",'Mapping B'!J21=""),"","?"))</f>
        <v/>
      </c>
      <c r="M21" s="14" t="str">
        <f>IF(AND('Mapping A'!K21="X",'Mapping B'!K21="X"),"X",IF(AND('Mapping A'!K21="",'Mapping B'!K21=""),"","?"))</f>
        <v>?</v>
      </c>
      <c r="N21" s="14" t="str">
        <f>IF(AND('Mapping A'!L21="X",'Mapping B'!L21="X"),"X",IF(AND('Mapping A'!L21="",'Mapping B'!L21=""),"","?"))</f>
        <v/>
      </c>
      <c r="O21" s="14" t="str">
        <f>IF(AND('Mapping A'!M21="X",'Mapping B'!M21="X"),"X",IF(AND('Mapping A'!M21="",'Mapping B'!M21=""),"","?"))</f>
        <v/>
      </c>
      <c r="P21" s="14" t="str">
        <f>IF(AND('Mapping A'!N21="X",'Mapping B'!N21="X"),"X",IF(AND('Mapping A'!N21="",'Mapping B'!N21=""),"","?"))</f>
        <v/>
      </c>
      <c r="Q21" s="14" t="str">
        <f>IF(AND('Mapping A'!O21="X",'Mapping B'!O21="X"),"X",IF(AND('Mapping A'!O21="",'Mapping B'!O21=""),"","?"))</f>
        <v/>
      </c>
      <c r="R21" s="14" t="str">
        <f>IF(AND('Mapping A'!P21="X",'Mapping B'!P21="X"),"X",IF(AND('Mapping A'!P21="",'Mapping B'!P21=""),"","?"))</f>
        <v/>
      </c>
      <c r="S21" s="14" t="str">
        <f>IF(AND('Mapping A'!Q21="X",'Mapping B'!Q21="X"),"X",IF(AND('Mapping A'!Q21="",'Mapping B'!Q21=""),"","?"))</f>
        <v/>
      </c>
      <c r="T21" s="14" t="str">
        <f>IF(AND('Mapping A'!R21="X",'Mapping B'!R21="X"),"X",IF(AND('Mapping A'!R21="",'Mapping B'!R21=""),"","?"))</f>
        <v>X</v>
      </c>
      <c r="U21" s="14" t="str">
        <f>IF(AND('Mapping A'!S21="X",'Mapping B'!S21="X"),"X",IF(AND('Mapping A'!S21="",'Mapping B'!S21=""),"","?"))</f>
        <v/>
      </c>
      <c r="V21" s="14" t="str">
        <f>IF(AND('Mapping A'!T21="X",'Mapping B'!T21="X"),"X",IF(AND('Mapping A'!T21="",'Mapping B'!T21=""),"","?"))</f>
        <v>X</v>
      </c>
    </row>
    <row r="22">
      <c r="A22" s="53" t="str">
        <f>'Mapping A'!A22</f>
        <v>https://doi.org/10.1145/3772318.3790385</v>
      </c>
      <c r="B22" s="13" t="str">
        <f>'Mapping A'!B22</f>
        <v>10.1145/3772318.3790385</v>
      </c>
      <c r="C22" s="13" t="str">
        <f>'Mapping A'!C22</f>
        <v>Understanding Compliance and Conversion Dynamics in Multi-Agent Collectives</v>
      </c>
      <c r="D22" s="13" t="b">
        <f>B22='Mapping B'!B22</f>
        <v>1</v>
      </c>
      <c r="E22" s="19" t="str">
        <f>'Mapping A'!D22</f>
        <v>Danni</v>
      </c>
      <c r="F22" s="19" t="str">
        <f>'Mapping B'!D22</f>
        <v>Tina</v>
      </c>
      <c r="G22" s="14" t="str">
        <f t="shared" ref="G22:G37" si="3">IF(AND(COUNTIF(H22:L22,"X")&gt;0,COUNTIF(M22:Q22,"X")&gt;0,COUNTIF(R22:V22,"X")&gt;0,COUNTIF(H22:V22,"~?")=0),"X","")</f>
        <v>X</v>
      </c>
      <c r="H22" s="14" t="str">
        <f>IF(AND('Mapping A'!F22="X",'Mapping B'!F22="X"),"X",IF(AND('Mapping A'!F22="",'Mapping B'!F22=""),"","?"))</f>
        <v>X</v>
      </c>
      <c r="I22" s="14" t="str">
        <f>IF(AND('Mapping A'!G22="X",'Mapping B'!G22="X"),"X",IF(AND('Mapping A'!G22="",'Mapping B'!G22=""),"","?"))</f>
        <v/>
      </c>
      <c r="J22" s="14" t="str">
        <f>IF(AND('Mapping A'!H22="X",'Mapping B'!H22="X"),"X",IF(AND('Mapping A'!H22="",'Mapping B'!H22=""),"","?"))</f>
        <v/>
      </c>
      <c r="K22" s="14" t="str">
        <f>IF(AND('Mapping A'!I22="X",'Mapping B'!I22="X"),"X",IF(AND('Mapping A'!I22="",'Mapping B'!I22=""),"","?"))</f>
        <v/>
      </c>
      <c r="L22" s="14" t="str">
        <f>IF(AND('Mapping A'!J22="X",'Mapping B'!J22="X"),"X",IF(AND('Mapping A'!J22="",'Mapping B'!J22=""),"","?"))</f>
        <v/>
      </c>
      <c r="M22" s="14" t="str">
        <f>IF(AND('Mapping A'!K22="X",'Mapping B'!K22="X"),"X",IF(AND('Mapping A'!K22="",'Mapping B'!K22=""),"","?"))</f>
        <v/>
      </c>
      <c r="N22" s="14" t="str">
        <f>IF(AND('Mapping A'!L22="X",'Mapping B'!L22="X"),"X",IF(AND('Mapping A'!L22="",'Mapping B'!L22=""),"","?"))</f>
        <v/>
      </c>
      <c r="O22" s="14" t="str">
        <f>IF(AND('Mapping A'!M22="X",'Mapping B'!M22="X"),"X",IF(AND('Mapping A'!M22="",'Mapping B'!M22=""),"","?"))</f>
        <v/>
      </c>
      <c r="P22" s="14" t="str">
        <f>IF(AND('Mapping A'!N22="X",'Mapping B'!N22="X"),"X",IF(AND('Mapping A'!N22="",'Mapping B'!N22=""),"","?"))</f>
        <v>X</v>
      </c>
      <c r="Q22" s="14" t="str">
        <f>IF(AND('Mapping A'!O22="X",'Mapping B'!O22="X"),"X",IF(AND('Mapping A'!O22="",'Mapping B'!O22=""),"","?"))</f>
        <v>X</v>
      </c>
      <c r="R22" s="14" t="str">
        <f>IF(AND('Mapping A'!P22="X",'Mapping B'!P22="X"),"X",IF(AND('Mapping A'!P22="",'Mapping B'!P22=""),"","?"))</f>
        <v/>
      </c>
      <c r="S22" s="14" t="str">
        <f>IF(AND('Mapping A'!Q22="X",'Mapping B'!Q22="X"),"X",IF(AND('Mapping A'!Q22="",'Mapping B'!Q22=""),"","?"))</f>
        <v>X</v>
      </c>
      <c r="T22" s="14" t="str">
        <f>IF(AND('Mapping A'!R22="X",'Mapping B'!R22="X"),"X",IF(AND('Mapping A'!R22="",'Mapping B'!R22=""),"","?"))</f>
        <v>X</v>
      </c>
      <c r="U22" s="14" t="str">
        <f>IF(AND('Mapping A'!S22="X",'Mapping B'!S22="X"),"X",IF(AND('Mapping A'!S22="",'Mapping B'!S22=""),"","?"))</f>
        <v/>
      </c>
      <c r="V22" s="14" t="str">
        <f>IF(AND('Mapping A'!T22="X",'Mapping B'!T22="X"),"X",IF(AND('Mapping A'!T22="",'Mapping B'!T22=""),"","?"))</f>
        <v/>
      </c>
    </row>
    <row r="23">
      <c r="A23" s="53" t="str">
        <f>'Mapping A'!A23</f>
        <v>https://doi.org/10.1145/3772318.3790934</v>
      </c>
      <c r="B23" s="13" t="str">
        <f>'Mapping A'!B23</f>
        <v>10.1145/3772318.3790934</v>
      </c>
      <c r="C23" s="13" t="str">
        <f>'Mapping A'!C23</f>
        <v>Does Sycophancy Change Decisions? Effect of LLM Sycophancy on AI-Assisted Decision-Making</v>
      </c>
      <c r="D23" s="13" t="b">
        <f>B23='Mapping B'!B23</f>
        <v>1</v>
      </c>
      <c r="E23" s="19" t="str">
        <f>'Mapping A'!D23</f>
        <v>Danni</v>
      </c>
      <c r="F23" s="19" t="str">
        <f>'Mapping B'!D23</f>
        <v>Tina</v>
      </c>
      <c r="G23" s="14" t="str">
        <f t="shared" si="3"/>
        <v>X</v>
      </c>
      <c r="H23" s="14" t="str">
        <f>IF(AND('Mapping A'!F23="X",'Mapping B'!F23="X"),"X",IF(AND('Mapping A'!F23="",'Mapping B'!F23=""),"","?"))</f>
        <v>X</v>
      </c>
      <c r="I23" s="14" t="str">
        <f>IF(AND('Mapping A'!G23="X",'Mapping B'!G23="X"),"X",IF(AND('Mapping A'!G23="",'Mapping B'!G23=""),"","?"))</f>
        <v/>
      </c>
      <c r="J23" s="14" t="str">
        <f>IF(AND('Mapping A'!H23="X",'Mapping B'!H23="X"),"X",IF(AND('Mapping A'!H23="",'Mapping B'!H23=""),"","?"))</f>
        <v/>
      </c>
      <c r="K23" s="14" t="str">
        <f>IF(AND('Mapping A'!I23="X",'Mapping B'!I23="X"),"X",IF(AND('Mapping A'!I23="",'Mapping B'!I23=""),"","?"))</f>
        <v/>
      </c>
      <c r="L23" s="14" t="str">
        <f>IF(AND('Mapping A'!J23="X",'Mapping B'!J23="X"),"X",IF(AND('Mapping A'!J23="",'Mapping B'!J23=""),"","?"))</f>
        <v/>
      </c>
      <c r="M23" s="14" t="str">
        <f>IF(AND('Mapping A'!K23="X",'Mapping B'!K23="X"),"X",IF(AND('Mapping A'!K23="",'Mapping B'!K23=""),"","?"))</f>
        <v/>
      </c>
      <c r="N23" s="14" t="str">
        <f>IF(AND('Mapping A'!L23="X",'Mapping B'!L23="X"),"X",IF(AND('Mapping A'!L23="",'Mapping B'!L23=""),"","?"))</f>
        <v>X</v>
      </c>
      <c r="O23" s="14" t="str">
        <f>IF(AND('Mapping A'!M23="X",'Mapping B'!M23="X"),"X",IF(AND('Mapping A'!M23="",'Mapping B'!M23=""),"","?"))</f>
        <v>X</v>
      </c>
      <c r="P23" s="14" t="str">
        <f>IF(AND('Mapping A'!N23="X",'Mapping B'!N23="X"),"X",IF(AND('Mapping A'!N23="",'Mapping B'!N23=""),"","?"))</f>
        <v/>
      </c>
      <c r="Q23" s="14" t="str">
        <f>IF(AND('Mapping A'!O23="X",'Mapping B'!O23="X"),"X",IF(AND('Mapping A'!O23="",'Mapping B'!O23=""),"","?"))</f>
        <v/>
      </c>
      <c r="R23" s="14" t="str">
        <f>IF(AND('Mapping A'!P23="X",'Mapping B'!P23="X"),"X",IF(AND('Mapping A'!P23="",'Mapping B'!P23=""),"","?"))</f>
        <v/>
      </c>
      <c r="S23" s="14" t="str">
        <f>IF(AND('Mapping A'!Q23="X",'Mapping B'!Q23="X"),"X",IF(AND('Mapping A'!Q23="",'Mapping B'!Q23=""),"","?"))</f>
        <v>X</v>
      </c>
      <c r="T23" s="14" t="str">
        <f>IF(AND('Mapping A'!R23="X",'Mapping B'!R23="X"),"X",IF(AND('Mapping A'!R23="",'Mapping B'!R23=""),"","?"))</f>
        <v>X</v>
      </c>
      <c r="U23" s="14" t="str">
        <f>IF(AND('Mapping A'!S23="X",'Mapping B'!S23="X"),"X",IF(AND('Mapping A'!S23="",'Mapping B'!S23=""),"","?"))</f>
        <v/>
      </c>
      <c r="V23" s="14" t="str">
        <f>IF(AND('Mapping A'!T23="X",'Mapping B'!T23="X"),"X",IF(AND('Mapping A'!T23="",'Mapping B'!T23=""),"","?"))</f>
        <v>X</v>
      </c>
    </row>
    <row r="24">
      <c r="A24" s="53" t="str">
        <f>'Mapping A'!A24</f>
        <v>https://doi.org/10.1145/3772318.3791079</v>
      </c>
      <c r="B24" s="13" t="str">
        <f>'Mapping A'!B24</f>
        <v>10.1145/3772318.3791079</v>
      </c>
      <c r="C24" s="13" t="str">
        <f>'Mapping A'!C24</f>
        <v>Be Friendly</v>
      </c>
      <c r="D24" s="13" t="b">
        <f>B24='Mapping B'!B24</f>
        <v>1</v>
      </c>
      <c r="E24" s="19" t="str">
        <f>'Mapping A'!D24</f>
        <v>Danni</v>
      </c>
      <c r="F24" s="19" t="str">
        <f>'Mapping B'!D24</f>
        <v>Marilyn</v>
      </c>
      <c r="G24" s="14" t="str">
        <f t="shared" si="3"/>
        <v>X</v>
      </c>
      <c r="H24" s="14" t="str">
        <f>IF(AND('Mapping A'!F24="X",'Mapping B'!F24="X"),"X",IF(AND('Mapping A'!F24="",'Mapping B'!F24=""),"","?"))</f>
        <v>X</v>
      </c>
      <c r="I24" s="14" t="str">
        <f>IF(AND('Mapping A'!G24="X",'Mapping B'!G24="X"),"X",IF(AND('Mapping A'!G24="",'Mapping B'!G24=""),"","?"))</f>
        <v/>
      </c>
      <c r="J24" s="14" t="str">
        <f>IF(AND('Mapping A'!H24="X",'Mapping B'!H24="X"),"X",IF(AND('Mapping A'!H24="",'Mapping B'!H24=""),"","?"))</f>
        <v/>
      </c>
      <c r="K24" s="14" t="str">
        <f>IF(AND('Mapping A'!I24="X",'Mapping B'!I24="X"),"X",IF(AND('Mapping A'!I24="",'Mapping B'!I24=""),"","?"))</f>
        <v/>
      </c>
      <c r="L24" s="14" t="str">
        <f>IF(AND('Mapping A'!J24="X",'Mapping B'!J24="X"),"X",IF(AND('Mapping A'!J24="",'Mapping B'!J24=""),"","?"))</f>
        <v/>
      </c>
      <c r="M24" s="14" t="str">
        <f>IF(AND('Mapping A'!K24="X",'Mapping B'!K24="X"),"X",IF(AND('Mapping A'!K24="",'Mapping B'!K24=""),"","?"))</f>
        <v/>
      </c>
      <c r="N24" s="14" t="str">
        <f>IF(AND('Mapping A'!L24="X",'Mapping B'!L24="X"),"X",IF(AND('Mapping A'!L24="",'Mapping B'!L24=""),"","?"))</f>
        <v/>
      </c>
      <c r="O24" s="14" t="str">
        <f>IF(AND('Mapping A'!M24="X",'Mapping B'!M24="X"),"X",IF(AND('Mapping A'!M24="",'Mapping B'!M24=""),"","?"))</f>
        <v>X</v>
      </c>
      <c r="P24" s="14" t="str">
        <f>IF(AND('Mapping A'!N24="X",'Mapping B'!N24="X"),"X",IF(AND('Mapping A'!N24="",'Mapping B'!N24=""),"","?"))</f>
        <v>X</v>
      </c>
      <c r="Q24" s="14" t="str">
        <f>IF(AND('Mapping A'!O24="X",'Mapping B'!O24="X"),"X",IF(AND('Mapping A'!O24="",'Mapping B'!O24=""),"","?"))</f>
        <v/>
      </c>
      <c r="R24" s="14" t="str">
        <f>IF(AND('Mapping A'!P24="X",'Mapping B'!P24="X"),"X",IF(AND('Mapping A'!P24="",'Mapping B'!P24=""),"","?"))</f>
        <v/>
      </c>
      <c r="S24" s="14" t="str">
        <f>IF(AND('Mapping A'!Q24="X",'Mapping B'!Q24="X"),"X",IF(AND('Mapping A'!Q24="",'Mapping B'!Q24=""),"","?"))</f>
        <v>X</v>
      </c>
      <c r="T24" s="14" t="str">
        <f>IF(AND('Mapping A'!R24="X",'Mapping B'!R24="X"),"X",IF(AND('Mapping A'!R24="",'Mapping B'!R24=""),"","?"))</f>
        <v/>
      </c>
      <c r="U24" s="14" t="str">
        <f>IF(AND('Mapping A'!S24="X",'Mapping B'!S24="X"),"X",IF(AND('Mapping A'!S24="",'Mapping B'!S24=""),"","?"))</f>
        <v/>
      </c>
      <c r="V24" s="14" t="str">
        <f>IF(AND('Mapping A'!T24="X",'Mapping B'!T24="X"),"X",IF(AND('Mapping A'!T24="",'Mapping B'!T24=""),"","?"))</f>
        <v/>
      </c>
    </row>
    <row r="25">
      <c r="A25" s="53" t="str">
        <f>'Mapping A'!A25</f>
        <v>https://doi.org/10.1145/3772318.3791149</v>
      </c>
      <c r="B25" s="13" t="str">
        <f>'Mapping A'!B25</f>
        <v>10.1145/3772318.3791149</v>
      </c>
      <c r="C25" s="13" t="str">
        <f>'Mapping A'!C25</f>
        <v>The Siren Song of LLMs: How Users Perceive and Respond to Dark Patterns in Large Language Models</v>
      </c>
      <c r="D25" s="13" t="b">
        <f>B25='Mapping B'!B25</f>
        <v>1</v>
      </c>
      <c r="E25" s="19" t="str">
        <f>'Mapping A'!D25</f>
        <v>Jonathan</v>
      </c>
      <c r="F25" s="19" t="str">
        <f>'Mapping B'!D25</f>
        <v>Cindy</v>
      </c>
      <c r="G25" s="14" t="str">
        <f t="shared" si="3"/>
        <v>X</v>
      </c>
      <c r="H25" s="14" t="str">
        <f>IF(AND('Mapping A'!F25="X",'Mapping B'!F25="X"),"X",IF(AND('Mapping A'!F25="",'Mapping B'!F25=""),"","?"))</f>
        <v>X</v>
      </c>
      <c r="I25" s="14" t="str">
        <f>IF(AND('Mapping A'!G25="X",'Mapping B'!G25="X"),"X",IF(AND('Mapping A'!G25="",'Mapping B'!G25=""),"","?"))</f>
        <v/>
      </c>
      <c r="J25" s="14" t="str">
        <f>IF(AND('Mapping A'!H25="X",'Mapping B'!H25="X"),"X",IF(AND('Mapping A'!H25="",'Mapping B'!H25=""),"","?"))</f>
        <v/>
      </c>
      <c r="K25" s="14" t="str">
        <f>IF(AND('Mapping A'!I25="X",'Mapping B'!I25="X"),"X",IF(AND('Mapping A'!I25="",'Mapping B'!I25=""),"","?"))</f>
        <v/>
      </c>
      <c r="L25" s="14" t="str">
        <f>IF(AND('Mapping A'!J25="X",'Mapping B'!J25="X"),"X",IF(AND('Mapping A'!J25="",'Mapping B'!J25=""),"","?"))</f>
        <v/>
      </c>
      <c r="M25" s="14" t="str">
        <f>IF(AND('Mapping A'!K25="X",'Mapping B'!K25="X"),"X",IF(AND('Mapping A'!K25="",'Mapping B'!K25=""),"","?"))</f>
        <v/>
      </c>
      <c r="N25" s="14" t="str">
        <f>IF(AND('Mapping A'!L25="X",'Mapping B'!L25="X"),"X",IF(AND('Mapping A'!L25="",'Mapping B'!L25=""),"","?"))</f>
        <v>X</v>
      </c>
      <c r="O25" s="14" t="str">
        <f>IF(AND('Mapping A'!M25="X",'Mapping B'!M25="X"),"X",IF(AND('Mapping A'!M25="",'Mapping B'!M25=""),"","?"))</f>
        <v>X</v>
      </c>
      <c r="P25" s="14" t="str">
        <f>IF(AND('Mapping A'!N25="X",'Mapping B'!N25="X"),"X",IF(AND('Mapping A'!N25="",'Mapping B'!N25=""),"","?"))</f>
        <v/>
      </c>
      <c r="Q25" s="14" t="str">
        <f>IF(AND('Mapping A'!O25="X",'Mapping B'!O25="X"),"X",IF(AND('Mapping A'!O25="",'Mapping B'!O25=""),"","?"))</f>
        <v/>
      </c>
      <c r="R25" s="14" t="str">
        <f>IF(AND('Mapping A'!P25="X",'Mapping B'!P25="X"),"X",IF(AND('Mapping A'!P25="",'Mapping B'!P25=""),"","?"))</f>
        <v/>
      </c>
      <c r="S25" s="14" t="str">
        <f>IF(AND('Mapping A'!Q25="X",'Mapping B'!Q25="X"),"X",IF(AND('Mapping A'!Q25="",'Mapping B'!Q25=""),"","?"))</f>
        <v>X</v>
      </c>
      <c r="T25" s="14" t="str">
        <f>IF(AND('Mapping A'!R25="X",'Mapping B'!R25="X"),"X",IF(AND('Mapping A'!R25="",'Mapping B'!R25=""),"","?"))</f>
        <v>X</v>
      </c>
      <c r="U25" s="14" t="str">
        <f>IF(AND('Mapping A'!S25="X",'Mapping B'!S25="X"),"X",IF(AND('Mapping A'!S25="",'Mapping B'!S25=""),"","?"))</f>
        <v/>
      </c>
      <c r="V25" s="14" t="str">
        <f>IF(AND('Mapping A'!T25="X",'Mapping B'!T25="X"),"X",IF(AND('Mapping A'!T25="",'Mapping B'!T25=""),"","?"))</f>
        <v/>
      </c>
    </row>
    <row r="26">
      <c r="A26" s="53" t="str">
        <f>'Mapping A'!A26</f>
        <v>https://doi.org/10.1145/3772318.3791233</v>
      </c>
      <c r="B26" s="13" t="str">
        <f>'Mapping A'!B26</f>
        <v>10.1145/3772318.3791233</v>
      </c>
      <c r="C26" s="13" t="str">
        <f>'Mapping A'!C26</f>
        <v>When AI Gives Advice: Evaluating AI and Human Responses to Online Advice-Seeking for Well-Being</v>
      </c>
      <c r="D26" s="13" t="b">
        <f>B26='Mapping B'!B26</f>
        <v>1</v>
      </c>
      <c r="E26" s="19" t="str">
        <f>'Mapping A'!D26</f>
        <v>Jonathan</v>
      </c>
      <c r="F26" s="19" t="str">
        <f>'Mapping B'!D26</f>
        <v>Kaiser</v>
      </c>
      <c r="G26" s="14" t="str">
        <f t="shared" si="3"/>
        <v>X</v>
      </c>
      <c r="H26" s="14" t="str">
        <f>IF(AND('Mapping A'!F26="X",'Mapping B'!F26="X"),"X",IF(AND('Mapping A'!F26="",'Mapping B'!F26=""),"","?"))</f>
        <v/>
      </c>
      <c r="I26" s="14" t="str">
        <f>IF(AND('Mapping A'!G26="X",'Mapping B'!G26="X"),"X",IF(AND('Mapping A'!G26="",'Mapping B'!G26=""),"","?"))</f>
        <v>X</v>
      </c>
      <c r="J26" s="14" t="str">
        <f>IF(AND('Mapping A'!H26="X",'Mapping B'!H26="X"),"X",IF(AND('Mapping A'!H26="",'Mapping B'!H26=""),"","?"))</f>
        <v>X</v>
      </c>
      <c r="K26" s="14" t="str">
        <f>IF(AND('Mapping A'!I26="X",'Mapping B'!I26="X"),"X",IF(AND('Mapping A'!I26="",'Mapping B'!I26=""),"","?"))</f>
        <v/>
      </c>
      <c r="L26" s="14" t="str">
        <f>IF(AND('Mapping A'!J26="X",'Mapping B'!J26="X"),"X",IF(AND('Mapping A'!J26="",'Mapping B'!J26=""),"","?"))</f>
        <v/>
      </c>
      <c r="M26" s="14" t="str">
        <f>IF(AND('Mapping A'!K26="X",'Mapping B'!K26="X"),"X",IF(AND('Mapping A'!K26="",'Mapping B'!K26=""),"","?"))</f>
        <v/>
      </c>
      <c r="N26" s="14" t="str">
        <f>IF(AND('Mapping A'!L26="X",'Mapping B'!L26="X"),"X",IF(AND('Mapping A'!L26="",'Mapping B'!L26=""),"","?"))</f>
        <v>X</v>
      </c>
      <c r="O26" s="14" t="str">
        <f>IF(AND('Mapping A'!M26="X",'Mapping B'!M26="X"),"X",IF(AND('Mapping A'!M26="",'Mapping B'!M26=""),"","?"))</f>
        <v/>
      </c>
      <c r="P26" s="14" t="str">
        <f>IF(AND('Mapping A'!N26="X",'Mapping B'!N26="X"),"X",IF(AND('Mapping A'!N26="",'Mapping B'!N26=""),"","?"))</f>
        <v/>
      </c>
      <c r="Q26" s="14" t="str">
        <f>IF(AND('Mapping A'!O26="X",'Mapping B'!O26="X"),"X",IF(AND('Mapping A'!O26="",'Mapping B'!O26=""),"","?"))</f>
        <v/>
      </c>
      <c r="R26" s="14" t="str">
        <f>IF(AND('Mapping A'!P26="X",'Mapping B'!P26="X"),"X",IF(AND('Mapping A'!P26="",'Mapping B'!P26=""),"","?"))</f>
        <v/>
      </c>
      <c r="S26" s="14" t="str">
        <f>IF(AND('Mapping A'!Q26="X",'Mapping B'!Q26="X"),"X",IF(AND('Mapping A'!Q26="",'Mapping B'!Q26=""),"","?"))</f>
        <v>X</v>
      </c>
      <c r="T26" s="14" t="str">
        <f>IF(AND('Mapping A'!R26="X",'Mapping B'!R26="X"),"X",IF(AND('Mapping A'!R26="",'Mapping B'!R26=""),"","?"))</f>
        <v/>
      </c>
      <c r="U26" s="14" t="str">
        <f>IF(AND('Mapping A'!S26="X",'Mapping B'!S26="X"),"X",IF(AND('Mapping A'!S26="",'Mapping B'!S26=""),"","?"))</f>
        <v>X</v>
      </c>
      <c r="V26" s="14" t="str">
        <f>IF(AND('Mapping A'!T26="X",'Mapping B'!T26="X"),"X",IF(AND('Mapping A'!T26="",'Mapping B'!T26=""),"","?"))</f>
        <v/>
      </c>
    </row>
    <row r="27">
      <c r="A27" s="53" t="str">
        <f>'Mapping A'!A27</f>
        <v>https://doi.org/10.1145/3772318.3791300</v>
      </c>
      <c r="B27" s="13" t="str">
        <f>'Mapping A'!B27</f>
        <v>10.1145/3772318.3791300</v>
      </c>
      <c r="C27" s="13" t="str">
        <f>'Mapping A'!C27</f>
        <v>All Accept</v>
      </c>
      <c r="D27" s="13" t="b">
        <f>B27='Mapping B'!B27</f>
        <v>1</v>
      </c>
      <c r="E27" s="19" t="str">
        <f>'Mapping A'!D27</f>
        <v>Jonathan</v>
      </c>
      <c r="F27" s="19" t="str">
        <f>'Mapping B'!D27</f>
        <v>Ceren</v>
      </c>
      <c r="G27" s="14" t="str">
        <f t="shared" si="3"/>
        <v>X</v>
      </c>
      <c r="H27" s="14" t="str">
        <f>IF(AND('Mapping A'!F27="X",'Mapping B'!F27="X"),"X",IF(AND('Mapping A'!F27="",'Mapping B'!F27=""),"","?"))</f>
        <v/>
      </c>
      <c r="I27" s="14" t="str">
        <f>IF(AND('Mapping A'!G27="X",'Mapping B'!G27="X"),"X",IF(AND('Mapping A'!G27="",'Mapping B'!G27=""),"","?"))</f>
        <v/>
      </c>
      <c r="J27" s="14" t="str">
        <f>IF(AND('Mapping A'!H27="X",'Mapping B'!H27="X"),"X",IF(AND('Mapping A'!H27="",'Mapping B'!H27=""),"","?"))</f>
        <v>X</v>
      </c>
      <c r="K27" s="14" t="str">
        <f>IF(AND('Mapping A'!I27="X",'Mapping B'!I27="X"),"X",IF(AND('Mapping A'!I27="",'Mapping B'!I27=""),"","?"))</f>
        <v/>
      </c>
      <c r="L27" s="14" t="str">
        <f>IF(AND('Mapping A'!J27="X",'Mapping B'!J27="X"),"X",IF(AND('Mapping A'!J27="",'Mapping B'!J27=""),"","?"))</f>
        <v/>
      </c>
      <c r="M27" s="14" t="str">
        <f>IF(AND('Mapping A'!K27="X",'Mapping B'!K27="X"),"X",IF(AND('Mapping A'!K27="",'Mapping B'!K27=""),"","?"))</f>
        <v/>
      </c>
      <c r="N27" s="14" t="str">
        <f>IF(AND('Mapping A'!L27="X",'Mapping B'!L27="X"),"X",IF(AND('Mapping A'!L27="",'Mapping B'!L27=""),"","?"))</f>
        <v>X</v>
      </c>
      <c r="O27" s="14" t="str">
        <f>IF(AND('Mapping A'!M27="X",'Mapping B'!M27="X"),"X",IF(AND('Mapping A'!M27="",'Mapping B'!M27=""),"","?"))</f>
        <v/>
      </c>
      <c r="P27" s="14" t="str">
        <f>IF(AND('Mapping A'!N27="X",'Mapping B'!N27="X"),"X",IF(AND('Mapping A'!N27="",'Mapping B'!N27=""),"","?"))</f>
        <v/>
      </c>
      <c r="Q27" s="14" t="str">
        <f>IF(AND('Mapping A'!O27="X",'Mapping B'!O27="X"),"X",IF(AND('Mapping A'!O27="",'Mapping B'!O27=""),"","?"))</f>
        <v/>
      </c>
      <c r="R27" s="14" t="str">
        <f>IF(AND('Mapping A'!P27="X",'Mapping B'!P27="X"),"X",IF(AND('Mapping A'!P27="",'Mapping B'!P27=""),"","?"))</f>
        <v/>
      </c>
      <c r="S27" s="14" t="str">
        <f>IF(AND('Mapping A'!Q27="X",'Mapping B'!Q27="X"),"X",IF(AND('Mapping A'!Q27="",'Mapping B'!Q27=""),"","?"))</f>
        <v/>
      </c>
      <c r="T27" s="14" t="str">
        <f>IF(AND('Mapping A'!R27="X",'Mapping B'!R27="X"),"X",IF(AND('Mapping A'!R27="",'Mapping B'!R27=""),"","?"))</f>
        <v/>
      </c>
      <c r="U27" s="14" t="str">
        <f>IF(AND('Mapping A'!S27="X",'Mapping B'!S27="X"),"X",IF(AND('Mapping A'!S27="",'Mapping B'!S27=""),"","?"))</f>
        <v>X</v>
      </c>
      <c r="V27" s="14" t="str">
        <f>IF(AND('Mapping A'!T27="X",'Mapping B'!T27="X"),"X",IF(AND('Mapping A'!T27="",'Mapping B'!T27=""),"","?"))</f>
        <v/>
      </c>
    </row>
    <row r="28">
      <c r="A28" s="53" t="str">
        <f>'Mapping A'!A28</f>
        <v>https://doi.org/10.1145/3772318.3791365</v>
      </c>
      <c r="B28" s="13" t="str">
        <f>'Mapping A'!B28</f>
        <v>10.1145/3772318.3791365</v>
      </c>
      <c r="C28" s="13" t="str">
        <f>'Mapping A'!C28</f>
        <v>Invisible Saboteurs: Sycophantic LLMs Mislead Novices in Problem-Solving Tasks</v>
      </c>
      <c r="D28" s="13" t="b">
        <f>B28='Mapping B'!B28</f>
        <v>1</v>
      </c>
      <c r="E28" s="19" t="str">
        <f>'Mapping A'!D28</f>
        <v>Jonathan</v>
      </c>
      <c r="F28" s="19" t="str">
        <f>'Mapping B'!D28</f>
        <v>Danni</v>
      </c>
      <c r="G28" s="14" t="str">
        <f t="shared" si="3"/>
        <v>X</v>
      </c>
      <c r="H28" s="14" t="str">
        <f>IF(AND('Mapping A'!F28="X",'Mapping B'!F28="X"),"X",IF(AND('Mapping A'!F28="",'Mapping B'!F28=""),"","?"))</f>
        <v/>
      </c>
      <c r="I28" s="14" t="str">
        <f>IF(AND('Mapping A'!G28="X",'Mapping B'!G28="X"),"X",IF(AND('Mapping A'!G28="",'Mapping B'!G28=""),"","?"))</f>
        <v>X</v>
      </c>
      <c r="J28" s="14" t="str">
        <f>IF(AND('Mapping A'!H28="X",'Mapping B'!H28="X"),"X",IF(AND('Mapping A'!H28="",'Mapping B'!H28=""),"","?"))</f>
        <v/>
      </c>
      <c r="K28" s="14" t="str">
        <f>IF(AND('Mapping A'!I28="X",'Mapping B'!I28="X"),"X",IF(AND('Mapping A'!I28="",'Mapping B'!I28=""),"","?"))</f>
        <v/>
      </c>
      <c r="L28" s="14" t="str">
        <f>IF(AND('Mapping A'!J28="X",'Mapping B'!J28="X"),"X",IF(AND('Mapping A'!J28="",'Mapping B'!J28=""),"","?"))</f>
        <v/>
      </c>
      <c r="M28" s="14" t="str">
        <f>IF(AND('Mapping A'!K28="X",'Mapping B'!K28="X"),"X",IF(AND('Mapping A'!K28="",'Mapping B'!K28=""),"","?"))</f>
        <v/>
      </c>
      <c r="N28" s="14" t="str">
        <f>IF(AND('Mapping A'!L28="X",'Mapping B'!L28="X"),"X",IF(AND('Mapping A'!L28="",'Mapping B'!L28=""),"","?"))</f>
        <v/>
      </c>
      <c r="O28" s="14" t="str">
        <f>IF(AND('Mapping A'!M28="X",'Mapping B'!M28="X"),"X",IF(AND('Mapping A'!M28="",'Mapping B'!M28=""),"","?"))</f>
        <v/>
      </c>
      <c r="P28" s="14" t="str">
        <f>IF(AND('Mapping A'!N28="X",'Mapping B'!N28="X"),"X",IF(AND('Mapping A'!N28="",'Mapping B'!N28=""),"","?"))</f>
        <v/>
      </c>
      <c r="Q28" s="14" t="str">
        <f>IF(AND('Mapping A'!O28="X",'Mapping B'!O28="X"),"X",IF(AND('Mapping A'!O28="",'Mapping B'!O28=""),"","?"))</f>
        <v>X</v>
      </c>
      <c r="R28" s="14" t="str">
        <f>IF(AND('Mapping A'!P28="X",'Mapping B'!P28="X"),"X",IF(AND('Mapping A'!P28="",'Mapping B'!P28=""),"","?"))</f>
        <v/>
      </c>
      <c r="S28" s="14" t="str">
        <f>IF(AND('Mapping A'!Q28="X",'Mapping B'!Q28="X"),"X",IF(AND('Mapping A'!Q28="",'Mapping B'!Q28=""),"","?"))</f>
        <v/>
      </c>
      <c r="T28" s="14" t="str">
        <f>IF(AND('Mapping A'!R28="X",'Mapping B'!R28="X"),"X",IF(AND('Mapping A'!R28="",'Mapping B'!R28=""),"","?"))</f>
        <v/>
      </c>
      <c r="U28" s="14" t="str">
        <f>IF(AND('Mapping A'!S28="X",'Mapping B'!S28="X"),"X",IF(AND('Mapping A'!S28="",'Mapping B'!S28=""),"","?"))</f>
        <v/>
      </c>
      <c r="V28" s="14" t="str">
        <f>IF(AND('Mapping A'!T28="X",'Mapping B'!T28="X"),"X",IF(AND('Mapping A'!T28="",'Mapping B'!T28=""),"","?"))</f>
        <v>X</v>
      </c>
    </row>
    <row r="29">
      <c r="A29" s="53" t="str">
        <f>'Mapping A'!A29</f>
        <v>https://doi.org/10.1145/3772318.3791851</v>
      </c>
      <c r="B29" s="13" t="str">
        <f>'Mapping A'!B29</f>
        <v>10.1145/3772318.3791851</v>
      </c>
      <c r="C29" s="13" t="str">
        <f>'Mapping A'!C29</f>
        <v>Personal Validation Effect in LLMs: Positive AI Responses Bias Perceptions of Validity</v>
      </c>
      <c r="D29" s="13" t="b">
        <f>B29='Mapping B'!B29</f>
        <v>1</v>
      </c>
      <c r="E29" s="19" t="str">
        <f>'Mapping A'!D29</f>
        <v>Jonathan</v>
      </c>
      <c r="F29" s="19" t="str">
        <f>'Mapping B'!D29</f>
        <v>Marilyn</v>
      </c>
      <c r="G29" s="14" t="str">
        <f t="shared" si="3"/>
        <v>X</v>
      </c>
      <c r="H29" s="14" t="str">
        <f>IF(AND('Mapping A'!F29="X",'Mapping B'!F29="X"),"X",IF(AND('Mapping A'!F29="",'Mapping B'!F29=""),"","?"))</f>
        <v>X</v>
      </c>
      <c r="I29" s="14" t="str">
        <f>IF(AND('Mapping A'!G29="X",'Mapping B'!G29="X"),"X",IF(AND('Mapping A'!G29="",'Mapping B'!G29=""),"","?"))</f>
        <v/>
      </c>
      <c r="J29" s="14" t="str">
        <f>IF(AND('Mapping A'!H29="X",'Mapping B'!H29="X"),"X",IF(AND('Mapping A'!H29="",'Mapping B'!H29=""),"","?"))</f>
        <v/>
      </c>
      <c r="K29" s="14" t="str">
        <f>IF(AND('Mapping A'!I29="X",'Mapping B'!I29="X"),"X",IF(AND('Mapping A'!I29="",'Mapping B'!I29=""),"","?"))</f>
        <v/>
      </c>
      <c r="L29" s="14" t="str">
        <f>IF(AND('Mapping A'!J29="X",'Mapping B'!J29="X"),"X",IF(AND('Mapping A'!J29="",'Mapping B'!J29=""),"","?"))</f>
        <v/>
      </c>
      <c r="M29" s="14" t="str">
        <f>IF(AND('Mapping A'!K29="X",'Mapping B'!K29="X"),"X",IF(AND('Mapping A'!K29="",'Mapping B'!K29=""),"","?"))</f>
        <v/>
      </c>
      <c r="N29" s="14" t="str">
        <f>IF(AND('Mapping A'!L29="X",'Mapping B'!L29="X"),"X",IF(AND('Mapping A'!L29="",'Mapping B'!L29=""),"","?"))</f>
        <v>X</v>
      </c>
      <c r="O29" s="14" t="str">
        <f>IF(AND('Mapping A'!M29="X",'Mapping B'!M29="X"),"X",IF(AND('Mapping A'!M29="",'Mapping B'!M29=""),"","?"))</f>
        <v/>
      </c>
      <c r="P29" s="14" t="str">
        <f>IF(AND('Mapping A'!N29="X",'Mapping B'!N29="X"),"X",IF(AND('Mapping A'!N29="",'Mapping B'!N29=""),"","?"))</f>
        <v/>
      </c>
      <c r="Q29" s="14" t="str">
        <f>IF(AND('Mapping A'!O29="X",'Mapping B'!O29="X"),"X",IF(AND('Mapping A'!O29="",'Mapping B'!O29=""),"","?"))</f>
        <v/>
      </c>
      <c r="R29" s="14" t="str">
        <f>IF(AND('Mapping A'!P29="X",'Mapping B'!P29="X"),"X",IF(AND('Mapping A'!P29="",'Mapping B'!P29=""),"","?"))</f>
        <v/>
      </c>
      <c r="S29" s="14" t="str">
        <f>IF(AND('Mapping A'!Q29="X",'Mapping B'!Q29="X"),"X",IF(AND('Mapping A'!Q29="",'Mapping B'!Q29=""),"","?"))</f>
        <v>X</v>
      </c>
      <c r="T29" s="14" t="str">
        <f>IF(AND('Mapping A'!R29="X",'Mapping B'!R29="X"),"X",IF(AND('Mapping A'!R29="",'Mapping B'!R29=""),"","?"))</f>
        <v/>
      </c>
      <c r="U29" s="14" t="str">
        <f>IF(AND('Mapping A'!S29="X",'Mapping B'!S29="X"),"X",IF(AND('Mapping A'!S29="",'Mapping B'!S29=""),"","?"))</f>
        <v/>
      </c>
      <c r="V29" s="14" t="str">
        <f>IF(AND('Mapping A'!T29="X",'Mapping B'!T29="X"),"X",IF(AND('Mapping A'!T29="",'Mapping B'!T29=""),"","?"))</f>
        <v/>
      </c>
    </row>
    <row r="30">
      <c r="A30" s="53" t="str">
        <f>'Mapping A'!A30</f>
        <v>https://doi.org/10.1145/3772318.3791915</v>
      </c>
      <c r="B30" s="13" t="str">
        <f>'Mapping A'!B30</f>
        <v>10.1145/3772318.3791915</v>
      </c>
      <c r="C30" s="13" t="str">
        <f>'Mapping A'!C30</f>
        <v>Interaction Context Often Increases Sycophancy in LLMs</v>
      </c>
      <c r="D30" s="13" t="b">
        <f>B30='Mapping B'!B30</f>
        <v>1</v>
      </c>
      <c r="E30" s="19" t="str">
        <f>'Mapping A'!D30</f>
        <v>Jonathan</v>
      </c>
      <c r="F30" s="19" t="str">
        <f>'Mapping B'!D30</f>
        <v>Tina</v>
      </c>
      <c r="G30" s="14" t="str">
        <f t="shared" si="3"/>
        <v>X</v>
      </c>
      <c r="H30" s="14" t="str">
        <f>IF(AND('Mapping A'!F30="X",'Mapping B'!F30="X"),"X",IF(AND('Mapping A'!F30="",'Mapping B'!F30=""),"","?"))</f>
        <v/>
      </c>
      <c r="I30" s="14" t="str">
        <f>IF(AND('Mapping A'!G30="X",'Mapping B'!G30="X"),"X",IF(AND('Mapping A'!G30="",'Mapping B'!G30=""),"","?"))</f>
        <v>X</v>
      </c>
      <c r="J30" s="14" t="str">
        <f>IF(AND('Mapping A'!H30="X",'Mapping B'!H30="X"),"X",IF(AND('Mapping A'!H30="",'Mapping B'!H30=""),"","?"))</f>
        <v/>
      </c>
      <c r="K30" s="14" t="str">
        <f>IF(AND('Mapping A'!I30="X",'Mapping B'!I30="X"),"X",IF(AND('Mapping A'!I30="",'Mapping B'!I30=""),"","?"))</f>
        <v/>
      </c>
      <c r="L30" s="14" t="str">
        <f>IF(AND('Mapping A'!J30="X",'Mapping B'!J30="X"),"X",IF(AND('Mapping A'!J30="",'Mapping B'!J30=""),"","?"))</f>
        <v/>
      </c>
      <c r="M30" s="14" t="str">
        <f>IF(AND('Mapping A'!K30="X",'Mapping B'!K30="X"),"X",IF(AND('Mapping A'!K30="",'Mapping B'!K30=""),"","?"))</f>
        <v/>
      </c>
      <c r="N30" s="14" t="str">
        <f>IF(AND('Mapping A'!L30="X",'Mapping B'!L30="X"),"X",IF(AND('Mapping A'!L30="",'Mapping B'!L30=""),"","?"))</f>
        <v>X</v>
      </c>
      <c r="O30" s="14" t="str">
        <f>IF(AND('Mapping A'!M30="X",'Mapping B'!M30="X"),"X",IF(AND('Mapping A'!M30="",'Mapping B'!M30=""),"","?"))</f>
        <v/>
      </c>
      <c r="P30" s="14" t="str">
        <f>IF(AND('Mapping A'!N30="X",'Mapping B'!N30="X"),"X",IF(AND('Mapping A'!N30="",'Mapping B'!N30=""),"","?"))</f>
        <v/>
      </c>
      <c r="Q30" s="14" t="str">
        <f>IF(AND('Mapping A'!O30="X",'Mapping B'!O30="X"),"X",IF(AND('Mapping A'!O30="",'Mapping B'!O30=""),"","?"))</f>
        <v/>
      </c>
      <c r="R30" s="14" t="str">
        <f>IF(AND('Mapping A'!P30="X",'Mapping B'!P30="X"),"X",IF(AND('Mapping A'!P30="",'Mapping B'!P30=""),"","?"))</f>
        <v>X</v>
      </c>
      <c r="S30" s="14" t="str">
        <f>IF(AND('Mapping A'!Q30="X",'Mapping B'!Q30="X"),"X",IF(AND('Mapping A'!Q30="",'Mapping B'!Q30=""),"","?"))</f>
        <v/>
      </c>
      <c r="T30" s="14" t="str">
        <f>IF(AND('Mapping A'!R30="X",'Mapping B'!R30="X"),"X",IF(AND('Mapping A'!R30="",'Mapping B'!R30=""),"","?"))</f>
        <v/>
      </c>
      <c r="U30" s="14" t="str">
        <f>IF(AND('Mapping A'!S30="X",'Mapping B'!S30="X"),"X",IF(AND('Mapping A'!S30="",'Mapping B'!S30=""),"","?"))</f>
        <v/>
      </c>
      <c r="V30" s="14" t="str">
        <f>IF(AND('Mapping A'!T30="X",'Mapping B'!T30="X"),"X",IF(AND('Mapping A'!T30="",'Mapping B'!T30=""),"","?"))</f>
        <v/>
      </c>
    </row>
    <row r="31">
      <c r="A31" s="53" t="str">
        <f>'Mapping A'!A31</f>
        <v>https://doi.org/10.1145/3772363.3798705</v>
      </c>
      <c r="B31" s="13" t="str">
        <f>'Mapping A'!B31</f>
        <v>10.1145/3772363.3798705</v>
      </c>
      <c r="C31" s="13" t="str">
        <f>'Mapping A'!C31</f>
        <v>When AI Agrees</v>
      </c>
      <c r="D31" s="13" t="b">
        <f>B31='Mapping B'!B31</f>
        <v>1</v>
      </c>
      <c r="E31" s="19" t="str">
        <f>'Mapping A'!D31</f>
        <v>Jonathan</v>
      </c>
      <c r="F31" s="19" t="str">
        <f>'Mapping B'!D31</f>
        <v>Tina</v>
      </c>
      <c r="G31" s="14" t="str">
        <f t="shared" si="3"/>
        <v>X</v>
      </c>
      <c r="H31" s="14" t="str">
        <f>IF(AND('Mapping A'!F31="X",'Mapping B'!F31="X"),"X",IF(AND('Mapping A'!F31="",'Mapping B'!F31=""),"","?"))</f>
        <v>X</v>
      </c>
      <c r="I31" s="14" t="str">
        <f>IF(AND('Mapping A'!G31="X",'Mapping B'!G31="X"),"X",IF(AND('Mapping A'!G31="",'Mapping B'!G31=""),"","?"))</f>
        <v/>
      </c>
      <c r="J31" s="14" t="str">
        <f>IF(AND('Mapping A'!H31="X",'Mapping B'!H31="X"),"X",IF(AND('Mapping A'!H31="",'Mapping B'!H31=""),"","?"))</f>
        <v/>
      </c>
      <c r="K31" s="14" t="str">
        <f>IF(AND('Mapping A'!I31="X",'Mapping B'!I31="X"),"X",IF(AND('Mapping A'!I31="",'Mapping B'!I31=""),"","?"))</f>
        <v/>
      </c>
      <c r="L31" s="14" t="str">
        <f>IF(AND('Mapping A'!J31="X",'Mapping B'!J31="X"),"X",IF(AND('Mapping A'!J31="",'Mapping B'!J31=""),"","?"))</f>
        <v/>
      </c>
      <c r="M31" s="14" t="str">
        <f>IF(AND('Mapping A'!K31="X",'Mapping B'!K31="X"),"X",IF(AND('Mapping A'!K31="",'Mapping B'!K31=""),"","?"))</f>
        <v/>
      </c>
      <c r="N31" s="14" t="str">
        <f>IF(AND('Mapping A'!L31="X",'Mapping B'!L31="X"),"X",IF(AND('Mapping A'!L31="",'Mapping B'!L31=""),"","?"))</f>
        <v>X</v>
      </c>
      <c r="O31" s="14" t="str">
        <f>IF(AND('Mapping A'!M31="X",'Mapping B'!M31="X"),"X",IF(AND('Mapping A'!M31="",'Mapping B'!M31=""),"","?"))</f>
        <v/>
      </c>
      <c r="P31" s="14" t="str">
        <f>IF(AND('Mapping A'!N31="X",'Mapping B'!N31="X"),"X",IF(AND('Mapping A'!N31="",'Mapping B'!N31=""),"","?"))</f>
        <v/>
      </c>
      <c r="Q31" s="14" t="str">
        <f>IF(AND('Mapping A'!O31="X",'Mapping B'!O31="X"),"X",IF(AND('Mapping A'!O31="",'Mapping B'!O31=""),"","?"))</f>
        <v/>
      </c>
      <c r="R31" s="14" t="str">
        <f>IF(AND('Mapping A'!P31="X",'Mapping B'!P31="X"),"X",IF(AND('Mapping A'!P31="",'Mapping B'!P31=""),"","?"))</f>
        <v/>
      </c>
      <c r="S31" s="14" t="str">
        <f>IF(AND('Mapping A'!Q31="X",'Mapping B'!Q31="X"),"X",IF(AND('Mapping A'!Q31="",'Mapping B'!Q31=""),"","?"))</f>
        <v>X</v>
      </c>
      <c r="T31" s="14" t="str">
        <f>IF(AND('Mapping A'!R31="X",'Mapping B'!R31="X"),"X",IF(AND('Mapping A'!R31="",'Mapping B'!R31=""),"","?"))</f>
        <v/>
      </c>
      <c r="U31" s="14" t="str">
        <f>IF(AND('Mapping A'!S31="X",'Mapping B'!S31="X"),"X",IF(AND('Mapping A'!S31="",'Mapping B'!S31=""),"","?"))</f>
        <v/>
      </c>
      <c r="V31" s="14" t="str">
        <f>IF(AND('Mapping A'!T31="X",'Mapping B'!T31="X"),"X",IF(AND('Mapping A'!T31="",'Mapping B'!T31=""),"","?"))</f>
        <v/>
      </c>
    </row>
    <row r="32">
      <c r="A32" s="53" t="str">
        <f>'Mapping A'!A32</f>
        <v>https://doi.org/10.1145/3772363.3799334</v>
      </c>
      <c r="B32" s="13" t="str">
        <f>'Mapping A'!B32</f>
        <v>10.1145/3772363.3799334</v>
      </c>
      <c r="C32" s="13" t="str">
        <f>'Mapping A'!C32</f>
        <v>Maintaining Stable Personas? Examining Temporal Stability in LLM-Based Human Simulation</v>
      </c>
      <c r="D32" s="13" t="b">
        <f>B32='Mapping B'!B32</f>
        <v>1</v>
      </c>
      <c r="E32" s="19" t="str">
        <f>'Mapping A'!D32</f>
        <v>Kaiser</v>
      </c>
      <c r="F32" s="19" t="str">
        <f>'Mapping B'!D32</f>
        <v>Jonathan</v>
      </c>
      <c r="G32" s="14" t="str">
        <f t="shared" si="3"/>
        <v>X</v>
      </c>
      <c r="H32" s="14" t="str">
        <f>IF(AND('Mapping A'!F32="X",'Mapping B'!F32="X"),"X",IF(AND('Mapping A'!F32="",'Mapping B'!F32=""),"","?"))</f>
        <v/>
      </c>
      <c r="I32" s="14" t="str">
        <f>IF(AND('Mapping A'!G32="X",'Mapping B'!G32="X"),"X",IF(AND('Mapping A'!G32="",'Mapping B'!G32=""),"","?"))</f>
        <v/>
      </c>
      <c r="J32" s="14" t="str">
        <f>IF(AND('Mapping A'!H32="X",'Mapping B'!H32="X"),"X",IF(AND('Mapping A'!H32="",'Mapping B'!H32=""),"","?"))</f>
        <v/>
      </c>
      <c r="K32" s="14" t="str">
        <f>IF(AND('Mapping A'!I32="X",'Mapping B'!I32="X"),"X",IF(AND('Mapping A'!I32="",'Mapping B'!I32=""),"","?"))</f>
        <v>X</v>
      </c>
      <c r="L32" s="14" t="str">
        <f>IF(AND('Mapping A'!J32="X",'Mapping B'!J32="X"),"X",IF(AND('Mapping A'!J32="",'Mapping B'!J32=""),"","?"))</f>
        <v/>
      </c>
      <c r="M32" s="14" t="str">
        <f>IF(AND('Mapping A'!K32="X",'Mapping B'!K32="X"),"X",IF(AND('Mapping A'!K32="",'Mapping B'!K32=""),"","?"))</f>
        <v/>
      </c>
      <c r="N32" s="14" t="str">
        <f>IF(AND('Mapping A'!L32="X",'Mapping B'!L32="X"),"X",IF(AND('Mapping A'!L32="",'Mapping B'!L32=""),"","?"))</f>
        <v/>
      </c>
      <c r="O32" s="14" t="str">
        <f>IF(AND('Mapping A'!M32="X",'Mapping B'!M32="X"),"X",IF(AND('Mapping A'!M32="",'Mapping B'!M32=""),"","?"))</f>
        <v/>
      </c>
      <c r="P32" s="14" t="str">
        <f>IF(AND('Mapping A'!N32="X",'Mapping B'!N32="X"),"X",IF(AND('Mapping A'!N32="",'Mapping B'!N32=""),"","?"))</f>
        <v/>
      </c>
      <c r="Q32" s="14" t="str">
        <f>IF(AND('Mapping A'!O32="X",'Mapping B'!O32="X"),"X",IF(AND('Mapping A'!O32="",'Mapping B'!O32=""),"","?"))</f>
        <v>X</v>
      </c>
      <c r="R32" s="14" t="str">
        <f>IF(AND('Mapping A'!P32="X",'Mapping B'!P32="X"),"X",IF(AND('Mapping A'!P32="",'Mapping B'!P32=""),"","?"))</f>
        <v/>
      </c>
      <c r="S32" s="14" t="str">
        <f>IF(AND('Mapping A'!Q32="X",'Mapping B'!Q32="X"),"X",IF(AND('Mapping A'!Q32="",'Mapping B'!Q32=""),"","?"))</f>
        <v/>
      </c>
      <c r="T32" s="14" t="str">
        <f>IF(AND('Mapping A'!R32="X",'Mapping B'!R32="X"),"X",IF(AND('Mapping A'!R32="",'Mapping B'!R32=""),"","?"))</f>
        <v/>
      </c>
      <c r="U32" s="14" t="str">
        <f>IF(AND('Mapping A'!S32="X",'Mapping B'!S32="X"),"X",IF(AND('Mapping A'!S32="",'Mapping B'!S32=""),"","?"))</f>
        <v>X</v>
      </c>
      <c r="V32" s="14" t="str">
        <f>IF(AND('Mapping A'!T32="X",'Mapping B'!T32="X"),"X",IF(AND('Mapping A'!T32="",'Mapping B'!T32=""),"","?"))</f>
        <v/>
      </c>
    </row>
    <row r="33">
      <c r="A33" s="53" t="str">
        <f>'Mapping A'!A33</f>
        <v>https://doi.org/10.1145/3774904.3792506</v>
      </c>
      <c r="B33" s="13" t="str">
        <f>'Mapping A'!B33</f>
        <v>10.1145/3774904.3792506</v>
      </c>
      <c r="C33" s="13" t="str">
        <f>'Mapping A'!C33</f>
        <v>Acting Flatterers via LLMs Sycophancy: Combating Clickbait with LLMs Opposing-Stance Reasoning</v>
      </c>
      <c r="D33" s="13" t="b">
        <f>B33='Mapping B'!B33</f>
        <v>1</v>
      </c>
      <c r="E33" s="19" t="str">
        <f>'Mapping A'!D33</f>
        <v>Kaiser</v>
      </c>
      <c r="F33" s="19" t="str">
        <f>'Mapping B'!D33</f>
        <v>Tina</v>
      </c>
      <c r="G33" s="14" t="str">
        <f t="shared" si="3"/>
        <v>X</v>
      </c>
      <c r="H33" s="14" t="str">
        <f>IF(AND('Mapping A'!F33="X",'Mapping B'!F33="X"),"X",IF(AND('Mapping A'!F33="",'Mapping B'!F33=""),"","?"))</f>
        <v/>
      </c>
      <c r="I33" s="14" t="str">
        <f>IF(AND('Mapping A'!G33="X",'Mapping B'!G33="X"),"X",IF(AND('Mapping A'!G33="",'Mapping B'!G33=""),"","?"))</f>
        <v/>
      </c>
      <c r="J33" s="14" t="str">
        <f>IF(AND('Mapping A'!H33="X",'Mapping B'!H33="X"),"X",IF(AND('Mapping A'!H33="",'Mapping B'!H33=""),"","?"))</f>
        <v/>
      </c>
      <c r="K33" s="14" t="str">
        <f>IF(AND('Mapping A'!I33="X",'Mapping B'!I33="X"),"X",IF(AND('Mapping A'!I33="",'Mapping B'!I33=""),"","?"))</f>
        <v/>
      </c>
      <c r="L33" s="14" t="str">
        <f>IF(AND('Mapping A'!J33="X",'Mapping B'!J33="X"),"X",IF(AND('Mapping A'!J33="",'Mapping B'!J33=""),"","?"))</f>
        <v>X</v>
      </c>
      <c r="M33" s="14" t="str">
        <f>IF(AND('Mapping A'!K33="X",'Mapping B'!K33="X"),"X",IF(AND('Mapping A'!K33="",'Mapping B'!K33=""),"","?"))</f>
        <v/>
      </c>
      <c r="N33" s="14" t="str">
        <f>IF(AND('Mapping A'!L33="X",'Mapping B'!L33="X"),"X",IF(AND('Mapping A'!L33="",'Mapping B'!L33=""),"","?"))</f>
        <v>X</v>
      </c>
      <c r="O33" s="14" t="str">
        <f>IF(AND('Mapping A'!M33="X",'Mapping B'!M33="X"),"X",IF(AND('Mapping A'!M33="",'Mapping B'!M33=""),"","?"))</f>
        <v/>
      </c>
      <c r="P33" s="14" t="str">
        <f>IF(AND('Mapping A'!N33="X",'Mapping B'!N33="X"),"X",IF(AND('Mapping A'!N33="",'Mapping B'!N33=""),"","?"))</f>
        <v>X</v>
      </c>
      <c r="Q33" s="14" t="str">
        <f>IF(AND('Mapping A'!O33="X",'Mapping B'!O33="X"),"X",IF(AND('Mapping A'!O33="",'Mapping B'!O33=""),"","?"))</f>
        <v/>
      </c>
      <c r="R33" s="14" t="str">
        <f>IF(AND('Mapping A'!P33="X",'Mapping B'!P33="X"),"X",IF(AND('Mapping A'!P33="",'Mapping B'!P33=""),"","?"))</f>
        <v/>
      </c>
      <c r="S33" s="14" t="str">
        <f>IF(AND('Mapping A'!Q33="X",'Mapping B'!Q33="X"),"X",IF(AND('Mapping A'!Q33="",'Mapping B'!Q33=""),"","?"))</f>
        <v/>
      </c>
      <c r="T33" s="14" t="str">
        <f>IF(AND('Mapping A'!R33="X",'Mapping B'!R33="X"),"X",IF(AND('Mapping A'!R33="",'Mapping B'!R33=""),"","?"))</f>
        <v/>
      </c>
      <c r="U33" s="14" t="str">
        <f>IF(AND('Mapping A'!S33="X",'Mapping B'!S33="X"),"X",IF(AND('Mapping A'!S33="",'Mapping B'!S33=""),"","?"))</f>
        <v>X</v>
      </c>
      <c r="V33" s="14" t="str">
        <f>IF(AND('Mapping A'!T33="X",'Mapping B'!T33="X"),"X",IF(AND('Mapping A'!T33="",'Mapping B'!T33=""),"","?"))</f>
        <v/>
      </c>
    </row>
    <row r="34">
      <c r="A34" s="53" t="str">
        <f>'Mapping A'!A34</f>
        <v>https://doi.org/10.1145/3776734.3794532</v>
      </c>
      <c r="B34" s="13" t="str">
        <f>'Mapping A'!B34</f>
        <v>10.1145/3776734.3794532</v>
      </c>
      <c r="C34" s="13" t="str">
        <f>'Mapping A'!C34</f>
        <v>Robotic Sycophancy: A Scoping Review</v>
      </c>
      <c r="D34" s="13" t="b">
        <f>B34='Mapping B'!B34</f>
        <v>1</v>
      </c>
      <c r="E34" s="19" t="str">
        <f>'Mapping A'!D34</f>
        <v>Kaiser</v>
      </c>
      <c r="F34" s="19" t="str">
        <f>'Mapping B'!D34</f>
        <v>Tina</v>
      </c>
      <c r="G34" s="14" t="str">
        <f t="shared" si="3"/>
        <v>X</v>
      </c>
      <c r="H34" s="14" t="str">
        <f>IF(AND('Mapping A'!F34="X",'Mapping B'!F34="X"),"X",IF(AND('Mapping A'!F34="",'Mapping B'!F34=""),"","?"))</f>
        <v/>
      </c>
      <c r="I34" s="14" t="str">
        <f>IF(AND('Mapping A'!G34="X",'Mapping B'!G34="X"),"X",IF(AND('Mapping A'!G34="",'Mapping B'!G34=""),"","?"))</f>
        <v/>
      </c>
      <c r="J34" s="14" t="str">
        <f>IF(AND('Mapping A'!H34="X",'Mapping B'!H34="X"),"X",IF(AND('Mapping A'!H34="",'Mapping B'!H34=""),"","?"))</f>
        <v/>
      </c>
      <c r="K34" s="14" t="str">
        <f>IF(AND('Mapping A'!I34="X",'Mapping B'!I34="X"),"X",IF(AND('Mapping A'!I34="",'Mapping B'!I34=""),"","?"))</f>
        <v>X</v>
      </c>
      <c r="L34" s="14" t="str">
        <f>IF(AND('Mapping A'!J34="X",'Mapping B'!J34="X"),"X",IF(AND('Mapping A'!J34="",'Mapping B'!J34=""),"","?"))</f>
        <v/>
      </c>
      <c r="M34" s="14" t="str">
        <f>IF(AND('Mapping A'!K34="X",'Mapping B'!K34="X"),"X",IF(AND('Mapping A'!K34="",'Mapping B'!K34=""),"","?"))</f>
        <v/>
      </c>
      <c r="N34" s="14" t="str">
        <f>IF(AND('Mapping A'!L34="X",'Mapping B'!L34="X"),"X",IF(AND('Mapping A'!L34="",'Mapping B'!L34=""),"","?"))</f>
        <v>X</v>
      </c>
      <c r="O34" s="14" t="str">
        <f>IF(AND('Mapping A'!M34="X",'Mapping B'!M34="X"),"X",IF(AND('Mapping A'!M34="",'Mapping B'!M34=""),"","?"))</f>
        <v>X</v>
      </c>
      <c r="P34" s="14" t="str">
        <f>IF(AND('Mapping A'!N34="X",'Mapping B'!N34="X"),"X",IF(AND('Mapping A'!N34="",'Mapping B'!N34=""),"","?"))</f>
        <v/>
      </c>
      <c r="Q34" s="14" t="str">
        <f>IF(AND('Mapping A'!O34="X",'Mapping B'!O34="X"),"X",IF(AND('Mapping A'!O34="",'Mapping B'!O34=""),"","?"))</f>
        <v>X</v>
      </c>
      <c r="R34" s="14" t="str">
        <f>IF(AND('Mapping A'!P34="X",'Mapping B'!P34="X"),"X",IF(AND('Mapping A'!P34="",'Mapping B'!P34=""),"","?"))</f>
        <v>X</v>
      </c>
      <c r="S34" s="14" t="str">
        <f>IF(AND('Mapping A'!Q34="X",'Mapping B'!Q34="X"),"X",IF(AND('Mapping A'!Q34="",'Mapping B'!Q34=""),"","?"))</f>
        <v/>
      </c>
      <c r="T34" s="14" t="str">
        <f>IF(AND('Mapping A'!R34="X",'Mapping B'!R34="X"),"X",IF(AND('Mapping A'!R34="",'Mapping B'!R34=""),"","?"))</f>
        <v/>
      </c>
      <c r="U34" s="14" t="str">
        <f>IF(AND('Mapping A'!S34="X",'Mapping B'!S34="X"),"X",IF(AND('Mapping A'!S34="",'Mapping B'!S34=""),"","?"))</f>
        <v/>
      </c>
      <c r="V34" s="14" t="str">
        <f>IF(AND('Mapping A'!T34="X",'Mapping B'!T34="X"),"X",IF(AND('Mapping A'!T34="",'Mapping B'!T34=""),"","?"))</f>
        <v/>
      </c>
    </row>
    <row r="35">
      <c r="A35" s="53" t="str">
        <f>'Mapping A'!A35</f>
        <v>https://doi.org/10.1145/3786304.3787879</v>
      </c>
      <c r="B35" s="13" t="str">
        <f>'Mapping A'!B35</f>
        <v>10.1145/3786304.3787879</v>
      </c>
      <c r="C35" s="13" t="str">
        <f>'Mapping A'!C35</f>
        <v>Confirmation</v>
      </c>
      <c r="D35" s="13" t="b">
        <f>B35='Mapping B'!B35</f>
        <v>1</v>
      </c>
      <c r="E35" s="19" t="str">
        <f>'Mapping A'!D35</f>
        <v>Kaiser</v>
      </c>
      <c r="F35" s="19" t="str">
        <f>'Mapping B'!D35</f>
        <v>Jonathan</v>
      </c>
      <c r="G35" s="14" t="str">
        <f t="shared" si="3"/>
        <v>X</v>
      </c>
      <c r="H35" s="14" t="str">
        <f>IF(AND('Mapping A'!F35="X",'Mapping B'!F35="X"),"X",IF(AND('Mapping A'!F35="",'Mapping B'!F35=""),"","?"))</f>
        <v/>
      </c>
      <c r="I35" s="14" t="str">
        <f>IF(AND('Mapping A'!G35="X",'Mapping B'!G35="X"),"X",IF(AND('Mapping A'!G35="",'Mapping B'!G35=""),"","?"))</f>
        <v/>
      </c>
      <c r="J35" s="14" t="str">
        <f>IF(AND('Mapping A'!H35="X",'Mapping B'!H35="X"),"X",IF(AND('Mapping A'!H35="",'Mapping B'!H35=""),"","?"))</f>
        <v/>
      </c>
      <c r="K35" s="14" t="str">
        <f>IF(AND('Mapping A'!I35="X",'Mapping B'!I35="X"),"X",IF(AND('Mapping A'!I35="",'Mapping B'!I35=""),"","?"))</f>
        <v>X</v>
      </c>
      <c r="L35" s="14" t="str">
        <f>IF(AND('Mapping A'!J35="X",'Mapping B'!J35="X"),"X",IF(AND('Mapping A'!J35="",'Mapping B'!J35=""),"","?"))</f>
        <v/>
      </c>
      <c r="M35" s="14" t="str">
        <f>IF(AND('Mapping A'!K35="X",'Mapping B'!K35="X"),"X",IF(AND('Mapping A'!K35="",'Mapping B'!K35=""),"","?"))</f>
        <v/>
      </c>
      <c r="N35" s="14" t="str">
        <f>IF(AND('Mapping A'!L35="X",'Mapping B'!L35="X"),"X",IF(AND('Mapping A'!L35="",'Mapping B'!L35=""),"","?"))</f>
        <v>X</v>
      </c>
      <c r="O35" s="14" t="str">
        <f>IF(AND('Mapping A'!M35="X",'Mapping B'!M35="X"),"X",IF(AND('Mapping A'!M35="",'Mapping B'!M35=""),"","?"))</f>
        <v/>
      </c>
      <c r="P35" s="14" t="str">
        <f>IF(AND('Mapping A'!N35="X",'Mapping B'!N35="X"),"X",IF(AND('Mapping A'!N35="",'Mapping B'!N35=""),"","?"))</f>
        <v/>
      </c>
      <c r="Q35" s="14" t="str">
        <f>IF(AND('Mapping A'!O35="X",'Mapping B'!O35="X"),"X",IF(AND('Mapping A'!O35="",'Mapping B'!O35=""),"","?"))</f>
        <v/>
      </c>
      <c r="R35" s="14" t="str">
        <f>IF(AND('Mapping A'!P35="X",'Mapping B'!P35="X"),"X",IF(AND('Mapping A'!P35="",'Mapping B'!P35=""),"","?"))</f>
        <v>X</v>
      </c>
      <c r="S35" s="14" t="str">
        <f>IF(AND('Mapping A'!Q35="X",'Mapping B'!Q35="X"),"X",IF(AND('Mapping A'!Q35="",'Mapping B'!Q35=""),"","?"))</f>
        <v/>
      </c>
      <c r="T35" s="14" t="str">
        <f>IF(AND('Mapping A'!R35="X",'Mapping B'!R35="X"),"X",IF(AND('Mapping A'!R35="",'Mapping B'!R35=""),"","?"))</f>
        <v/>
      </c>
      <c r="U35" s="14" t="str">
        <f>IF(AND('Mapping A'!S35="X",'Mapping B'!S35="X"),"X",IF(AND('Mapping A'!S35="",'Mapping B'!S35=""),"","?"))</f>
        <v/>
      </c>
      <c r="V35" s="14" t="str">
        <f>IF(AND('Mapping A'!T35="X",'Mapping B'!T35="X"),"X",IF(AND('Mapping A'!T35="",'Mapping B'!T35=""),"","?"))</f>
        <v/>
      </c>
    </row>
    <row r="36">
      <c r="A36" s="53" t="str">
        <f>'Mapping A'!A36</f>
        <v>https://doi.org/10.1145/3786335.3813137</v>
      </c>
      <c r="B36" s="13" t="str">
        <f>'Mapping A'!B36</f>
        <v>10.1145/3786335.3813137</v>
      </c>
      <c r="C36" s="13" t="str">
        <f>'Mapping A'!C36</f>
        <v>The Cost of Consensus: Isolated Self-Correction Prevails Over Unguided Homogeneous Multi-Agent Debate</v>
      </c>
      <c r="D36" s="13" t="b">
        <f>B36='Mapping B'!B36</f>
        <v>1</v>
      </c>
      <c r="E36" s="19" t="str">
        <f>'Mapping A'!D36</f>
        <v>Kaiser</v>
      </c>
      <c r="F36" s="19" t="str">
        <f>'Mapping B'!D36</f>
        <v>Marilyn</v>
      </c>
      <c r="G36" s="14" t="str">
        <f t="shared" si="3"/>
        <v>X</v>
      </c>
      <c r="H36" s="14" t="str">
        <f>IF(AND('Mapping A'!F36="X",'Mapping B'!F36="X"),"X",IF(AND('Mapping A'!F36="",'Mapping B'!F36=""),"","?"))</f>
        <v/>
      </c>
      <c r="I36" s="14" t="str">
        <f>IF(AND('Mapping A'!G36="X",'Mapping B'!G36="X"),"X",IF(AND('Mapping A'!G36="",'Mapping B'!G36=""),"","?"))</f>
        <v/>
      </c>
      <c r="J36" s="14" t="str">
        <f>IF(AND('Mapping A'!H36="X",'Mapping B'!H36="X"),"X",IF(AND('Mapping A'!H36="",'Mapping B'!H36=""),"","?"))</f>
        <v/>
      </c>
      <c r="K36" s="14" t="str">
        <f>IF(AND('Mapping A'!I36="X",'Mapping B'!I36="X"),"X",IF(AND('Mapping A'!I36="",'Mapping B'!I36=""),"","?"))</f>
        <v>X</v>
      </c>
      <c r="L36" s="14" t="str">
        <f>IF(AND('Mapping A'!J36="X",'Mapping B'!J36="X"),"X",IF(AND('Mapping A'!J36="",'Mapping B'!J36=""),"","?"))</f>
        <v/>
      </c>
      <c r="M36" s="14" t="str">
        <f>IF(AND('Mapping A'!K36="X",'Mapping B'!K36="X"),"X",IF(AND('Mapping A'!K36="",'Mapping B'!K36=""),"","?"))</f>
        <v/>
      </c>
      <c r="N36" s="14" t="str">
        <f>IF(AND('Mapping A'!L36="X",'Mapping B'!L36="X"),"X",IF(AND('Mapping A'!L36="",'Mapping B'!L36=""),"","?"))</f>
        <v/>
      </c>
      <c r="O36" s="14" t="str">
        <f>IF(AND('Mapping A'!M36="X",'Mapping B'!M36="X"),"X",IF(AND('Mapping A'!M36="",'Mapping B'!M36=""),"","?"))</f>
        <v/>
      </c>
      <c r="P36" s="14" t="str">
        <f>IF(AND('Mapping A'!N36="X",'Mapping B'!N36="X"),"X",IF(AND('Mapping A'!N36="",'Mapping B'!N36=""),"","?"))</f>
        <v>X</v>
      </c>
      <c r="Q36" s="14" t="str">
        <f>IF(AND('Mapping A'!O36="X",'Mapping B'!O36="X"),"X",IF(AND('Mapping A'!O36="",'Mapping B'!O36=""),"","?"))</f>
        <v/>
      </c>
      <c r="R36" s="14" t="str">
        <f>IF(AND('Mapping A'!P36="X",'Mapping B'!P36="X"),"X",IF(AND('Mapping A'!P36="",'Mapping B'!P36=""),"","?"))</f>
        <v/>
      </c>
      <c r="S36" s="14" t="str">
        <f>IF(AND('Mapping A'!Q36="X",'Mapping B'!Q36="X"),"X",IF(AND('Mapping A'!Q36="",'Mapping B'!Q36=""),"","?"))</f>
        <v/>
      </c>
      <c r="T36" s="14" t="str">
        <f>IF(AND('Mapping A'!R36="X",'Mapping B'!R36="X"),"X",IF(AND('Mapping A'!R36="",'Mapping B'!R36=""),"","?"))</f>
        <v/>
      </c>
      <c r="U36" s="14" t="str">
        <f>IF(AND('Mapping A'!S36="X",'Mapping B'!S36="X"),"X",IF(AND('Mapping A'!S36="",'Mapping B'!S36=""),"","?"))</f>
        <v>X</v>
      </c>
      <c r="V36" s="14" t="str">
        <f>IF(AND('Mapping A'!T36="X",'Mapping B'!T36="X"),"X",IF(AND('Mapping A'!T36="",'Mapping B'!T36=""),"","?"))</f>
        <v/>
      </c>
    </row>
    <row r="37">
      <c r="A37" s="53" t="str">
        <f>'Mapping A'!A37</f>
        <v>https://doi.org/10.1145/3788646.3789536</v>
      </c>
      <c r="B37" s="13" t="str">
        <f>'Mapping A'!B37</f>
        <v>10.1145/3788646.3789536</v>
      </c>
      <c r="C37" s="13" t="str">
        <f>'Mapping A'!C37</f>
        <v>AI-Assisted Moot Courts: Simulating Justice-Specific Questioning in Oral Arguments</v>
      </c>
      <c r="D37" s="13" t="b">
        <f>B37='Mapping B'!B37</f>
        <v>1</v>
      </c>
      <c r="E37" s="19" t="str">
        <f>'Mapping A'!D37</f>
        <v>Kaiser</v>
      </c>
      <c r="F37" s="19" t="str">
        <f>'Mapping B'!D37</f>
        <v>Cindy</v>
      </c>
      <c r="G37" s="14" t="str">
        <f t="shared" si="3"/>
        <v>X</v>
      </c>
      <c r="H37" s="14" t="str">
        <f>IF(AND('Mapping A'!F37="X",'Mapping B'!F37="X"),"X",IF(AND('Mapping A'!F37="",'Mapping B'!F37=""),"","?"))</f>
        <v/>
      </c>
      <c r="I37" s="14" t="str">
        <f>IF(AND('Mapping A'!G37="X",'Mapping B'!G37="X"),"X",IF(AND('Mapping A'!G37="",'Mapping B'!G37=""),"","?"))</f>
        <v>X</v>
      </c>
      <c r="J37" s="14" t="str">
        <f>IF(AND('Mapping A'!H37="X",'Mapping B'!H37="X"),"X",IF(AND('Mapping A'!H37="",'Mapping B'!H37=""),"","?"))</f>
        <v/>
      </c>
      <c r="K37" s="14" t="str">
        <f>IF(AND('Mapping A'!I37="X",'Mapping B'!I37="X"),"X",IF(AND('Mapping A'!I37="",'Mapping B'!I37=""),"","?"))</f>
        <v/>
      </c>
      <c r="L37" s="14" t="str">
        <f>IF(AND('Mapping A'!J37="X",'Mapping B'!J37="X"),"X",IF(AND('Mapping A'!J37="",'Mapping B'!J37=""),"","?"))</f>
        <v>X</v>
      </c>
      <c r="M37" s="14" t="str">
        <f>IF(AND('Mapping A'!K37="X",'Mapping B'!K37="X"),"X",IF(AND('Mapping A'!K37="",'Mapping B'!K37=""),"","?"))</f>
        <v/>
      </c>
      <c r="N37" s="14" t="str">
        <f>IF(AND('Mapping A'!L37="X",'Mapping B'!L37="X"),"X",IF(AND('Mapping A'!L37="",'Mapping B'!L37=""),"","?"))</f>
        <v>X</v>
      </c>
      <c r="O37" s="14" t="str">
        <f>IF(AND('Mapping A'!M37="X",'Mapping B'!M37="X"),"X",IF(AND('Mapping A'!M37="",'Mapping B'!M37=""),"","?"))</f>
        <v/>
      </c>
      <c r="P37" s="14" t="str">
        <f>IF(AND('Mapping A'!N37="X",'Mapping B'!N37="X"),"X",IF(AND('Mapping A'!N37="",'Mapping B'!N37=""),"","?"))</f>
        <v/>
      </c>
      <c r="Q37" s="14" t="str">
        <f>IF(AND('Mapping A'!O37="X",'Mapping B'!O37="X"),"X",IF(AND('Mapping A'!O37="",'Mapping B'!O37=""),"","?"))</f>
        <v>X</v>
      </c>
      <c r="R37" s="14" t="str">
        <f>IF(AND('Mapping A'!P37="X",'Mapping B'!P37="X"),"X",IF(AND('Mapping A'!P37="",'Mapping B'!P37=""),"","?"))</f>
        <v/>
      </c>
      <c r="S37" s="14" t="str">
        <f>IF(AND('Mapping A'!Q37="X",'Mapping B'!Q37="X"),"X",IF(AND('Mapping A'!Q37="",'Mapping B'!Q37=""),"","?"))</f>
        <v/>
      </c>
      <c r="T37" s="14" t="str">
        <f>IF(AND('Mapping A'!R37="X",'Mapping B'!R37="X"),"X",IF(AND('Mapping A'!R37="",'Mapping B'!R37=""),"","?"))</f>
        <v/>
      </c>
      <c r="U37" s="14" t="str">
        <f>IF(AND('Mapping A'!S37="X",'Mapping B'!S37="X"),"X",IF(AND('Mapping A'!S37="",'Mapping B'!S37=""),"","?"))</f>
        <v>X</v>
      </c>
      <c r="V37" s="14" t="str">
        <f>IF(AND('Mapping A'!T37="X",'Mapping B'!T37="X"),"X",IF(AND('Mapping A'!T37="",'Mapping B'!T37=""),"","?"))</f>
        <v/>
      </c>
    </row>
    <row r="38">
      <c r="A38" s="15"/>
      <c r="B38" s="16"/>
      <c r="C38" s="16"/>
      <c r="D38" s="16"/>
    </row>
    <row r="39">
      <c r="A39" s="13"/>
      <c r="G39" s="17"/>
      <c r="H39" s="17"/>
      <c r="K39" s="17"/>
      <c r="L39" s="17"/>
      <c r="M39" s="17"/>
      <c r="N39" s="17"/>
      <c r="P39" s="17"/>
      <c r="T39" s="17"/>
      <c r="V39" s="17"/>
      <c r="W39" s="17"/>
      <c r="X39" s="17"/>
      <c r="Y39" s="17"/>
      <c r="Z39" s="17"/>
      <c r="AA39" s="17"/>
      <c r="AB39" s="17"/>
      <c r="AC39" s="17"/>
    </row>
    <row r="40">
      <c r="A40" s="15"/>
      <c r="B40" s="18"/>
      <c r="C40" s="18"/>
      <c r="D40" s="18"/>
    </row>
    <row r="41">
      <c r="A41" s="15"/>
    </row>
    <row r="42">
      <c r="A42" s="15"/>
      <c r="B42" s="19"/>
      <c r="C42" s="19"/>
      <c r="D42" s="19"/>
      <c r="E42" s="19"/>
      <c r="F42" s="19"/>
      <c r="G42" s="40"/>
      <c r="H42" s="40"/>
    </row>
    <row r="43">
      <c r="A43" s="13"/>
    </row>
    <row r="44">
      <c r="A44" s="20"/>
    </row>
  </sheetData>
  <conditionalFormatting sqref="A4:D37">
    <cfRule type="cellIs" dxfId="0" priority="1" operator="equal">
      <formula>"TRUE"</formula>
    </cfRule>
  </conditionalFormatting>
  <conditionalFormatting sqref="A4:D37">
    <cfRule type="cellIs" dxfId="1" priority="2" operator="equal">
      <formula>"FALSE"</formula>
    </cfRule>
  </conditionalFormatting>
  <conditionalFormatting sqref="G4:V37">
    <cfRule type="cellIs" dxfId="2" priority="3" operator="equal">
      <formula>"?"</formula>
    </cfRule>
  </conditionalFormatting>
  <drawing r:id="rId1"/>
</worksheet>
</file>